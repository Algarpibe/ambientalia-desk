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Fases" sheetId="2" state="visible" r:id="rId4"/>
    <sheet name="Épicas" sheetId="3" state="visible" r:id="rId5"/>
    <sheet name="Tandas" sheetId="4" state="visible" r:id="rId6"/>
    <sheet name="Gates" sheetId="5" state="visible" r:id="rId7"/>
    <sheet name="Calendario" sheetId="6" state="visible" r:id="rId8"/>
    <sheet name="Resumen" sheetId="7" state="visible" r:id="rId9"/>
  </sheets>
  <definedNames>
    <definedName function="false" hidden="true" localSheetId="3" name="_xlnm._FilterDatabase" vbProcedure="false">Tandas!$A$1:$R$70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<sst xmlns="http://schemas.openxmlformats.org/spreadsheetml/2006/main" count="1265" uniqueCount="704">
  <si>
    <t xml:space="preserve">Desk 2.0 — Plan de fases y tandas de desarrollo · Revisión Man on the Loop (R01.3, 15/09/2026)</t>
  </si>
  <si>
    <t xml:space="preserve">Qué es este libro</t>
  </si>
  <si>
    <t xml:space="preserve">Propuesta de troceo del desarrollo de Desk 2.0 con Claude Code (Spec-Driven Development sobre Gentle-AI + Engram), derivada del Documento Maestro R08.2 y del acta del 03/09/2026. Acompaña al documento «Desk2.0_Plan_Fases_y_Tandas_ClaudeCode_R01». El objetivo de este libro es que Gerencia y el equipo técnico revisen si cada fase, épica y tanda tiene sentido para Ambientalia antes de arrancar.</t>
  </si>
  <si>
    <t xml:space="preserve">Cómo revisarlo</t>
  </si>
  <si>
    <t xml:space="preserve">1. Hoja «Fases»: lea el orden y el alcance de las seis fases. Anote en las columnas amarillas.</t>
  </si>
  <si>
    <t xml:space="preserve">2. Hoja «Épicas»: los bloques dentro de cada fase. Anote en las columnas amarillas.</t>
  </si>
  <si>
    <t xml:space="preserve">3. Hoja «Tandas»: la unidad de trabajo que se le pide a Claude Code (un cambio OpenSpec cada una). Para cada fila responda «¿Tiene sentido?» (Sí / No / Con cambios / Duda), añada comentario, prioridad revisada (Sube / Se mantiene / Baja / Fuera) y, si aplica, la decisión de negocio que la condiciona. Las celdas amarillas son las únicas que se editan; el resto es la propuesta.</t>
  </si>
  <si>
    <t xml:space="preserve">4. Hoja «Gates»: decisiones que abren tandas. Registre la decisión tomada, quién y cuándo. Cuando una decisión se cierra, la tanda pasa de «escrita» a «ejecutable».</t>
  </si>
  <si>
    <t xml:space="preserve">5. Hoja «Calendario»: contraste de la Fase 1 con la meta del 31/12/2026. Las semanas con * en Tandas son estimadas y dependen de la decisión.</t>
  </si>
  <si>
    <t xml:space="preserve">6. Hoja «Resumen»: se calcula sola a partir de sus respuestas (cuántas tandas revisadas, cuántas con objeción por épica).</t>
  </si>
  <si>
    <t xml:space="preserve">Convenciones</t>
  </si>
  <si>
    <t xml:space="preserve">ID de tanda: F&lt;fase&gt;&lt;épica&gt;-&lt;nn&gt;. Tamaño: XS &lt; medio día · S un día · M dos o tres días · L cuatro o cinco días (se parte si no cabe en tres). Semana: número de semana de calendario de 2026 (S37 = 07/09). Fuente: apartado del Documento Maestro R08.1 (Mx.y, Cn = corrección, Pnn = punto abierto del Anexo D, ítem n = backlog §3.2) o acta.</t>
  </si>
  <si>
    <t xml:space="preserve">Ejemplo de fila revisada (columnas amarillas de la hoja Tandas): ¿Tiene sentido? = «Con cambios» · Comentario = «Incluir accesorios por foto ya en F1, no como mejora» · Prioridad revisada = «Sube» · Revisado por = «Johny» · Fecha = 11/09/2026.</t>
  </si>
  <si>
    <t xml:space="preserve">Regla de la sesión (convocatoria 03/09): cada bloque sale con una decisión escrita, o con un responsable y una fecha. Lo que no salga con ninguna de las dos vuelve al Anexo D y bloquea su tanda.</t>
  </si>
  <si>
    <t xml:space="preserve">Cambios R01.1 → R01.2 (10/09/2026)</t>
  </si>
  <si>
    <t xml:space="preserve">Fuentes: el plan docs/sdd/Desk2.0_Plan_Fases_y_Tandas_ClaudeCode_R01.1.md tal como quedó el 10/09, el registro F0-01_Correcciones_para_el_plan.md (entradas 1 a 5, aprobadas el 10/09; la 2 en su versión corregida), Decisiones_Gerencia_2026-09-10.md y el Documento Maestro R08.2. En la hoja Tandas, las columnas Q «Estado a 10/09» y R «Cambio en R01.2» dicen qué cambió en cada fila; las filas sin texto en R no cambian.</t>
  </si>
  <si>
    <t xml:space="preserve">1. Estado real: Fase 0 cerrada en tres días; en F1A cerradas C1, C11, C9 (parte técnica) y la auditoría el 09/09; F1B-01 ejecutada el 09/09. F1A-03 (C12) desbloqueada con los datos de los 181 tickets.</t>
  </si>
  <si>
    <t xml:space="preserve">2. Entradas 1–4 aplicadas: fuente de C11 (el maestro, no el acta) · gate corregido de F1A-03 · ancla del bodegaje de entrada (Fecha Remisión Entrada → Fecha OV) · auditar ≠ regenerar el mapa.</t>
  </si>
  <si>
    <t xml:space="preserve">3. Tandas nuevas: F1A-06 generador del mapa · F1A-07 IV-2 fechas del servidor · F1A-08 IV-4 tercera puerta de la OV · F1A-09 barrido de citas tras la R08.2 · F1B-10 orden único de guardas (entrada 5.a) · F1B-11 asociación OV ↔ ticket 1 : N y subOV de lote.</t>
  </si>
  <si>
    <t xml:space="preserve">4. F1B-03 ejecutable (P21 cerrado). F1B-08 recibe la vista «Todos», IV-1 y Remisión creada como espera con alarma de 72 h. F1D-06 anota que el tema 4 del 03/09 salió sin decisión.</t>
  </si>
  <si>
    <t xml:space="preserve">5. Hoja Gates: P21 decidido; registradas n52, subOV, vista «Todos», IV-2, mapa y la salida aprobada de P38, con las claves de Engram del repositorio. Siete gates nuevos pendientes: resto de P38 (Calidad), cargo que recibe el escalado de Remisión creada, vigencia de contrato, autor de la OVI de garantía, titularidad OV ↔ equipo (IV-8), P62 y P64.</t>
  </si>
  <si>
    <t xml:space="preserve">Por alinear en el plan .md: la fila de F1B-03 conserva el texto anterior a P21; la tabla de gates no incluye decision/iv2-fechas-derivadas, decision/mapa-blueprint-generado ni decision/subov-lote-convencion; la nota de F1D-06 no está aplicada; el catálogo §5 mantiene F1A-01 en XS.</t>
  </si>
  <si>
    <t xml:space="preserve">Fase</t>
  </si>
  <si>
    <t xml:space="preserve">Nombre</t>
  </si>
  <si>
    <t xml:space="preserve">Horizonte</t>
  </si>
  <si>
    <t xml:space="preserve">Duración</t>
  </si>
  <si>
    <t xml:space="preserve">Alcance</t>
  </si>
  <si>
    <t xml:space="preserve">Condición de entrada</t>
  </si>
  <si>
    <t xml:space="preserve">¿Tiene sentido?</t>
  </si>
  <si>
    <t xml:space="preserve">Comentario del revisor</t>
  </si>
  <si>
    <t xml:space="preserve">Prioridad revisada</t>
  </si>
  <si>
    <t xml:space="preserve">Revisado por</t>
  </si>
  <si>
    <t xml:space="preserve">Fecha</t>
  </si>
  <si>
    <t xml:space="preserve">F0</t>
  </si>
  <si>
    <t xml:space="preserve">Cimientos SDD</t>
  </si>
  <si>
    <t xml:space="preserve">S37 (07–09/09/2026) · ejecutada</t>
  </si>
  <si>
    <t xml:space="preserve">1,5 semanas previstas · 3 días reales</t>
  </si>
  <si>
    <t xml:space="preserve">Traducir el as-built a specs OpenSpec; CLAUDE.md; Engram; pruebas del motor; staging y CI.</t>
  </si>
  <si>
    <t xml:space="preserve">Ninguna decisión pendiente</t>
  </si>
  <si>
    <t xml:space="preserve">F1</t>
  </si>
  <si>
    <t xml:space="preserve">Réplica del Desk 1.0 + diagnóstico protocolizado + informes (MVP)</t>
  </si>
  <si>
    <t xml:space="preserve">S38–S53 (14/09–31/12/2026)</t>
  </si>
  <si>
    <t xml:space="preserve">15 semanas</t>
  </si>
  <si>
    <t xml:space="preserve">Paridad con Zoho Desk; correcciones C1–C12; decisiones del 10/09 (P21, P52, subOV, vista «Todos», fechas del servidor, mapa generado); motor de checklist dinámico con catálogo importado; módulo de informes; puesta en producción.</t>
  </si>
  <si>
    <t xml:space="preserve">Gates de §4.5 del plan (sesiones de los viernes)</t>
  </si>
  <si>
    <t xml:space="preserve">F2</t>
  </si>
  <si>
    <t xml:space="preserve">Operación interna completa</t>
  </si>
  <si>
    <t xml:space="preserve">2027 · T1</t>
  </si>
  <si>
    <t xml:space="preserve">—</t>
  </si>
  <si>
    <t xml:space="preserve">Kanban y KPIs (OTD, bodegajes), descuento de repuestos, comentarios predefinidos, app móvil responsive sin offline, migración documental.</t>
  </si>
  <si>
    <t xml:space="preserve">Datos limpios de la F1</t>
  </si>
  <si>
    <t xml:space="preserve">F3</t>
  </si>
  <si>
    <t xml:space="preserve">Área de cliente nivel básico y seguridad</t>
  </si>
  <si>
    <t xml:space="preserve">2027 · T2</t>
  </si>
  <si>
    <t xml:space="preserve">C8, ítem 26 (hoja de vida reducida y aprobación en un clic), identidad registrada, nueve puntos de seguridad.</t>
  </si>
  <si>
    <t xml:space="preserve">Etapa independiente (27/08)</t>
  </si>
  <si>
    <t xml:space="preserve">F4</t>
  </si>
  <si>
    <t xml:space="preserve">Eficiencia, capacidad y conocimiento</t>
  </si>
  <si>
    <t xml:space="preserve">2027 · S2</t>
  </si>
  <si>
    <t xml:space="preserve">Inventario transaccional, parámetro de carga y citas, dashboards por rol, capa RAG/KB, firmware, offline, QR/NFC.</t>
  </si>
  <si>
    <t xml:space="preserve">Parámetro de carga antes que agendamiento</t>
  </si>
  <si>
    <t xml:space="preserve">F5</t>
  </si>
  <si>
    <t xml:space="preserve">Promesa, predicción y ecosistema</t>
  </si>
  <si>
    <t xml:space="preserve">2028</t>
  </si>
  <si>
    <t xml:space="preserve">CTP, predicción de carga, agente conversacional, IoT, servicio premium, sustitución total de Zoho Desk.</t>
  </si>
  <si>
    <t xml:space="preserve">MVP con dato estructurado</t>
  </si>
  <si>
    <t xml:space="preserve">Épica</t>
  </si>
  <si>
    <t xml:space="preserve">Semanas</t>
  </si>
  <si>
    <t xml:space="preserve">Contenido</t>
  </si>
  <si>
    <t xml:space="preserve">Nº tandas</t>
  </si>
  <si>
    <t xml:space="preserve">S37 (ejecutada 07–09/09)</t>
  </si>
  <si>
    <t xml:space="preserve">Auditoría del as-built, specs as-built, Engram, pruebas, staging</t>
  </si>
  <si>
    <t xml:space="preserve">F1A</t>
  </si>
  <si>
    <t xml:space="preserve">Correcciones sin decisión pendiente</t>
  </si>
  <si>
    <t xml:space="preserve">S37–S38</t>
  </si>
  <si>
    <t xml:space="preserve">Cerradas el 09/09: C1, C11, C9 (parte técnica) y la auditoría. Pendientes: C12 (recuperación as-is), generador del mapa, IV-2 fechas del servidor, IV-4 tercera puerta OV, barrido de citas R08.2</t>
  </si>
  <si>
    <t xml:space="preserve">F1B</t>
  </si>
  <si>
    <t xml:space="preserve">Paridad funcional con el Desk 1.0</t>
  </si>
  <si>
    <t xml:space="preserve">S39–S44</t>
  </si>
  <si>
    <t xml:space="preserve">Ítems 1, 2, 4–10, 17, 19, 20, 22; flujos equipo nuevo y soporte remoto; orden único de guardas; asociación OV ↔ ticket 1 : N y subOV de lote</t>
  </si>
  <si>
    <t xml:space="preserve">F1C</t>
  </si>
  <si>
    <t xml:space="preserve">Correcciones que cambian el proceso</t>
  </si>
  <si>
    <t xml:space="preserve">S40–S48 (según decisiones)</t>
  </si>
  <si>
    <t xml:space="preserve">C2, C3, C4, C5, C6, C7+C9, C10, rutas abreviadas</t>
  </si>
  <si>
    <t xml:space="preserve">F1D</t>
  </si>
  <si>
    <t xml:space="preserve">Diagnóstico protocolizado con checklist dinámico</t>
  </si>
  <si>
    <t xml:space="preserve">S42–S47</t>
  </si>
  <si>
    <t xml:space="preserve">Modelo del catálogo, importador Excel, macro-fases, validación por macro, encadenamiento No OK, criterio de falla, falla nueva, Horiba</t>
  </si>
  <si>
    <t xml:space="preserve">F1E</t>
  </si>
  <si>
    <t xml:space="preserve">Módulo de informes</t>
  </si>
  <si>
    <t xml:space="preserve">S46–S50</t>
  </si>
  <si>
    <t xml:space="preserve">Informe de diagnóstico y de salida derivados del checklist; validación por dos personas</t>
  </si>
  <si>
    <t xml:space="preserve">F1F</t>
  </si>
  <si>
    <t xml:space="preserve">Puesta en producción</t>
  </si>
  <si>
    <t xml:space="preserve">S50–S53</t>
  </si>
  <si>
    <t xml:space="preserve">Migración de tickets abiertos, respaldo, aceptación, formación, Zoho a solo lectura</t>
  </si>
  <si>
    <t xml:space="preserve">2027 T1</t>
  </si>
  <si>
    <t xml:space="preserve">Ítems 13, 14, 15, 18 (sin offline), 30, 32, 37; comentarios predefinidos; P8/P54</t>
  </si>
  <si>
    <t xml:space="preserve">Área de cliente y seguridad</t>
  </si>
  <si>
    <t xml:space="preserve">2027 T2</t>
  </si>
  <si>
    <t xml:space="preserve">C8, 26, 29, 52; seguridad</t>
  </si>
  <si>
    <t xml:space="preserve">2027 S2</t>
  </si>
  <si>
    <t xml:space="preserve">Ítems 27, 28, 31–60 reordenados</t>
  </si>
  <si>
    <t xml:space="preserve">Ítems 61–76</t>
  </si>
  <si>
    <t xml:space="preserve">ID tanda</t>
  </si>
  <si>
    <t xml:space="preserve">Capacidad (spec)</t>
  </si>
  <si>
    <t xml:space="preserve">Fuente</t>
  </si>
  <si>
    <t xml:space="preserve">Gate (decisión necesaria)</t>
  </si>
  <si>
    <t xml:space="preserve">Tamaño</t>
  </si>
  <si>
    <t xml:space="preserve">Semana</t>
  </si>
  <si>
    <t xml:space="preserve">Decisión / condición</t>
  </si>
  <si>
    <t xml:space="preserve">Estado a 10/09</t>
  </si>
  <si>
    <t xml:space="preserve">Cambio en R01.2</t>
  </si>
  <si>
    <t xml:space="preserve">F0-00</t>
  </si>
  <si>
    <t xml:space="preserve">Auditoría del as-built</t>
  </si>
  <si>
    <t xml:space="preserve">Tanda sin código. sdd-explore con un sub-agente por frente: motor de flujo (34 transiciones/21 estados, hallazgos R04), esquema de datos vs Anexo G y diseños de docs/superpowers, sincronización Zoho, UI (qué replica ya Zoho Desk), pruebas y build (96 ficheros vitest, typecheck, lint), deuda (reclasificar debt.md). Veredicto conservar / refactorizar / rehacer por frente; baseline a Engram.</t>
  </si>
  <si>
    <t xml:space="preserve">todas las as-built</t>
  </si>
  <si>
    <t xml:space="preserve">Anexo H · debt.md · docs/superpowers</t>
  </si>
  <si>
    <t xml:space="preserve">M</t>
  </si>
  <si>
    <t xml:space="preserve">S37</t>
  </si>
  <si>
    <t xml:space="preserve">Cerrada (0e8f581)</t>
  </si>
  <si>
    <t xml:space="preserve">Estado. Seis frentes conservar, uno refactorizar.</t>
  </si>
  <si>
    <t xml:space="preserve">F0-01</t>
  </si>
  <si>
    <t xml:space="preserve">Init SDD, config, CLAUDE.md y export .md del documento maestro</t>
  </si>
  <si>
    <t xml:space="preserve">sdd-init sobre el repo; openspec/config.yaml (contexto, strict_tdd: true, reglas por fase); CLAUDE.md con las 12 reglas invariables y el mapa documental (§4.7); exportación docs/Manifesto/…_R08.1.md; decidir qué skills de .claude/.agent se conservan.</t>
  </si>
  <si>
    <t xml:space="preserve">Plan §4.4, §4.7</t>
  </si>
  <si>
    <t xml:space="preserve">S</t>
  </si>
  <si>
    <t xml:space="preserve">Cerrada (3d44e1e)</t>
  </si>
  <si>
    <t xml:space="preserve">Estado. El .md citable pasa a R08.2: ver F1A-09.</t>
  </si>
  <si>
    <t xml:space="preserve">F0-02</t>
  </si>
  <si>
    <t xml:space="preserve">Specs as-built de las capacidades existentes</t>
  </si>
  <si>
    <t xml:space="preserve">A partir del inventario de F0-00 y de docs/superpowers/specs: specs de transitions-st, permissions, remisiones, zoho-sync, derivacion-avisos, trazas, tickets-core tal como están, con los hallazgos R04 marcados «a corregir en Cx». Superpowers queda como histórico.</t>
  </si>
  <si>
    <t xml:space="preserve">M1.3, M1.9, Anexo G · docs/superpowers</t>
  </si>
  <si>
    <t xml:space="preserve">L</t>
  </si>
  <si>
    <t xml:space="preserve">S38</t>
  </si>
  <si>
    <t xml:space="preserve">Cerrada (38bd062 → 749d205)</t>
  </si>
  <si>
    <t xml:space="preserve">Estado. Siete specs as-built; equipo nuevo, soporte remoto, checklist e informes sin spec, por diseño.</t>
  </si>
  <si>
    <t xml:space="preserve">F0-03</t>
  </si>
  <si>
    <t xml:space="preserve">Proyecto Engram y carga de decisiones</t>
  </si>
  <si>
    <t xml:space="preserve">Proyecto Engram; decisiones cerradas (§1.8 y acta 03/09) como observaciones decision/*; convención de topic_key; evaluar Git Sync.</t>
  </si>
  <si>
    <t xml:space="preserve">§1.8, acta 03/09</t>
  </si>
  <si>
    <t xml:space="preserve">Cerrada (3aaa0f1)</t>
  </si>
  <si>
    <t xml:space="preserve">Estado.</t>
  </si>
  <si>
    <t xml:space="preserve">F0-04</t>
  </si>
  <si>
    <t xml:space="preserve">Pruebas del motor, staging y CI</t>
  </si>
  <si>
    <t xml:space="preserve">Pruebas mínimas del motor de transiciones (origen/destino declarados; Finalizado único terminal); staging en VPS Hostinger con PostgreSQL; CI.</t>
  </si>
  <si>
    <t xml:space="preserve">transitions-st</t>
  </si>
  <si>
    <t xml:space="preserve">M11.5</t>
  </si>
  <si>
    <t xml:space="preserve">Ejecutada · proposal.md sin actualizar</t>
  </si>
  <si>
    <t xml:space="preserve">Estado. 20 commits de pruebas y CI (110 ficheros). Su proposal.md sigue diciendo «pendiente de visto bueno»: cerrar el registro.</t>
  </si>
  <si>
    <t xml:space="preserve">F1A-01</t>
  </si>
  <si>
    <t xml:space="preserve">C1 · Guarda del checkbox obligatorio</t>
  </si>
  <si>
    <t xml:space="preserve">buildTransitionPlan: un checkbox obligatorio que no llega marcado detiene la transición (debt.md M-2). Dos piezas: el chequeo de obligatorio pasa por delante del bloque del checkbox, y la condición es «no llega marcado» (asBool(raw) !== true), no «llega vacío». Devuelve 422 y el ticket no se mueve.</t>
  </si>
  <si>
    <t xml:space="preserve">M1.7 · M11.7 · P33 · P64 (R08.2)</t>
  </si>
  <si>
    <t xml:space="preserve">Ninguno</t>
  </si>
  <si>
    <t xml:space="preserve">Cerrada 09/09 (ec0ed1f)</t>
  </si>
  <si>
    <t xml:space="preserve">Estado y contenido. Tamaño real S, no XS: eran dos piezas. El histórico escrito antes del arreglo queda como P64.</t>
  </si>
  <si>
    <t xml:space="preserve">F1A-02</t>
  </si>
  <si>
    <t xml:space="preserve">C11 · SLA de un día sobre Notificado</t>
  </si>
  <si>
    <t xml:space="preserve">SLA existente en Zoho; ampliado con correo redundante al cambiar de área y escalado al superior.</t>
  </si>
  <si>
    <t xml:space="preserve">transitions-st, derivacion-avisos</t>
  </si>
  <si>
    <t xml:space="preserve">M1.7 (R08.1.md:1570-1575) · P40 · Anexo H (:4561)</t>
  </si>
  <si>
    <t xml:space="preserve">Cerrada 09/09 (6ea3ca8, 5218d11)</t>
  </si>
  <si>
    <t xml:space="preserve">Entrada 1: la ampliación de C11 la firma el maestro (R08), no el acta del 03/09, que no trata C11. Se quita «acta 03/09 (ampliada)».</t>
  </si>
  <si>
    <t xml:space="preserve">F1A-03</t>
  </si>
  <si>
    <t xml:space="preserve">C12 · Verificación en equipo nuevo (recuperación as-is)</t>
  </si>
  <si>
    <t xml:space="preserve">La salida aprobada ya existe en la operación: Verificación —Liberación→ Finalizado (71 usos en 181 tickets). Liberación tiene dos orígenes (En Proceso y Verificación) y M1.4 pasa a seis transiciones. Se escribe en la spec transitions-equipo-nuevo antes de F1B-06. El estado Verificación se abre al empezar la verificación, no al terminarla (M7.3).</t>
  </si>
  <si>
    <t xml:space="preserve">transitions-equipo-nuevo</t>
  </si>
  <si>
    <t xml:space="preserve">M1.4 · M7.3 · P38 (parcialmente resuelto, R08.2)</t>
  </si>
  <si>
    <t xml:space="preserve">Ninguno para la transición (as-is: Verificación —Liberación→ Finalizado, 71 usos observados). La GUARDA de obligatoriedad por familia espera a Gustavo/Calidad · Anexo D nº 38. Se hace antes de F1B-06, que la hereda</t>
  </si>
  <si>
    <t xml:space="preserve">Desbloqueada 10/09 · sin código aún</t>
  </si>
  <si>
    <t xml:space="preserve">Entrada 2 en su versión corregida del 10/09. Estaba parada sin código; los 181 tickets la desbloquean sin esperar a Calidad.</t>
  </si>
  <si>
    <t xml:space="preserve">F1A-04</t>
  </si>
  <si>
    <t xml:space="preserve">C9 · Bodegajes contra Ingreso a Servicio</t>
  </si>
  <si>
    <t xml:space="preserve">C9 (parte técnica). Los tres bodegajes de M1.10 (:1685-1702) calculados sobre ticket_transitions; reanclar los indicadores 48 y 49 en la marca de «Ingreso a Servicio»; añadir el campo «fecha de aviso al cliente».</t>
  </si>
  <si>
    <t xml:space="preserve">trazas, kpis</t>
  </si>
  <si>
    <t xml:space="preserve">M1.10 · P41</t>
  </si>
  <si>
    <t xml:space="preserve">Definición ya resuelta en R08</t>
  </si>
  <si>
    <t xml:space="preserve">Cerrada 09/09 (e8c5e90)</t>
  </si>
  <si>
    <t xml:space="preserve">Entrada 3: el bodegaje de entrada se ancla en Fecha Remisión Entrada → Fecha OV (R08), no en la marca de Ingreso a Servicio, que sólo vale para los indicadores 48 y 49. Dejó expuesto el hito (bodegaje.ts, marcaIngresoAServicio); los indicadores se construyen en F1C-06, porque no hay módulo de KPIs.</t>
  </si>
  <si>
    <t xml:space="preserve">F1A-05</t>
  </si>
  <si>
    <t xml:space="preserve">audit-F1A</t>
  </si>
  <si>
    <t xml:space="preserve">Auditoría de blueprint leyendo el código tras C1, C11 y C9; C12 declarada fuera. Hallazgos al Anexo D.</t>
  </si>
  <si>
    <t xml:space="preserve">M11.6</t>
  </si>
  <si>
    <t xml:space="preserve">Ninguno. NO regenera docs/artefactos/ (no hay generador todavía); audita leyendo el código</t>
  </si>
  <si>
    <t xml:space="preserve">Ejecutada 09/09 (auditó e8c5e90)</t>
  </si>
  <si>
    <t xml:space="preserve">Entrada 4: la talla S es la de auditar, confirmada; no la de regenerar. El mapa lo produce F1A-06.</t>
  </si>
  <si>
    <t xml:space="preserve">F1A-06</t>
  </si>
  <si>
    <t xml:space="preserve">Generador del mapa del blueprint</t>
  </si>
  <si>
    <t xml:space="preserve">Script que genera docs/artefactos/blueprint-*.md (Mermaid stateDiagram-v2) desde transitions.ts, estados.ts y permissions.ts: diagrama completo más una vista por cada una de las tres fases de M1.3.1. Prueba anti-desfase en CI (mismo patrón que migrate.test.ts). docs/artefactos/blueprintserviciotecnico.html queda como histórico congelado en a3a8f03. Antes del criterio de aceptación hay que cerrar el hueco entre los 38 pasos que cita el maestro y los 36 que declara el código (34 con botón + 2 sin botón).</t>
  </si>
  <si>
    <t xml:space="preserve">Anexo F (R08.2) · Decisiones 10/09 §9 · entrada 4</t>
  </si>
  <si>
    <t xml:space="preserve">Ninguno (decision/mapa-blueprint-generado, 10/09)</t>
  </si>
  <si>
    <t xml:space="preserve">Por dimensionar (exploración corta; si da más que S se revisa la decisión)</t>
  </si>
  <si>
    <t xml:space="preserve">Escrita · sin gate</t>
  </si>
  <si>
    <t xml:space="preserve">Nueva (entrada 4, decidida 10/09). Va antes de F1B-06, para que los flujos nuevos nazcan con su diagrama.</t>
  </si>
  <si>
    <t xml:space="preserve">F1A-07</t>
  </si>
  <si>
    <t xml:space="preserve">IV-2 · Fechas derivadas impuestas por el servidor</t>
  </si>
  <si>
    <t xml:space="preserve">Fecha creación ticket, Fecha Remisión Entrada y Fecha Revisión Informe se calculan en el servidor, que ignora lo que llegue del navegador para esos tres campos. Hoy valoresTransicion.ts las deriva en el navegador y el servidor sólo exige que lleguen (transitionExec.ts:77). La zona horaria se fija de forma explícita: diaLocal usa la del proceso, y en el VPS cinco horas de cada día cambiarían de fecha. Decide la tanda: si recalcula siempre o respeta un valor ya escrito (semántica actual de yaEsta). Antes, barrer qué otros KPI o campos consumen las tres fechas.</t>
  </si>
  <si>
    <t xml:space="preserve">trazas</t>
  </si>
  <si>
    <t xml:space="preserve">M1.10 (R08.2) · Decisiones 10/09 §4</t>
  </si>
  <si>
    <t xml:space="preserve">Ninguno (decision/iv2-fechas-derivadas, 10/09)</t>
  </si>
  <si>
    <t xml:space="preserve">S (a confirmar)</t>
  </si>
  <si>
    <t xml:space="preserve">Nueva. Condición previa del bodegaje de entrada: con P21 cerrado, IV-2 deja de ser opcional.</t>
  </si>
  <si>
    <t xml:space="preserve">F1A-08</t>
  </si>
  <si>
    <t xml:space="preserve">IV-4 · Tercera puerta de la asociación OV ↔ ticket</t>
  </si>
  <si>
    <t xml:space="preserve">remision.ts:218-226 escribe salesorder_id sin pasar por ticketConOrdenVenta. Se valida como las otras dos puertas la regla que se mantiene: «una OV → un solo ticket vigente». El it.fails de ordenVentaUnTicket.test.ts:161 pasa a verde. El orden de las guardas se declara en F1B-10.</t>
  </si>
  <si>
    <t xml:space="preserve">remisiones, tickets-core</t>
  </si>
  <si>
    <t xml:space="preserve">Decisiones 10/09 §2 · M4.4 (R08.2)</t>
  </si>
  <si>
    <t xml:space="preserve">Ninguno (decision/n52-cardinalidad-ov la desbloquea)</t>
  </si>
  <si>
    <t xml:space="preserve">Nueva. IV-4 pasa de bloqueado a construible con la decisión n52.</t>
  </si>
  <si>
    <t xml:space="preserve">F1A-09</t>
  </si>
  <si>
    <t xml:space="preserve">Barrido de citas tras la R08.2</t>
  </si>
  <si>
    <t xml:space="preserve">Regenerar docs/Manifesto/…_R08.2.md desde el .docx y actualizar las citas por línea en specs, registros de correcciones, documento de decisiones, CLAUDE.md y este plan. El cambio de revisión desplaza todas las citas.</t>
  </si>
  <si>
    <t xml:space="preserve">R08.2 §1.2 «Después de esta revisión»</t>
  </si>
  <si>
    <t xml:space="preserve">Nueva. La R08.2 la declara tanda propia, no efecto secundario.</t>
  </si>
  <si>
    <t xml:space="preserve">F1B-01</t>
  </si>
  <si>
    <t xml:space="preserve">Serial único y autocompletado</t>
  </si>
  <si>
    <t xml:space="preserve">Código único de ticket por serial; serial obligatorio en la remisión; autocompletado de cliente, modelo y OV activas.</t>
  </si>
  <si>
    <t xml:space="preserve">tickets-core, zoho-sync</t>
  </si>
  <si>
    <t xml:space="preserve">Ítems 1, 19 · §1.8 (14/08, 20/08)</t>
  </si>
  <si>
    <t xml:space="preserve">S39</t>
  </si>
  <si>
    <t xml:space="preserve">Ejecutada según su documento (09/09, base c45bcb1) · cierra IV-6</t>
  </si>
  <si>
    <t xml:space="preserve">Estado según docs/sdd/F1B-01_Serial_llave_de_entrada.md. «OV activas» pasan a ser las OV libres: sin ticket vigente, no anuladas y fuera de cuarentena (F1B-11).</t>
  </si>
  <si>
    <t xml:space="preserve">F1B-02</t>
  </si>
  <si>
    <t xml:space="preserve">Hoja de vida: cuatro campos y enlace a Drive</t>
  </si>
  <si>
    <t xml:space="preserve">Alta por Comercial; fecha de adquisición, fecha de factura, fin de garantía, código interno del cliente (identificador secundario); botón de enlace a la carpeta de Drive (fase 0 de migración).</t>
  </si>
  <si>
    <t xml:space="preserve">hojas-vida</t>
  </si>
  <si>
    <t xml:space="preserve">Ítem 9 · P8 · 27/08</t>
  </si>
  <si>
    <t xml:space="preserve">decision/p8-p54-drive · quién carga los campos</t>
  </si>
  <si>
    <t xml:space="preserve">Escrita · espera gate</t>
  </si>
  <si>
    <t xml:space="preserve">F1B-03</t>
  </si>
  <si>
    <t xml:space="preserve">Tipo de servicio y ticket sin OV</t>
  </si>
  <si>
    <t xml:space="preserve">Desplegable inicial (Clasificaciones) que oculta pasos; prefijos autogenerados y sólo documentales (P37). P21: se confirma el modelo construido, OV opcional al crear el ticket y obligatoria en Habilitar Servicio («obligatoria para trabajar, no para recibir»). Habilitar Servicio exige remisión de entrada vigente en los tres orígenes. Retirar el origen Ticket creado obliga a relajar a propósito el invariante 3 (admitir estados cuya única salida la aplica el servidor); el recuento de pasos resultante se mide, no se supone. Garantía: OVI a nombre del cliente real (cambio de práctica). Antes de cambiar, contar los tickets que llegaron a Ingresado sin remisión.</t>
  </si>
  <si>
    <t xml:space="preserve">tickets-core, transitions-st</t>
  </si>
  <si>
    <t xml:space="preserve">Ítems 2, 20 · P21 (cerrado) · P37 · M1.2 (R08.2) · Decisiones 10/09 §7</t>
  </si>
  <si>
    <t xml:space="preserve">decision/p21-ingreso-sin-ov CERRADO 10/09 · pendiente: decision/ovi-garantia-autor</t>
  </si>
  <si>
    <t xml:space="preserve">S40</t>
  </si>
  <si>
    <t xml:space="preserve">Ejecutable (gate cerrado 10/09)</t>
  </si>
  <si>
    <t xml:space="preserve">P21 cerrado: deja de ser regla parametrizada. Se añade la guarda de remisión vigente y la OVI de garantía; pasa de M a L y se parte si no cabe en tres días. El trabajo de Remisión creada como espera va a F1B-08.</t>
  </si>
  <si>
    <t xml:space="preserve">F1B-04</t>
  </si>
  <si>
    <t xml:space="preserve">Recepción unificada y fin del texto libre</t>
  </si>
  <si>
    <t xml:space="preserve">Remisión con datos de cliente y equipo; accesorios por lista cerrada; foto sólo con novedad; rotulación y almacenamiento; desplegables en etapas críticas.</t>
  </si>
  <si>
    <t xml:space="preserve">Ítems 4, 10 · acta 03/09 tema 2</t>
  </si>
  <si>
    <t xml:space="preserve">F1B-05</t>
  </si>
  <si>
    <t xml:space="preserve">Roles, traspaso, checkbox comercial y trazas</t>
  </si>
  <si>
    <t xml:space="preserve">Permisos y vistas por área; traspaso formal al cambiar de fase; checkbox «Cumple condiciones comerciales»; fecha, hora y persona en toda transición, sin excepciones.</t>
  </si>
  <si>
    <t xml:space="preserve">permissions, trazas</t>
  </si>
  <si>
    <t xml:space="preserve">Ítems 5, 6, 7 · R08</t>
  </si>
  <si>
    <t xml:space="preserve">S41</t>
  </si>
  <si>
    <t xml:space="preserve">F1B-06</t>
  </si>
  <si>
    <t xml:space="preserve">Blueprints equipo nuevo y soporte remoto</t>
  </si>
  <si>
    <t xml:space="preserve">Flujos M1.4 y M1.5 en transitions.ts con la misma convención. Equipo nuevo con seis transiciones (Liberación desde En Proceso y desde Verificación), heredadas de F1A-03 y construidas con los datos observados. Salida rechazada de Verificación según P38. Comercial y posible-cliente se proponen dejar en Zoho CRM en 2026. El diagrama lo produce F1A-06 sin trabajo extra.</t>
  </si>
  <si>
    <t xml:space="preserve">transitions-equipo-nuevo, transitions-soporte-remoto</t>
  </si>
  <si>
    <t xml:space="preserve">M1.4, M1.5, M1.11, M1.12</t>
  </si>
  <si>
    <t xml:space="preserve">decision/flujos-comercial-posible-cliente · decision/p38-verificacion-calidad (sólo la guarda y la salida rechazada)</t>
  </si>
  <si>
    <t xml:space="preserve">S42</t>
  </si>
  <si>
    <t xml:space="preserve">Seis transiciones en equipo nuevo, no cinco. P38 como gate parcial.</t>
  </si>
  <si>
    <t xml:space="preserve">F1B-07</t>
  </si>
  <si>
    <t xml:space="preserve">Prioridad automática y «Mis tickets»</t>
  </si>
  <si>
    <t xml:space="preserve">High/Low por calificación de cliente y contrato (as-is R05); lista autoordenada; edición bloqueada al técnico.</t>
  </si>
  <si>
    <t xml:space="preserve">tickets-core</t>
  </si>
  <si>
    <t xml:space="preserve">Ítem 8 · R05</t>
  </si>
  <si>
    <t xml:space="preserve">decision/top5-prioridad</t>
  </si>
  <si>
    <t xml:space="preserve">S43</t>
  </si>
  <si>
    <t xml:space="preserve">F1B-08</t>
  </si>
  <si>
    <t xml:space="preserve">Paridad de vistas y política Zoho</t>
  </si>
  <si>
    <t xml:space="preserve">Listado y ficha equivalentes a Zoho Desk; lectura Zoho verificada en tickets, OV y contactos; política de escritura (P44). Tablero: IV-1 (la regex de boardView.ts:35 acierta 2 de 8 estados en_espera; se sustituye por ESTADOS_EN_ESPERA). Remisión creada entra en en_espera con área Comercial (hoy «ninguna», estados.ts:90) y alarma de 72 h en SLA_HORAS_POR_ESTADO (sla.ts:34). La vista «Todos» devuelve también los cerrados, pedidos al seleccionarla; se separa case 'todos' de default.</t>
  </si>
  <si>
    <t xml:space="preserve">Ítems 17, 22 · P44 · Decisiones 10/09 §3 y §7.1–7.2</t>
  </si>
  <si>
    <t xml:space="preserve">decision/p44-escritura-zoho · decision/escalado-remision-creada (la alarma pone roja la guarda de C11 hasta declarar el cargo de Comercial que recibe el escalado)</t>
  </si>
  <si>
    <t xml:space="preserve">S44</t>
  </si>
  <si>
    <t xml:space="preserve">Recibe la vista «Todos» (decision/vista-todos-tablero), IV-1 y Remisión creada como espera con alarma. Pasa de M a L.</t>
  </si>
  <si>
    <t xml:space="preserve">F1B-10</t>
  </si>
  <si>
    <t xml:space="preserve">Orden único de precedencia entre guardas</t>
  </si>
  <si>
    <t xml:space="preserve">Orden único de precedencia entre guardas en las dos puertas del motor (createManagedTicket y executeTransition), y en la del alta de remisión; unifica transitions-st §3.8 (a) y (b) y tickets-core §4.1. Hoy las dos puertas de la OV evalúan la misma regla en órdenes opuestos (409 frente a 422) y el 409 de estado contesta antes que el 403 de área. De las 12 pruebas de precedencia cambian al menos 2 y, con el orden «422 antes que 409», 6; tres cambian el error que ve el usuario.</t>
  </si>
  <si>
    <t xml:space="preserve">transitions-st, tickets-core</t>
  </si>
  <si>
    <t xml:space="preserve">transitions-st §3.8 (a) y (b) · tickets-core §4.1 · entrada 5.a de F0-01</t>
  </si>
  <si>
    <t xml:space="preserve">— (ninguno técnico; el orden se declara en la spec)</t>
  </si>
  <si>
    <t xml:space="preserve">Por asignar</t>
  </si>
  <si>
    <t xml:space="preserve">Nueva (entrada 5.a). Numeración del plan .md: F1B-10.</t>
  </si>
  <si>
    <t xml:space="preserve">F1B-09</t>
  </si>
  <si>
    <t xml:space="preserve">audit-F1B</t>
  </si>
  <si>
    <t xml:space="preserve">Auditoría de los tres flujos (servicio técnico, equipo nuevo, soporte remoto) leyendo el código; extensión a equipo nuevo y soporte remoto como pide M11.6.</t>
  </si>
  <si>
    <t xml:space="preserve">Ninguno. Hereda el generador de decision/mapa-blueprint-generado, que se construye en F1A (F1A-06) antes de F1B-06; la extensión de M11.6 deja de ser manual</t>
  </si>
  <si>
    <t xml:space="preserve">Entrada 4: auditar (S) queda separado de dibujar (F1A-06).</t>
  </si>
  <si>
    <t xml:space="preserve">F1B-11</t>
  </si>
  <si>
    <t xml:space="preserve">Asociación OV ↔ ticket (1 : N) y subOV de lote</t>
  </si>
  <si>
    <t xml:space="preserve">Tabla de asociación propia de la app: ticket, OV, transición que asocia, fecha, hora y persona. La FK no puede ir en sales_orders: books.sales_orders es réplica del hub (schema.sql:160) y el sync la borraría. Una asociación se marca liberada con motivo; nunca se borra. Índice único parcial: una OV con un solo ticket vigente. Aprobación y Aprobación y S. Repuestos añaden OV sin sustituir la de entrada; la fecha de OC vive en cada asociación (resuelve su reentrancia) y el bodegaje de entrada toma la de la OV asociada en Habilitar Servicio. SubOV de lote (opción A): formato OV-AAAA-NNN-SS, cuarentena de números no canónicos, saldo por lote (creadas / consumidas / libres), exclusión de OV anuladas o en borrador (el estado ya se sincroniza, schema.sql:161), acción manual «liberar subOV» con traza hasta que exista C2. El N° Ticket de Books (cf_n_ticket) sólo sugiere en el desplegable.</t>
  </si>
  <si>
    <t xml:space="preserve">M4.4 (R08.2) · P52 (cerrado) · Decisiones 10/09 §2, §7.5 y §8</t>
  </si>
  <si>
    <t xml:space="preserve">decision/vigencia-contrato (no bloquea el núcleo) · decision/titularidad-ov-equipo (IV-8)</t>
  </si>
  <si>
    <t xml:space="preserve">S41 (propuesta)</t>
  </si>
  <si>
    <t xml:space="preserve">Ejecutable (núcleo)</t>
  </si>
  <si>
    <t xml:space="preserve">Nueva. Decisiones del 10/09 (decision/n52-cardinalidad-ov y decision/subov-lote-convencion). Se parte en dos cambios: asociación 1 : N y subOV de lote. Antes: barrer si ya existe alguna subOV con formato _1.</t>
  </si>
  <si>
    <t xml:space="preserve">F1C-01</t>
  </si>
  <si>
    <t xml:space="preserve">C2 · Estado Anulado con motivo</t>
  </si>
  <si>
    <t xml:space="preserve">Terminal Anulado con motivo tipificado; excluido de las tres métricas de servicios cumplidos; tratamiento del histórico. Al anular, libera las subOV no consumidas del ticket (sustituye la acción manual de F1B-11).</t>
  </si>
  <si>
    <t xml:space="preserve">transitions-st, kpis</t>
  </si>
  <si>
    <t xml:space="preserve">M1.10 · P32</t>
  </si>
  <si>
    <t xml:space="preserve">decision/c2-anulado</t>
  </si>
  <si>
    <t xml:space="preserve">S40*</t>
  </si>
  <si>
    <t xml:space="preserve">Añade la liberación de subOV (decisión 10/09).</t>
  </si>
  <si>
    <t xml:space="preserve">F1C-02</t>
  </si>
  <si>
    <t xml:space="preserve">C4 · Dos ramas facturar/entregar</t>
  </si>
  <si>
    <t xml:space="preserve">Elimina el ciclo; estado Pendiente de facturar; conserva la primera fecha de remisión de salida.</t>
  </si>
  <si>
    <t xml:space="preserve">M1.3.5 · P34 · P6</t>
  </si>
  <si>
    <t xml:space="preserve">decision/c4-dos-ramas</t>
  </si>
  <si>
    <t xml:space="preserve">S41*</t>
  </si>
  <si>
    <t xml:space="preserve">F1C-03</t>
  </si>
  <si>
    <t xml:space="preserve">C3 · Salida de las cuatro esperas</t>
  </si>
  <si>
    <t xml:space="preserve">Transición de escape con caducidad; vía de escape manual con traza y motivo.</t>
  </si>
  <si>
    <t xml:space="preserve">M1.3.4 · P31</t>
  </si>
  <si>
    <t xml:space="preserve">decision/c3-salida-esperas</t>
  </si>
  <si>
    <t xml:space="preserve">S43*</t>
  </si>
  <si>
    <t xml:space="preserve">F1C-04</t>
  </si>
  <si>
    <t xml:space="preserve">C5 · Tipo de evento por transición</t>
  </si>
  <si>
    <t xml:space="preserve">Atributo operativo/decisional/logístico en las 34 transiciones; desambiguar «Creación de informe».</t>
  </si>
  <si>
    <t xml:space="preserve">M1.8 · P35</t>
  </si>
  <si>
    <t xml:space="preserve">decision/c5-tipo-evento</t>
  </si>
  <si>
    <t xml:space="preserve">S44*</t>
  </si>
  <si>
    <t xml:space="preserve">F1C-05</t>
  </si>
  <si>
    <t xml:space="preserve">C10 · Permisos por cargo y propietario</t>
  </si>
  <si>
    <t xml:space="preserve">Tres niveles: área, cargo, propietario del registro; Liberación sin factura exclusiva del gerente comercial.</t>
  </si>
  <si>
    <t xml:space="preserve">permissions</t>
  </si>
  <si>
    <t xml:space="preserve">M1.9.1 · P39</t>
  </si>
  <si>
    <t xml:space="preserve">decision/c10-permisos-cargo</t>
  </si>
  <si>
    <t xml:space="preserve">F1C-06</t>
  </si>
  <si>
    <t xml:space="preserve">C7 + C9 · Esperas que paran el reloj</t>
  </si>
  <si>
    <t xml:space="preserve">Sub-estados de pausa; los tres bodegajes como tiempo a descontar del SLA. Construye los indicadores 48, 49 y 56 sobre el hito que dejó F1A-04 (marcaIngresoAServicio, bodegaje.ts). Bodegaje de entrada = tiempo en Remisión creada, de Fecha Remisión Entrada a la OV de entrada. Depende de F1A-07.</t>
  </si>
  <si>
    <t xml:space="preserve">M1.10 · M1.6c</t>
  </si>
  <si>
    <t xml:space="preserve">decision/c7-reloj-sla</t>
  </si>
  <si>
    <t xml:space="preserve">S46*</t>
  </si>
  <si>
    <t xml:space="preserve">Recoge los indicadores que F1A-04 no pudo construir por falta de módulo de KPIs; bodegaje de entrada sobre Remisión creada (10/09).</t>
  </si>
  <si>
    <t xml:space="preserve">F1C-07</t>
  </si>
  <si>
    <t xml:space="preserve">C6 · QA/QC antes de la liberación</t>
  </si>
  <si>
    <t xml:space="preserve">Etapa de QA con retrabajo; base de las validaciones con firma; depende de C12. Modelable sobre la Verificación de equipo nuevo, una vez cerrado lo que queda de P38.</t>
  </si>
  <si>
    <t xml:space="preserve">M9.1</t>
  </si>
  <si>
    <t xml:space="preserve">decision/c6-qa-liberacion · decision/p38-verificacion-calidad</t>
  </si>
  <si>
    <t xml:space="preserve">S47*</t>
  </si>
  <si>
    <t xml:space="preserve">Añade P38 como condición previa.</t>
  </si>
  <si>
    <t xml:space="preserve">F1C-08</t>
  </si>
  <si>
    <t xml:space="preserve">Rutas abreviadas</t>
  </si>
  <si>
    <t xml:space="preserve">Equipo sin novedades y calibración directa.</t>
  </si>
  <si>
    <t xml:space="preserve">M1.6 · P15 · P59</t>
  </si>
  <si>
    <t xml:space="preserve">decision/p15-p59-rutas</t>
  </si>
  <si>
    <t xml:space="preserve">S48*</t>
  </si>
  <si>
    <t xml:space="preserve">F1D-01</t>
  </si>
  <si>
    <t xml:space="preserve">Modelo de datos del catálogo</t>
  </si>
  <si>
    <t xml:space="preserve">Fase → nivel macro → subnivel → ítem; por ítem: qué, cómo, tipo de dato y límites, obligatoriedad, criterio de falla, evidencia, repuesto, acción si No OK, ítems relacionados, comentario de falla; versionado por marca-modelo.</t>
  </si>
  <si>
    <t xml:space="preserve">diagnostico-checklist</t>
  </si>
  <si>
    <t xml:space="preserve">M2.2 · acta 03/09 tema 3 · Excel GRIMM v9</t>
  </si>
  <si>
    <t xml:space="preserve">Ninguno (estructura validada 03/09)</t>
  </si>
  <si>
    <t xml:space="preserve">F1D-02</t>
  </si>
  <si>
    <t xml:space="preserve">Importador desde Excel</t>
  </si>
  <si>
    <t xml:space="preserve">Carga del catálogo (GRIMM EDM180 v9, Horiba APxA-370) con validación y reporte de filas rechazadas; reentrante.</t>
  </si>
  <si>
    <t xml:space="preserve">M2.1 (plantillas Excel)</t>
  </si>
  <si>
    <t xml:space="preserve">Versión depurada del Excel (11/09); se puede importar v9</t>
  </si>
  <si>
    <t xml:space="preserve">F1D-03</t>
  </si>
  <si>
    <t xml:space="preserve">Niveles macro (N1) como transiciones internas</t>
  </si>
  <si>
    <t xml:space="preserve">Transiciones dentro de Rev./Diagnostico generadas desde el N1 del catálogo importado (los ocho N1 del GRIMM o su agrupación en las cuatro macro-fases, según P45); N2/N3 son los checkpoints; el equipo sin novedades recorre las macros.</t>
  </si>
  <si>
    <t xml:space="preserve">transitions-st, diagnostico-checklist</t>
  </si>
  <si>
    <t xml:space="preserve">M2.1 · P59 · docs/inspecciones</t>
  </si>
  <si>
    <t xml:space="preserve">decision/p45-macro-fases (¿transición = N1 o macro-fase?)</t>
  </si>
  <si>
    <t xml:space="preserve">F1D-04</t>
  </si>
  <si>
    <t xml:space="preserve">Captura por visita y validación por macro</t>
  </si>
  <si>
    <t xml:space="preserve">Macro OK → subniveles conformes; No OK → despliegue del detalle; OK/No OK obligatorio para transicionar; valores con rango; foto sólo con novedad.</t>
  </si>
  <si>
    <t xml:space="preserve">M2.3 · acta 03/09</t>
  </si>
  <si>
    <t xml:space="preserve">S45</t>
  </si>
  <si>
    <t xml:space="preserve">F1D-05</t>
  </si>
  <si>
    <t xml:space="preserve">Encadenamiento No OK</t>
  </si>
  <si>
    <t xml:space="preserve">Activación de ítems relacionados (tabla origen → destino como «Flujo No OK 2»); rama activa; acción sugerida; traza de activación.</t>
  </si>
  <si>
    <t xml:space="preserve">Excel v7/v9 · tarea Gerencia 11/09</t>
  </si>
  <si>
    <t xml:space="preserve">S46</t>
  </si>
  <si>
    <t xml:space="preserve">F1D-06</t>
  </si>
  <si>
    <t xml:space="preserve">Criterio de falla en acción y repuestos por etapa</t>
  </si>
  <si>
    <t xml:space="preserve">Alerta registra; Cobrable genera línea de cotización (repuesto + horas); Bloqueante impide liberar; sólo repuestos de la etapa (Zoho Books por categoría).</t>
  </si>
  <si>
    <t xml:space="preserve">diagnostico-checklist, inventario-lectura</t>
  </si>
  <si>
    <t xml:space="preserve">M2.2 · M2.3 R08 · ítem 12 (tema tratado sin decisión: sólo tarea, acta:368-370)</t>
  </si>
  <si>
    <t xml:space="preserve">Barrido del registro F0-01: el tema 4 del 03/09 salió sin decisión. No cambia la tanda; cambia lo que espera quien la ejecute.</t>
  </si>
  <si>
    <t xml:space="preserve">F1D-07</t>
  </si>
  <si>
    <t xml:space="preserve">Formulario de falla nueva</t>
  </si>
  <si>
    <t xml:space="preserve">Formulario condicional con la misma estructura del catálogo; alimenta la base de conocimiento; bloqueante o aviso según decisión.</t>
  </si>
  <si>
    <t xml:space="preserve">Acta 03/09 tema 5</t>
  </si>
  <si>
    <t xml:space="preserve">decision/falla-nueva-bloqueante (Gustavo)</t>
  </si>
  <si>
    <t xml:space="preserve">S47</t>
  </si>
  <si>
    <t xml:space="preserve">F1D-08</t>
  </si>
  <si>
    <t xml:space="preserve">Segundo equipo (Horiba APxA-370)</t>
  </si>
  <si>
    <t xml:space="preserve">Importar y recorrer un Horiba para demostrar que incorporar un equipo es configuración.</t>
  </si>
  <si>
    <t xml:space="preserve">Acta 03/09 (macros coinciden)</t>
  </si>
  <si>
    <t xml:space="preserve">Catálogo Horiba depurado</t>
  </si>
  <si>
    <t xml:space="preserve">F1D-09</t>
  </si>
  <si>
    <t xml:space="preserve">audit-F1D</t>
  </si>
  <si>
    <t xml:space="preserve">Coherencia macro-transiciones ↔ catálogo; ítems sin criterio; ramas sin salida.</t>
  </si>
  <si>
    <t xml:space="preserve">F1E-01</t>
  </si>
  <si>
    <t xml:space="preserve">Modelo del informe</t>
  </si>
  <si>
    <t xml:space="preserve">Tres bloques (estado inicial, diagnóstico, repuestos); campos abiertos en F1; comentario de falla volcado automáticamente ante No OK.</t>
  </si>
  <si>
    <t xml:space="preserve">informes</t>
  </si>
  <si>
    <t xml:space="preserve">Acta 03/09 tema 6 · M2.5</t>
  </si>
  <si>
    <t xml:space="preserve">decision/p14-remisiones-entrada</t>
  </si>
  <si>
    <t xml:space="preserve">F1E-02</t>
  </si>
  <si>
    <t xml:space="preserve">Informe de diagnóstico</t>
  </si>
  <si>
    <t xml:space="preserve">Generación por plantilla desde ticket + checklist; nomenclatura legible por comentario, sin diccionario aparte.</t>
  </si>
  <si>
    <t xml:space="preserve">M2.5 · acta 03/09</t>
  </si>
  <si>
    <t xml:space="preserve">F1E-03</t>
  </si>
  <si>
    <t xml:space="preserve">Informe de salida con motivos tipificados</t>
  </si>
  <si>
    <t xml:space="preserve">Rojo → verde si se corrigió; rojo con motivo (cliente no aprueba · repuesto inexistente · sin solución); evidencia; conclusión derivada.</t>
  </si>
  <si>
    <t xml:space="preserve">M2.5 (27/08)</t>
  </si>
  <si>
    <t xml:space="preserve">C2 recomendado antes</t>
  </si>
  <si>
    <t xml:space="preserve">S48</t>
  </si>
  <si>
    <t xml:space="preserve">F1E-04</t>
  </si>
  <si>
    <t xml:space="preserve">Validación por dos personas y firma</t>
  </si>
  <si>
    <t xml:space="preserve">Revisión ligada a roles; firma automática por etapa; informe emitido inmutable en la hoja de vida.</t>
  </si>
  <si>
    <t xml:space="preserve">informes, permissions</t>
  </si>
  <si>
    <t xml:space="preserve">P10 · M9.1</t>
  </si>
  <si>
    <t xml:space="preserve">decision/roles-validacion-informe</t>
  </si>
  <si>
    <t xml:space="preserve">S49</t>
  </si>
  <si>
    <t xml:space="preserve">F1E-05</t>
  </si>
  <si>
    <t xml:space="preserve">Flujo del informe en el documento maestro</t>
  </si>
  <si>
    <t xml:space="preserve">Entregable documental (compromiso 27/08) reflejado en la spec informes.</t>
  </si>
  <si>
    <t xml:space="preserve">Entregable 3</t>
  </si>
  <si>
    <t xml:space="preserve">doc</t>
  </si>
  <si>
    <t xml:space="preserve">S50</t>
  </si>
  <si>
    <t xml:space="preserve">F1F-01</t>
  </si>
  <si>
    <t xml:space="preserve">Migración de tickets abiertos y fecha de corte</t>
  </si>
  <si>
    <t xml:space="preserve">Tickets abiertos de Zoho Desk al estado equivalente; regla de corte.</t>
  </si>
  <si>
    <t xml:space="preserve">zoho-sync, tickets-core</t>
  </si>
  <si>
    <t xml:space="preserve">decision/fecha-corte</t>
  </si>
  <si>
    <t xml:space="preserve">F1F-02</t>
  </si>
  <si>
    <t xml:space="preserve">Respaldo y continuidad</t>
  </si>
  <si>
    <t xml:space="preserve">Exportación periódica de PostgreSQL, adjuntos e informes; formato y periodicidad (M12.8 propuesto).</t>
  </si>
  <si>
    <t xml:space="preserve">Convocatoria 03/09</t>
  </si>
  <si>
    <t xml:space="preserve">decision/p55-backup</t>
  </si>
  <si>
    <t xml:space="preserve">S51</t>
  </si>
  <si>
    <t xml:space="preserve">F1F-03</t>
  </si>
  <si>
    <t xml:space="preserve">Aceptación con servicios reales</t>
  </si>
  <si>
    <t xml:space="preserve">Dos o tres servicios reales con Servicio Técnico; ajustes.</t>
  </si>
  <si>
    <t xml:space="preserve">Recomendación Excel v9</t>
  </si>
  <si>
    <t xml:space="preserve">S51–S52</t>
  </si>
  <si>
    <t xml:space="preserve">F1F-04</t>
  </si>
  <si>
    <t xml:space="preserve">Formación, Zoho a solo lectura, audit-F1</t>
  </si>
  <si>
    <t xml:space="preserve">Formación breve; Zoho Desk a solo lectura; auditoría final; Anexo H.</t>
  </si>
  <si>
    <t xml:space="preserve">S53</t>
  </si>
  <si>
    <t xml:space="preserve">F2-01</t>
  </si>
  <si>
    <t xml:space="preserve">Dashboard operativo Kanban</t>
  </si>
  <si>
    <t xml:space="preserve">WIP por etapa y riesgo de compromiso.</t>
  </si>
  <si>
    <t xml:space="preserve">kpis</t>
  </si>
  <si>
    <t xml:space="preserve">Ítem 13</t>
  </si>
  <si>
    <t xml:space="preserve">Datos F1</t>
  </si>
  <si>
    <t xml:space="preserve">Futura</t>
  </si>
  <si>
    <t xml:space="preserve">F2-02</t>
  </si>
  <si>
    <t xml:space="preserve">KPIs de OTD y lead times</t>
  </si>
  <si>
    <t xml:space="preserve">OTD, lead time total y de cotización; tres bodegajes; Anulado excluido. Bodegaje de entrada = tiempo en Remisión creada. La verificación de equipo nuevo no se mide con la duración del estado mientras se registre al terminar (M7.3). Las OVI se excluyen de los KPI de ingresos y ticket promedio.</t>
  </si>
  <si>
    <t xml:space="preserve">Ítem 14 · C9</t>
  </si>
  <si>
    <t xml:space="preserve">C2 · F1A-07 (fechas del servidor)</t>
  </si>
  <si>
    <t xml:space="preserve">Añade las precisiones de medición del 10/09, la exclusión de OVI y la dependencia de IV-2.</t>
  </si>
  <si>
    <t xml:space="preserve">F2-03</t>
  </si>
  <si>
    <t xml:space="preserve">Descuento de repuesto usado</t>
  </si>
  <si>
    <t xml:space="preserve">Sobre orden aprobada.</t>
  </si>
  <si>
    <t xml:space="preserve">inventario</t>
  </si>
  <si>
    <t xml:space="preserve">Ítem 15</t>
  </si>
  <si>
    <t xml:space="preserve">P44</t>
  </si>
  <si>
    <t xml:space="preserve">F2-04</t>
  </si>
  <si>
    <t xml:space="preserve">Comentarios predefinidos</t>
  </si>
  <si>
    <t xml:space="preserve">A partir del análisis de ~90 tickets (tres lotes de 30).</t>
  </si>
  <si>
    <t xml:space="preserve">informes, diagnostico-checklist</t>
  </si>
  <si>
    <t xml:space="preserve">Acta 03/09 tema 6</t>
  </si>
  <si>
    <t xml:space="preserve">Volumen de tickets</t>
  </si>
  <si>
    <t xml:space="preserve">F2-05</t>
  </si>
  <si>
    <t xml:space="preserve">Liberación de mesa y solicitud automática de materiales</t>
  </si>
  <si>
    <t xml:space="preserve">Cola de espera sin aprobación en plazo; solicitud al entrar en espera de repuesto.</t>
  </si>
  <si>
    <t xml:space="preserve">Ítems 30, 32</t>
  </si>
  <si>
    <t xml:space="preserve">F2-06</t>
  </si>
  <si>
    <t xml:space="preserve">App móvil/tablet responsive</t>
  </si>
  <si>
    <t xml:space="preserve">Checklists, fotos y firma; sin offline.</t>
  </si>
  <si>
    <t xml:space="preserve">Ítem 18</t>
  </si>
  <si>
    <t xml:space="preserve">F2-07</t>
  </si>
  <si>
    <t xml:space="preserve">Migración del histórico documental y Drive</t>
  </si>
  <si>
    <t xml:space="preserve">Herramienta independiente; convivencia con Drive.</t>
  </si>
  <si>
    <t xml:space="preserve">P8 · P54</t>
  </si>
  <si>
    <t xml:space="preserve">Responsable</t>
  </si>
  <si>
    <t xml:space="preserve">F2-08</t>
  </si>
  <si>
    <t xml:space="preserve">Calendario de vencimientos de calibración</t>
  </si>
  <si>
    <t xml:space="preserve">Interno, Grimm.</t>
  </si>
  <si>
    <t xml:space="preserve">Ítem 37</t>
  </si>
  <si>
    <t xml:space="preserve">F3-01</t>
  </si>
  <si>
    <t xml:space="preserve">C8 · Estados → etapas visibles del portal</t>
  </si>
  <si>
    <t xml:space="preserve">Traducción de los 21 estados.</t>
  </si>
  <si>
    <t xml:space="preserve">portal</t>
  </si>
  <si>
    <t xml:space="preserve">C8 · M8.2</t>
  </si>
  <si>
    <t xml:space="preserve">F3-02</t>
  </si>
  <si>
    <t xml:space="preserve">Área de cliente nivel básico</t>
  </si>
  <si>
    <t xml:space="preserve">Hoja de vida reducida, seguimiento, aprobación de cotizaciones en un clic (piloto con contratos).</t>
  </si>
  <si>
    <t xml:space="preserve">Ítems 26, 29 · M8.2, M8.3, M8.6</t>
  </si>
  <si>
    <t xml:space="preserve">Seguridad previa</t>
  </si>
  <si>
    <t xml:space="preserve">F3-03</t>
  </si>
  <si>
    <t xml:space="preserve">Identidad registrada y seguridad</t>
  </si>
  <si>
    <t xml:space="preserve">OAuth2/OIDC; ciclo de vida de usuarios del cliente; MFA; certificados no enumerables; firmware; filtro KBI/KBE; datos personales; incidentes; sesiones; revisión previa.</t>
  </si>
  <si>
    <t xml:space="preserve">portal, permissions</t>
  </si>
  <si>
    <t xml:space="preserve">Ítem 52 · convocatoria 03/09</t>
  </si>
  <si>
    <t xml:space="preserve">F4-01</t>
  </si>
  <si>
    <t xml:space="preserve">Inventario transaccional</t>
  </si>
  <si>
    <t xml:space="preserve">Reserva soft/hard, punto de pedido, alertas.</t>
  </si>
  <si>
    <t xml:space="preserve">Ítems 31, 34</t>
  </si>
  <si>
    <t xml:space="preserve">F4-02</t>
  </si>
  <si>
    <t xml:space="preserve">Parámetro de carga y calendario de citas</t>
  </si>
  <si>
    <t xml:space="preserve">Carga del ST; slots del banco de calibración.</t>
  </si>
  <si>
    <t xml:space="preserve">capacidad</t>
  </si>
  <si>
    <t xml:space="preserve">Ítems 35, 36</t>
  </si>
  <si>
    <t xml:space="preserve">F4-03</t>
  </si>
  <si>
    <t xml:space="preserve">Dashboards por rol y cuellos de botella</t>
  </si>
  <si>
    <t xml:space="preserve">Dirección, comercial, planificador, técnico; análisis de esperas.</t>
  </si>
  <si>
    <t xml:space="preserve">Ítems 41, 43</t>
  </si>
  <si>
    <t xml:space="preserve">F4-04</t>
  </si>
  <si>
    <t xml:space="preserve">Capa RAG / KB y copiloto</t>
  </si>
  <si>
    <t xml:space="preserve">pgvector o «LLM wiki»; KBI/KBE; copiloto interno; KB Externa publicada; firmware.</t>
  </si>
  <si>
    <t xml:space="preserve">conocimiento</t>
  </si>
  <si>
    <t xml:space="preserve">Ítems 53–56 · P27</t>
  </si>
  <si>
    <t xml:space="preserve">Vía elegida</t>
  </si>
  <si>
    <t xml:space="preserve">F4-05</t>
  </si>
  <si>
    <t xml:space="preserve">Agendamiento, offline, QR/NFC</t>
  </si>
  <si>
    <t xml:space="preserve">Citas (tras el 35); offline con conflictos; QR/NFC en recepción.</t>
  </si>
  <si>
    <t xml:space="preserve">portal, diagnostico-checklist</t>
  </si>
  <si>
    <t xml:space="preserve">Ítems 27, 28, 50, 57</t>
  </si>
  <si>
    <t xml:space="preserve">Parámetro de carga</t>
  </si>
  <si>
    <t xml:space="preserve">F5-01</t>
  </si>
  <si>
    <t xml:space="preserve">CTP y predicción</t>
  </si>
  <si>
    <t xml:space="preserve">Simulador de fecha con capacidad finita; predicción de carga y compras.</t>
  </si>
  <si>
    <t xml:space="preserve">capacidad, kpis</t>
  </si>
  <si>
    <t xml:space="preserve">Ítems 61–64</t>
  </si>
  <si>
    <t xml:space="preserve">F5-02</t>
  </si>
  <si>
    <t xml:space="preserve">Agente conversacional, IoT, premium</t>
  </si>
  <si>
    <t xml:space="preserve">Agente sobre KB Externa; telemetría; servicio premium; sustitución total de Zoho Desk.</t>
  </si>
  <si>
    <t xml:space="preserve">portal, conocimiento</t>
  </si>
  <si>
    <t xml:space="preserve">Ítems 66, 70, 71, 76</t>
  </si>
  <si>
    <t xml:space="preserve">* Semana estimada: la tanda se ejecuta cuando la decisión del gate esté escrita (hoja Gates). Fuentes: plan .md R01.1 actualizado el 10/09, registro F0-01 de correcciones al plan (entradas 1–5), Decisiones de Gerencia del 10/09/2026, Documento Maestro R08.2 y acta del 03/09/2026. Columnas Q y R: estado a 10/09 y qué cambió en la R01.2.</t>
  </si>
  <si>
    <t xml:space="preserve">Clave Engram</t>
  </si>
  <si>
    <t xml:space="preserve">Decisión necesaria</t>
  </si>
  <si>
    <t xml:space="preserve">Tanda(s) que abre</t>
  </si>
  <si>
    <t xml:space="preserve">Sesión prevista</t>
  </si>
  <si>
    <t xml:space="preserve">Estado</t>
  </si>
  <si>
    <t xml:space="preserve">Decisión tomada</t>
  </si>
  <si>
    <t xml:space="preserve">Decidido por</t>
  </si>
  <si>
    <t xml:space="preserve">Fecha de decisión</t>
  </si>
  <si>
    <t xml:space="preserve">Comentario</t>
  </si>
  <si>
    <t xml:space="preserve">decision/p21-ingreso-sin-ov</t>
  </si>
  <si>
    <t xml:space="preserve">OV obligatoria desde el inicio o estado provisional</t>
  </si>
  <si>
    <t xml:space="preserve">11/09/2026</t>
  </si>
  <si>
    <t xml:space="preserve">Decidida</t>
  </si>
  <si>
    <t xml:space="preserve">Se deja como está: OV opcional en «Nuevo ticket», obligatoria en Habilitar Servicio («obligatoria para trabajar, no para recibir»). Remisión creada es la espera de Comercial (alarma 72 h, en F1B-08); Habilitar Servicio exige remisión vigente; garantía con OVI a nombre del cliente.</t>
  </si>
  <si>
    <t xml:space="preserve">Alfonso (Gerencia)</t>
  </si>
  <si>
    <t xml:space="preserve">10/09/2026</t>
  </si>
  <si>
    <t xml:space="preserve">Decisiones 10/09 §7 · R08.2 M1.2 · cierra P21</t>
  </si>
  <si>
    <t xml:space="preserve">decision/p8-p54-drive</t>
  </si>
  <si>
    <t xml:space="preserve">Botón de enlace a Drive como fase 0; convivencia con Drive</t>
  </si>
  <si>
    <t xml:space="preserve">Pendiente</t>
  </si>
  <si>
    <t xml:space="preserve">decision/p45-macro-fases</t>
  </si>
  <si>
    <t xml:space="preserve">Juego de macro-fases común a todas las marcas</t>
  </si>
  <si>
    <t xml:space="preserve">11/09/2026 (Johny)</t>
  </si>
  <si>
    <t xml:space="preserve">decision/flujos-comercial-posible-cliente</t>
  </si>
  <si>
    <t xml:space="preserve">Alcance de M1.11 y M1.12 en Desk 2.0</t>
  </si>
  <si>
    <t xml:space="preserve">Si los Top 5 entran en la prioridad automática</t>
  </si>
  <si>
    <t xml:space="preserve">Quién escribe remisiones_entrada</t>
  </si>
  <si>
    <t xml:space="preserve">Estado Anulado; tratamiento del histórico</t>
  </si>
  <si>
    <t xml:space="preserve">F1C-01 (protege F1E-03)</t>
  </si>
  <si>
    <t xml:space="preserve">11/09 o 18/09/2026</t>
  </si>
  <si>
    <t xml:space="preserve">Dos ramas; si Facturado es estado</t>
  </si>
  <si>
    <t xml:space="preserve">18/09/2026</t>
  </si>
  <si>
    <t xml:space="preserve">Destino y caducidad de las cuatro esperas</t>
  </si>
  <si>
    <t xml:space="preserve">Desambiguar «Creación de informe»</t>
  </si>
  <si>
    <t xml:space="preserve">Matriz cargo × transición</t>
  </si>
  <si>
    <t xml:space="preserve">25/09/2026</t>
  </si>
  <si>
    <t xml:space="preserve">Estados que paran el reloj</t>
  </si>
  <si>
    <t xml:space="preserve">decision/c6-qa-liberacion</t>
  </si>
  <si>
    <t xml:space="preserve">Etapa de QA y firmas</t>
  </si>
  <si>
    <t xml:space="preserve">Octubre 2026</t>
  </si>
  <si>
    <t xml:space="preserve">decision/falla-nueva-bloqueante</t>
  </si>
  <si>
    <t xml:space="preserve">Si el formulario de falla nueva bloquea</t>
  </si>
  <si>
    <t xml:space="preserve">Gustavo, sin fecha</t>
  </si>
  <si>
    <t xml:space="preserve">Las dos personas que validan el informe</t>
  </si>
  <si>
    <t xml:space="preserve">decision/p44-escritura-zoho</t>
  </si>
  <si>
    <t xml:space="preserve">Política de escritura contra Zoho</t>
  </si>
  <si>
    <t xml:space="preserve">Responsable, alcance y periodicidad del respaldo</t>
  </si>
  <si>
    <t xml:space="preserve">Antes de noviembre</t>
  </si>
  <si>
    <t xml:space="preserve">Desde cuándo los tickets nacen en la app</t>
  </si>
  <si>
    <t xml:space="preserve">Noviembre 2026</t>
  </si>
  <si>
    <t xml:space="preserve">decision/n52-cardinalidad-ov</t>
  </si>
  <si>
    <t xml:space="preserve">Cuántos tickets puede tener una OV, y al revés (P52)</t>
  </si>
  <si>
    <t xml:space="preserve">F1A-08 · F1B-11</t>
  </si>
  <si>
    <t xml:space="preserve">1 ticket : N OV, sin tabla puente; una OV con un solo ticket vigente; la asociación vive en tabla propia de la app. La OV global por lote se elimina (subórdenes).</t>
  </si>
  <si>
    <t xml:space="preserve">Decisiones 10/09 §2 · entrada 5.b · cierra P52. La titularidad va aparte (IV-8)</t>
  </si>
  <si>
    <t xml:space="preserve">decision/subov-lote-convencion</t>
  </si>
  <si>
    <t xml:space="preserve">Cómo se identifica el lote y criterios de la subOV</t>
  </si>
  <si>
    <t xml:space="preserve">Opción A: convención OV-AAAA-NNN-SS (modifica el formato del 27/08), cuarentena, saldo por lote, un ticket vigente por subOV, anulación que libera. B y C registradas como alternativas.</t>
  </si>
  <si>
    <t xml:space="preserve">Decisiones 10/09 §8 · R08.2 M4.4</t>
  </si>
  <si>
    <t xml:space="preserve">decision/vista-todos-tablero</t>
  </si>
  <si>
    <t xml:space="preserve">Qué enseña la vista «Todos» del tablero</t>
  </si>
  <si>
    <t xml:space="preserve">Opción (b): devuelve también los cerrados; no se renombra a «Abiertos». Separar case 'todos' de default va en la misma tanda.</t>
  </si>
  <si>
    <t xml:space="preserve">Decisiones 10/09 §3 · entrada 5.c</t>
  </si>
  <si>
    <t xml:space="preserve">decision/iv2-fechas-derivadas</t>
  </si>
  <si>
    <t xml:space="preserve">Si el servidor impone las tres fechas derivadas (IV-2)</t>
  </si>
  <si>
    <t xml:space="preserve">Opción (a): el servidor las calcula e ignora lo que llega del navegador; la zona horaria se fija de forma explícita.</t>
  </si>
  <si>
    <t xml:space="preserve">Decisiones 10/09 §4 · R08.2 M1.10</t>
  </si>
  <si>
    <t xml:space="preserve">decision/mapa-blueprint-generado</t>
  </si>
  <si>
    <t xml:space="preserve">Si se mantiene el mapa visual del blueprint (entrada 4)</t>
  </si>
  <si>
    <t xml:space="preserve">F1A-06 · F1B-09</t>
  </si>
  <si>
    <t xml:space="preserve">Sí, generado desde transitions.ts con prueba anti-desfase. El artefacto interactivo queda como histórico congelado en a3a8f03.</t>
  </si>
  <si>
    <t xml:space="preserve">Decisiones 10/09 §9 · R08.2 Anexo F</t>
  </si>
  <si>
    <t xml:space="preserve">P38 · salida aprobada (Engram obs. #400)</t>
  </si>
  <si>
    <t xml:space="preserve">Salida aprobada de Verificación en equipo nuevo</t>
  </si>
  <si>
    <t xml:space="preserve">Verificación —Liberación→ Finalizado, observada 71 veces en 181 tickets. Verificación es paso del flujo, condicional por familia de equipo.</t>
  </si>
  <si>
    <t xml:space="preserve">Alfonso (Gerencia), con datos de Zoho Desk</t>
  </si>
  <si>
    <t xml:space="preserve">Decisiones 10/09 §1 · R08.2 M1.4 · P38 parcial</t>
  </si>
  <si>
    <t xml:space="preserve">decision/p38-verificacion-calidad</t>
  </si>
  <si>
    <t xml:space="preserve">Resto de P38: obligatoriedad por familia, lote AP-370 de 2024, salida rechazada → Notificado, guarda de certificado</t>
  </si>
  <si>
    <t xml:space="preserve">F1B-06 · F1C-07</t>
  </si>
  <si>
    <t xml:space="preserve">11/09/2026 (Gustavo / Calidad)</t>
  </si>
  <si>
    <t xml:space="preserve">Decisiones 10/09 §1 · Anexo D nº 38</t>
  </si>
  <si>
    <t xml:space="preserve">decision/escalado-remision-creada</t>
  </si>
  <si>
    <t xml:space="preserve">Qué cargo de Comercial recibe el escalado de Remisión creada a las 72 h</t>
  </si>
  <si>
    <t xml:space="preserve">Sin él, la guarda de C11 queda en rojo: habilitar_servicio no tiene entrada en DERIVACION_POR_DEFECTO (Decisiones 10/09 §7.2)</t>
  </si>
  <si>
    <t xml:space="preserve">decision/vigencia-contrato</t>
  </si>
  <si>
    <t xml:space="preserve">Si una subOV libre de un contrato vencido se puede consumir</t>
  </si>
  <si>
    <t xml:space="preserve">F1B-11 (no bloquea el núcleo)</t>
  </si>
  <si>
    <t xml:space="preserve">11/09/2026 (Alfonso / Comercial)</t>
  </si>
  <si>
    <t xml:space="preserve">Si la respuesta es no, primer motivo para pasar a la opción B</t>
  </si>
  <si>
    <t xml:space="preserve">decision/ovi-garantia-autor</t>
  </si>
  <si>
    <t xml:space="preserve">Quién crea la OVI de un servicio en garantía</t>
  </si>
  <si>
    <t xml:space="preserve">Hoy las crea Servicio Técnico: sería una excepción de autor a «Comercial crea la OV»</t>
  </si>
  <si>
    <t xml:space="preserve">decision/titularidad-ov-equipo</t>
  </si>
  <si>
    <t xml:space="preserve">Si la OV y el equipo pueden ser de clientes distintos (IV-8, ticketService.ts:39)</t>
  </si>
  <si>
    <t xml:space="preserve">Va con P52 pero como punto separado (R08.2 §1.2)</t>
  </si>
  <si>
    <t xml:space="preserve">decision/p62-capa-as-built</t>
  </si>
  <si>
    <t xml:space="preserve">Qué se hace con la capa as-built (retirarla o mantener el Anexo H)</t>
  </si>
  <si>
    <t xml:space="preserve">— (premisa de F0-02)</t>
  </si>
  <si>
    <t xml:space="preserve">Llevado al 03/09 y no tratado; vuelve al Anexo D</t>
  </si>
  <si>
    <t xml:space="preserve">decision/p64-historico-c1</t>
  </si>
  <si>
    <t xml:space="preserve">Qué se hace con las filas de «Liberación sin factura» escritas antes del arreglo de C1</t>
  </si>
  <si>
    <t xml:space="preserve">— (dato de producción)</t>
  </si>
  <si>
    <t xml:space="preserve">Contar primero contra producción (R08.2 nº 64)</t>
  </si>
  <si>
    <t xml:space="preserve">Lunes</t>
  </si>
  <si>
    <t xml:space="preserve">F0 + 1A</t>
  </si>
  <si>
    <t xml:space="preserve">1B Paridad</t>
  </si>
  <si>
    <t xml:space="preserve">1C Correcciones (según decisión)</t>
  </si>
  <si>
    <t xml:space="preserve">1D Diagnóstico</t>
  </si>
  <si>
    <t xml:space="preserve">1E Informes</t>
  </si>
  <si>
    <t xml:space="preserve">1F Producción</t>
  </si>
  <si>
    <t xml:space="preserve">Observación del revisor</t>
  </si>
  <si>
    <t xml:space="preserve">07/09</t>
  </si>
  <si>
    <t xml:space="preserve">F0-00…F0-04 (ejecutadas) · F1A-01, -02, -04, -05 (cerradas 09/09)</t>
  </si>
  <si>
    <t xml:space="preserve">F1B-01 (ejecutada 09/09, adelantada)</t>
  </si>
  <si>
    <t xml:space="preserve">14/09</t>
  </si>
  <si>
    <t xml:space="preserve">F1A-03 · F1A-06 · F1A-07 · F1A-08 · F1A-09</t>
  </si>
  <si>
    <t xml:space="preserve">21/09</t>
  </si>
  <si>
    <t xml:space="preserve">28/09</t>
  </si>
  <si>
    <t xml:space="preserve">F1B-03 · F1B-04</t>
  </si>
  <si>
    <t xml:space="preserve">C2 (si decidido)</t>
  </si>
  <si>
    <t xml:space="preserve">05/10</t>
  </si>
  <si>
    <t xml:space="preserve">F1B-05 · F1B-11 (propuesta)</t>
  </si>
  <si>
    <t xml:space="preserve">C4</t>
  </si>
  <si>
    <t xml:space="preserve">12/10</t>
  </si>
  <si>
    <t xml:space="preserve">19/10</t>
  </si>
  <si>
    <t xml:space="preserve">C3</t>
  </si>
  <si>
    <t xml:space="preserve">26/10</t>
  </si>
  <si>
    <t xml:space="preserve">F1B-08 (ampliada) · F1B-09</t>
  </si>
  <si>
    <t xml:space="preserve">C5 · C10</t>
  </si>
  <si>
    <t xml:space="preserve">02/11</t>
  </si>
  <si>
    <t xml:space="preserve">09/11</t>
  </si>
  <si>
    <t xml:space="preserve">C7+C9</t>
  </si>
  <si>
    <t xml:space="preserve">F1D-05 · F1D-06</t>
  </si>
  <si>
    <t xml:space="preserve">16/11</t>
  </si>
  <si>
    <t xml:space="preserve">C6</t>
  </si>
  <si>
    <t xml:space="preserve">F1D-07 · F1D-08 · F1D-09</t>
  </si>
  <si>
    <t xml:space="preserve">23/11</t>
  </si>
  <si>
    <t xml:space="preserve">30/11</t>
  </si>
  <si>
    <t xml:space="preserve">07/12</t>
  </si>
  <si>
    <t xml:space="preserve">14/12</t>
  </si>
  <si>
    <t xml:space="preserve">F1F-02 · F1F-03</t>
  </si>
  <si>
    <t xml:space="preserve">S52</t>
  </si>
  <si>
    <t xml:space="preserve">21/12</t>
  </si>
  <si>
    <t xml:space="preserve">F1F-03 · F1F-04</t>
  </si>
  <si>
    <t xml:space="preserve">28/12</t>
  </si>
  <si>
    <t xml:space="preserve">Margen · meta 31/12</t>
  </si>
  <si>
    <t xml:space="preserve">Lectura (R01.2, 10/09): la Fase 0, cuatro de las cinco tandas de F1A y F1B-01 se cerraron entre el 07 y el 09/09, y dejan una semana de adelanto. Esa semana absorbe las cuatro tandas nuevas de F1A (todas sin gate) y F1B-11. F1B-10 (orden de guardas, M) sigue sin semana, como en el plan .md. El margen del 31/12 sigue sin holgura. 1C fuera de la ruta crítica salvo C2 (conviene antes de F1E-03 y es quien libera subOV al anular). 1D y 1E se solapan porque el modelo del informe sólo necesita el modelo del catálogo. F1B-06 es recortable a un flujo y F1D-08 (Horiba) diferible a enero si hay que ganar una semana; F1B-08 y F1B-11 se parten si no caben. Fuera del 31/12: área de cliente, app móvil con offline, OCR/QR/NFC, comentarios predefinidos.</t>
  </si>
  <si>
    <t xml:space="preserve">Tandas propuestas</t>
  </si>
  <si>
    <t xml:space="preserve">Revisadas</t>
  </si>
  <si>
    <t xml:space="preserve">Sí</t>
  </si>
  <si>
    <t xml:space="preserve">Con cambios / Duda</t>
  </si>
  <si>
    <t xml:space="preserve">No</t>
  </si>
  <si>
    <t xml:space="preserve">Sube</t>
  </si>
  <si>
    <t xml:space="preserve">Baja / Fuera</t>
  </si>
  <si>
    <t xml:space="preserve">% revisado</t>
  </si>
  <si>
    <t xml:space="preserve">Total</t>
  </si>
  <si>
    <t xml:space="preserve">Gates decididos</t>
  </si>
  <si>
    <t xml:space="preserve">decididos / total</t>
  </si>
  <si>
    <t xml:space="preserve">Se calcula solo a partir de las columnas amarillas de Tandas y Gates.</t>
  </si>
  <si>
    <t xml:space="preserve">Estado a 15/09</t>
  </si>
  <si>
    <t xml:space="preserve">Cambio en R01.3</t>
  </si>
  <si>
    <t xml:space="preserve">PARCIAL — cerrado en tablero, pendiente en alarma y paridad Zoho</t>
  </si>
  <si>
    <t xml:space="preserve">Construido 10/09/2026 (c30c74c, b07c91c, 52277b4, b4576ef, 48d7545; archivado 821d17e, PASS WITH WARNINGS 10/10 req · 17/17 esc): vista «Todos» con cerrados, IV-1 (deja /espera/i) y Remisión creada reclasificada a espera interna. Pendiente: alarma de 72 h sobre Remisión creada (decision/escalado-remision-creada, sin cargo de Comercial asignado) y paridad de listado/ficha con Zoho (P44). Ver docs/sdd/R08.3_Expediente_de_cambios.md §2 A.6 y §8.1, contra 6be9cf0.</t>
  </si>
  <si>
    <t xml:space="preserve">Cambios R01.2 → R01.3 (15/09/2026)</t>
  </si>
  <si>
    <t xml:space="preserve">Fuentes: docs/sdd/R08.3_Expediente_de_cambios.md, comprobado contra el commit 6be9cf0. La hoja «Tandas» de este libro sigue SIN VERSIONAR en git; el §5 del plan Desk2.0_Plan_Fases_y_Tandas_ClaudeCode_R01.1.md, VERSIONADO, es la otra fuente del denominador de avance, y las dos no coinciden — ver el punto 3.</t>
  </si>
  <si>
    <t xml:space="preserve">1. Estado: F1B-08 pasa de «Escrita · espera gate» a PARCIAL. Cerrado (10/09/2026, archivado 821d17e, PASS WITH WARNINGS 10/10 req · 17/17 esc): vista «Todos» con cerrados, IV-1 y Remisión creada reclasificada a espera interna. Pendiente: alarma de 72 h sobre Remisión creada (sin cargo de Comercial asignado) y paridad de listado/ficha con Zoho (P44). Ver columnas S y T de la hoja Tandas.</t>
  </si>
  <si>
    <t xml:space="preserve">2. Sin cambio, comprobado contra 6be9cf0: F1A-03, F1A-06, F1A-07, F1A-08, F1A-09, F1B-03, F1B-10 y F1B-11 siguen sin código, cero commits desde el corte de esta hoja.</t>
  </si>
  <si>
    <t xml:space="preserve">3. Avance — DOS denominadores que no coinciden, y este libro no elige cuál manda: la hoja «Tandas» de este mismo libro (51 tandas, SIN VERSIONAR, guardado 10/09/2026 16:27) y el §5 del plan Desk2.0_Plan_Fases_y_Tandas_ClaudeCode_R01.1.md (46 tandas, VERSIONADO, último commit 3c01dbb, 10/09/2026 12:10). Con cualquiera de las dos fuentes: 10 tandas cerradas, sin cambio desde el corte de la R01.2. % de esfuerzo ponderado por talla (hipótesis, el repositorio no fija pesos numéricos por talla): 16,8 % contra 51 · 18,5 % contra 46.</t>
  </si>
  <si>
    <t xml:space="preserve">4. Columnas nuevas S «Estado a 15/09» y T «Cambio en R01.3» en la hoja Tandas: sólo tienen contenido en la fila que cambió (F1B-08); el resto mantiene su estado de la R01.2 sin modificación.</t>
  </si>
  <si>
    <t xml:space="preserve">5. Pendiente de decisión de Gerencia, sin resolver en este libro: (a) versionar este .xlsx —o regenerar el plan .md desde él— para que el denominador de avance sea reproducible desde el repositorio; (b) versionar el .md citable de la R08.2/R08.3 y actualizar CLAUDE.md, que sigue declarando la R08.1.md como copia citable.</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</si>
</sst>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1"/>
      <name val="Arial"/>
      <family val="0"/>
      <charset val="1"/>
    </font>
    <font>
      <b val="true"/>
      <sz val="10"/>
      <color rgb="FFFFFFFF"/>
      <name val="Arial"/>
      <family val="0"/>
      <charset val="1"/>
    </font>
    <font>
      <sz val="9"/>
      <name val="Arial"/>
      <family val="0"/>
      <charset val="1"/>
    </font>
    <font>
      <i val="true"/>
      <sz val="9"/>
      <name val="Arial"/>
      <family val="0"/>
      <charset val="1"/>
    </font>
    <font>
      <b val="true"/>
      <sz val="9"/>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D9E1F2"/>
        <bgColor rgb="FFE2EFDA"/>
      </patternFill>
    </fill>
    <fill>
      <patternFill patternType="solid">
        <fgColor rgb="FFFFFFCC"/>
        <bgColor rgb="FFFFF2CC"/>
      </patternFill>
    </fill>
    <fill>
      <patternFill patternType="solid">
        <fgColor rgb="FFE2EFDA"/>
        <bgColor rgb="FFEDEDED"/>
      </patternFill>
    </fill>
    <fill>
      <patternFill patternType="solid">
        <fgColor rgb="FFFFF2CC"/>
        <bgColor rgb="FFFFFFCC"/>
      </patternFill>
    </fill>
    <fill>
      <patternFill patternType="solid">
        <fgColor rgb="FFFCE4D6"/>
        <bgColor rgb="FFFFF2CC"/>
      </patternFill>
    </fill>
    <fill>
      <patternFill patternType="solid">
        <fgColor rgb="FFEDEDED"/>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bgColor rgb="FFC6EFCE"/>
        </patternFill>
      </fill>
    </dxf>
    <dxf>
      <fill>
        <patternFill>
          <bgColor rgb="FFF8CBAD"/>
        </patternFill>
      </fill>
    </dxf>
    <dxf>
      <fill>
        <patternFill>
          <bgColor rgb="FFFFE699"/>
        </patternFill>
      </fill>
    </dxf>
    <dxf>
      <fill>
        <patternFill patternType="solid">
          <fgColor rgb="FF1F3864"/>
          <bgColor rgb="FF000000"/>
        </patternFill>
      </fill>
    </dxf>
    <dxf>
      <fill>
        <patternFill patternType="solid">
          <fgColor rgb="FFD9E1F2"/>
          <bgColor rgb="FF000000"/>
        </patternFill>
      </fill>
    </dxf>
    <dxf>
      <fill>
        <patternFill patternType="solid">
          <fgColor rgb="FFFFFFFF"/>
          <bgColor rgb="FF000000"/>
        </patternFill>
      </fill>
    </dxf>
    <dxf>
      <fill>
        <patternFill patternType="solid">
          <bgColor rgb="FF000000"/>
        </patternFill>
      </fill>
    </dxf>
    <dxf>
      <fill>
        <patternFill patternType="solid">
          <fgColor rgb="FFFFFF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E2EFD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DEDED"/>
      <rgbColor rgb="FFC6EFCE"/>
      <rgbColor rgb="FFFFE699"/>
      <rgbColor rgb="FFFFF2CC"/>
      <rgbColor rgb="FFFCE4D6"/>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0"/>
  </cols>
  <sheetData>
    <row r="1" customFormat="false" ht="15" hidden="false" customHeight="true" outlineLevel="0" collapsed="false">
      <c r="A1" s="2" t="s">
        <v>0</v>
      </c>
    </row>
    <row r="2" customFormat="false" ht="15" hidden="false" customHeight="true" outlineLevel="0" collapsed="false">
      <c r="A2" s="3"/>
    </row>
    <row r="3" customFormat="false" ht="15" hidden="false" customHeight="true" outlineLevel="0" collapsed="false">
      <c r="A3" s="4" t="s">
        <v>1</v>
      </c>
    </row>
    <row r="4" customFormat="false" ht="60" hidden="false" customHeight="true" outlineLevel="0" collapsed="false">
      <c r="A4" s="3" t="s">
        <v>2</v>
      </c>
    </row>
    <row r="5" customFormat="false" ht="15" hidden="false" customHeight="true" outlineLevel="0" collapsed="false">
      <c r="A5" s="3"/>
    </row>
    <row r="6" customFormat="false" ht="15" hidden="false" customHeight="true" outlineLevel="0" collapsed="false">
      <c r="A6" s="4" t="s">
        <v>3</v>
      </c>
    </row>
    <row r="7" customFormat="false" ht="15" hidden="false" customHeight="true" outlineLevel="0" collapsed="false">
      <c r="A7" s="3" t="s">
        <v>4</v>
      </c>
    </row>
    <row r="8" customFormat="false" ht="15" hidden="false" customHeight="true" outlineLevel="0" collapsed="false">
      <c r="A8" s="3" t="s">
        <v>5</v>
      </c>
    </row>
    <row r="9" customFormat="false" ht="60" hidden="false" customHeight="true" outlineLevel="0" collapsed="false">
      <c r="A9" s="3" t="s">
        <v>6</v>
      </c>
    </row>
    <row r="10" customFormat="false" ht="30" hidden="false" customHeight="true" outlineLevel="0" collapsed="false">
      <c r="A10" s="3" t="s">
        <v>7</v>
      </c>
    </row>
    <row r="11" customFormat="false" ht="30" hidden="false" customHeight="true" outlineLevel="0" collapsed="false">
      <c r="A11" s="3" t="s">
        <v>8</v>
      </c>
    </row>
    <row r="12" customFormat="false" ht="30" hidden="false" customHeight="true" outlineLevel="0" collapsed="false">
      <c r="A12" s="3" t="s">
        <v>9</v>
      </c>
    </row>
    <row r="13" customFormat="false" ht="15" hidden="false" customHeight="true" outlineLevel="0" collapsed="false">
      <c r="A13" s="3"/>
    </row>
    <row r="14" customFormat="false" ht="15" hidden="false" customHeight="true" outlineLevel="0" collapsed="false">
      <c r="A14" s="4" t="s">
        <v>10</v>
      </c>
    </row>
    <row r="15" customFormat="false" ht="45" hidden="false" customHeight="true" outlineLevel="0" collapsed="false">
      <c r="A15" s="3" t="s">
        <v>11</v>
      </c>
    </row>
    <row r="16" customFormat="false" ht="45" hidden="false" customHeight="true" outlineLevel="0" collapsed="false">
      <c r="A16" s="3" t="s">
        <v>12</v>
      </c>
    </row>
    <row r="17" customFormat="false" ht="15" hidden="false" customHeight="true" outlineLevel="0" collapsed="false">
      <c r="A17" s="3"/>
    </row>
    <row r="18" customFormat="false" ht="30" hidden="false" customHeight="true" outlineLevel="0" collapsed="false">
      <c r="A18" s="3" t="s">
        <v>13</v>
      </c>
    </row>
    <row r="20" customFormat="false" ht="16.5" hidden="false" customHeight="true" outlineLevel="0" collapsed="false">
      <c r="A20" s="4" t="s">
        <v>14</v>
      </c>
    </row>
    <row r="21" customFormat="false" ht="43.5" hidden="false" customHeight="true" outlineLevel="0" collapsed="false">
      <c r="A21" s="3" t="s">
        <v>15</v>
      </c>
    </row>
    <row r="22" customFormat="false" ht="30" hidden="false" customHeight="true" outlineLevel="0" collapsed="false">
      <c r="A22" s="3" t="s">
        <v>16</v>
      </c>
    </row>
    <row r="23" customFormat="false" ht="30" hidden="false" customHeight="true" outlineLevel="0" collapsed="false">
      <c r="A23" s="3" t="s">
        <v>17</v>
      </c>
    </row>
    <row r="24" customFormat="false" ht="30" hidden="false" customHeight="true" outlineLevel="0" collapsed="false">
      <c r="A24" s="3" t="s">
        <v>18</v>
      </c>
    </row>
    <row r="25" customFormat="false" ht="30" hidden="false" customHeight="true" outlineLevel="0" collapsed="false">
      <c r="A25" s="3" t="s">
        <v>19</v>
      </c>
    </row>
    <row r="26" customFormat="false" ht="43.5" hidden="false" customHeight="true" outlineLevel="0" collapsed="false">
      <c r="A26" s="3" t="s">
        <v>20</v>
      </c>
    </row>
    <row r="27" customFormat="false" ht="30" hidden="false" customHeight="true" outlineLevel="0" collapsed="false">
      <c r="A27" s="3" t="s">
        <v>21</v>
      </c>
    </row>
    <row r="29" customFormat="false" ht="16.5" hidden="false" customHeight="true" outlineLevel="0" collapsed="false">
      <c r="A29" s="4" t="s">
        <v>697</v>
      </c>
    </row>
    <row r="30" customFormat="false" ht="43.5" hidden="false" customHeight="true" outlineLevel="0" collapsed="false">
      <c r="A30" s="3" t="s">
        <v>698</v>
      </c>
    </row>
    <row r="31" customFormat="false" ht="43.5" hidden="false" customHeight="true" outlineLevel="0" collapsed="false">
      <c r="A31" s="3" t="s">
        <v>699</v>
      </c>
    </row>
    <row r="32" customFormat="false" ht="30" hidden="false" customHeight="true" outlineLevel="0" collapsed="false">
      <c r="A32" s="3" t="s">
        <v>700</v>
      </c>
    </row>
    <row r="33" customFormat="false" ht="43.5" hidden="false" customHeight="true" outlineLevel="0" collapsed="false">
      <c r="A33" s="3" t="s">
        <v>701</v>
      </c>
    </row>
    <row r="34" customFormat="false" ht="30" hidden="false" customHeight="true" outlineLevel="0" collapsed="false">
      <c r="A34" s="3" t="s">
        <v>702</v>
      </c>
    </row>
    <row r="35" customFormat="false" ht="43.5" hidden="false" customHeight="true" outlineLevel="0" collapsed="false">
      <c r="A35" s="3" t="s">
        <v>703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8"/>
    <col collapsed="false" customWidth="true" hidden="false" outlineLevel="0" max="3" min="3" style="1" width="22"/>
    <col collapsed="false" customWidth="true" hidden="false" outlineLevel="0" max="4" min="4" style="1" width="12"/>
    <col collapsed="false" customWidth="true" hidden="false" outlineLevel="0" max="5" min="5" style="1" width="60"/>
    <col collapsed="false" customWidth="true" hidden="false" outlineLevel="0" max="6" min="6" style="1" width="34"/>
    <col collapsed="false" customWidth="true" hidden="false" outlineLevel="0" max="7" min="7" style="1" width="14"/>
    <col collapsed="false" customWidth="true" hidden="false" outlineLevel="0" max="8" min="8" style="1" width="40"/>
    <col collapsed="false" customWidth="true" hidden="false" outlineLevel="0" max="9" min="9" style="1" width="16"/>
    <col collapsed="false" customWidth="true" hidden="false" outlineLevel="0" max="10" min="10" style="1" width="14"/>
    <col collapsed="false" customWidth="true" hidden="false" outlineLevel="0" max="11" min="11" style="1" width="12"/>
  </cols>
  <sheetData>
    <row r="1" customFormat="false" ht="31.5" hidden="false" customHeight="true" outlineLevel="0" collapsed="false">
      <c r="A1" s="5" t="s">
        <v>22</v>
      </c>
      <c r="B1" s="5" t="s">
        <v>23</v>
      </c>
      <c r="C1" s="5" t="s">
        <v>24</v>
      </c>
      <c r="D1" s="5" t="s">
        <v>25</v>
      </c>
      <c r="E1" s="5" t="s">
        <v>26</v>
      </c>
      <c r="F1" s="5" t="s">
        <v>27</v>
      </c>
      <c r="G1" s="5" t="s">
        <v>28</v>
      </c>
      <c r="H1" s="5" t="s">
        <v>29</v>
      </c>
      <c r="I1" s="5" t="s">
        <v>30</v>
      </c>
      <c r="J1" s="5" t="s">
        <v>31</v>
      </c>
      <c r="K1" s="5" t="s">
        <v>32</v>
      </c>
    </row>
    <row r="2" customFormat="false" ht="39" hidden="false" customHeight="true" outlineLevel="0" collapsed="false">
      <c r="A2" s="6" t="s">
        <v>33</v>
      </c>
      <c r="B2" s="7" t="s">
        <v>34</v>
      </c>
      <c r="C2" s="7" t="s">
        <v>35</v>
      </c>
      <c r="D2" s="7" t="s">
        <v>36</v>
      </c>
      <c r="E2" s="7" t="s">
        <v>37</v>
      </c>
      <c r="F2" s="7" t="s">
        <v>38</v>
      </c>
      <c r="G2" s="8"/>
      <c r="H2" s="8"/>
      <c r="I2" s="8"/>
      <c r="J2" s="8"/>
      <c r="K2" s="8"/>
    </row>
    <row r="3" customFormat="false" ht="51" hidden="false" customHeight="true" outlineLevel="0" collapsed="false">
      <c r="A3" s="9" t="s">
        <v>39</v>
      </c>
      <c r="B3" s="7" t="s">
        <v>40</v>
      </c>
      <c r="C3" s="7" t="s">
        <v>41</v>
      </c>
      <c r="D3" s="7" t="s">
        <v>42</v>
      </c>
      <c r="E3" s="7" t="s">
        <v>43</v>
      </c>
      <c r="F3" s="7" t="s">
        <v>44</v>
      </c>
      <c r="G3" s="8"/>
      <c r="H3" s="8"/>
      <c r="I3" s="8"/>
      <c r="J3" s="8"/>
      <c r="K3" s="8"/>
    </row>
    <row r="4" customFormat="false" ht="27" hidden="false" customHeight="true" outlineLevel="0" collapsed="false">
      <c r="A4" s="10" t="s">
        <v>45</v>
      </c>
      <c r="B4" s="7" t="s">
        <v>46</v>
      </c>
      <c r="C4" s="7" t="s">
        <v>47</v>
      </c>
      <c r="D4" s="7" t="s">
        <v>48</v>
      </c>
      <c r="E4" s="7" t="s">
        <v>49</v>
      </c>
      <c r="F4" s="7" t="s">
        <v>50</v>
      </c>
      <c r="G4" s="8"/>
      <c r="H4" s="8"/>
      <c r="I4" s="8"/>
      <c r="J4" s="8"/>
      <c r="K4" s="8"/>
    </row>
    <row r="5" customFormat="false" ht="27" hidden="false" customHeight="true" outlineLevel="0" collapsed="false">
      <c r="A5" s="11" t="s">
        <v>51</v>
      </c>
      <c r="B5" s="7" t="s">
        <v>52</v>
      </c>
      <c r="C5" s="7" t="s">
        <v>53</v>
      </c>
      <c r="D5" s="7" t="s">
        <v>48</v>
      </c>
      <c r="E5" s="7" t="s">
        <v>54</v>
      </c>
      <c r="F5" s="7" t="s">
        <v>55</v>
      </c>
      <c r="G5" s="8"/>
      <c r="H5" s="8"/>
      <c r="I5" s="8"/>
      <c r="J5" s="8"/>
      <c r="K5" s="8"/>
    </row>
    <row r="6" customFormat="false" ht="27" hidden="false" customHeight="true" outlineLevel="0" collapsed="false">
      <c r="A6" s="12" t="s">
        <v>56</v>
      </c>
      <c r="B6" s="7" t="s">
        <v>57</v>
      </c>
      <c r="C6" s="7" t="s">
        <v>58</v>
      </c>
      <c r="D6" s="7" t="s">
        <v>48</v>
      </c>
      <c r="E6" s="7" t="s">
        <v>59</v>
      </c>
      <c r="F6" s="7" t="s">
        <v>60</v>
      </c>
      <c r="G6" s="8"/>
      <c r="H6" s="8"/>
      <c r="I6" s="8"/>
      <c r="J6" s="8"/>
      <c r="K6" s="8"/>
    </row>
    <row r="7" customFormat="false" ht="27" hidden="false" customHeight="true" outlineLevel="0" collapsed="false">
      <c r="A7" s="12" t="s">
        <v>61</v>
      </c>
      <c r="B7" s="7" t="s">
        <v>62</v>
      </c>
      <c r="C7" s="7" t="s">
        <v>63</v>
      </c>
      <c r="D7" s="7" t="s">
        <v>48</v>
      </c>
      <c r="E7" s="7" t="s">
        <v>64</v>
      </c>
      <c r="F7" s="7" t="s">
        <v>65</v>
      </c>
      <c r="G7" s="8"/>
      <c r="H7" s="8"/>
      <c r="I7" s="8"/>
      <c r="J7" s="8"/>
      <c r="K7" s="8"/>
    </row>
  </sheetData>
  <conditionalFormatting sqref="G2:G7">
    <cfRule type="cellIs" priority="2" operator="equal" aboveAverage="0" equalAverage="0" bottom="0" percent="0" rank="0" text="" dxfId="0">
      <formula>"Sí"</formula>
    </cfRule>
    <cfRule type="cellIs" priority="3" operator="equal" aboveAverage="0" equalAverage="0" bottom="0" percent="0" rank="0" text="" dxfId="1">
      <formula>"No"</formula>
    </cfRule>
    <cfRule type="cellIs" priority="4" operator="equal" aboveAverage="0" equalAverage="0" bottom="0" percent="0" rank="0" text="" dxfId="2">
      <formula>"Con cambios"</formula>
    </cfRule>
    <cfRule type="cellIs" priority="5" operator="equal" aboveAverage="0" equalAverage="0" bottom="0" percent="0" rank="0" text="" dxfId="2">
      <formula>"Duda"</formula>
    </cfRule>
  </conditionalFormatting>
  <dataValidations count="2">
    <dataValidation allowBlank="true" errorStyle="stop" operator="between" showDropDown="false" showErrorMessage="false" showInputMessage="false" sqref="G2:G7" type="list">
      <formula1>"Sí,No,Con cambios,Duda"</formula1>
      <formula2>0</formula2>
    </dataValidation>
    <dataValidation allowBlank="true" errorStyle="stop" operator="between" showDropDown="false" showErrorMessage="false" showInputMessage="false" sqref="I2:I7" type="list">
      <formula1>"Sube,Se mantiene,Baja,Fuera"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8"/>
    <col collapsed="false" customWidth="true" hidden="false" outlineLevel="0" max="3" min="3" style="1" width="40"/>
    <col collapsed="false" customWidth="true" hidden="false" outlineLevel="0" max="4" min="4" style="1" width="22"/>
    <col collapsed="false" customWidth="true" hidden="false" outlineLevel="0" max="5" min="5" style="1" width="60"/>
    <col collapsed="false" customWidth="true" hidden="false" outlineLevel="0" max="6" min="6" style="1" width="10"/>
    <col collapsed="false" customWidth="true" hidden="false" outlineLevel="0" max="7" min="7" style="1" width="14"/>
    <col collapsed="false" customWidth="true" hidden="false" outlineLevel="0" max="8" min="8" style="1" width="40"/>
    <col collapsed="false" customWidth="true" hidden="false" outlineLevel="0" max="9" min="9" style="1" width="16"/>
    <col collapsed="false" customWidth="true" hidden="false" outlineLevel="0" max="10" min="10" style="1" width="14"/>
    <col collapsed="false" customWidth="true" hidden="false" outlineLevel="0" max="11" min="11" style="1" width="12"/>
  </cols>
  <sheetData>
    <row r="1" customFormat="false" ht="31.5" hidden="false" customHeight="true" outlineLevel="0" collapsed="false">
      <c r="A1" s="5" t="s">
        <v>22</v>
      </c>
      <c r="B1" s="5" t="s">
        <v>66</v>
      </c>
      <c r="C1" s="5" t="s">
        <v>23</v>
      </c>
      <c r="D1" s="5" t="s">
        <v>67</v>
      </c>
      <c r="E1" s="5" t="s">
        <v>68</v>
      </c>
      <c r="F1" s="5" t="s">
        <v>69</v>
      </c>
      <c r="G1" s="5" t="s">
        <v>28</v>
      </c>
      <c r="H1" s="5" t="s">
        <v>29</v>
      </c>
      <c r="I1" s="5" t="s">
        <v>30</v>
      </c>
      <c r="J1" s="5" t="s">
        <v>31</v>
      </c>
      <c r="K1" s="5" t="s">
        <v>32</v>
      </c>
    </row>
    <row r="2" customFormat="false" ht="39" hidden="false" customHeight="true" outlineLevel="0" collapsed="false">
      <c r="A2" s="6" t="s">
        <v>33</v>
      </c>
      <c r="B2" s="7" t="s">
        <v>33</v>
      </c>
      <c r="C2" s="7" t="s">
        <v>34</v>
      </c>
      <c r="D2" s="7" t="s">
        <v>70</v>
      </c>
      <c r="E2" s="7" t="s">
        <v>71</v>
      </c>
      <c r="F2" s="7" t="n">
        <f aca="false">COUNTIF(Tandas!$B:$B,B2)</f>
        <v>5</v>
      </c>
      <c r="G2" s="8"/>
      <c r="H2" s="8"/>
      <c r="I2" s="8"/>
      <c r="J2" s="8"/>
      <c r="K2" s="8"/>
    </row>
    <row r="3" customFormat="false" ht="39" hidden="false" customHeight="true" outlineLevel="0" collapsed="false">
      <c r="A3" s="9" t="s">
        <v>39</v>
      </c>
      <c r="B3" s="7" t="s">
        <v>72</v>
      </c>
      <c r="C3" s="7" t="s">
        <v>73</v>
      </c>
      <c r="D3" s="7" t="s">
        <v>74</v>
      </c>
      <c r="E3" s="7" t="s">
        <v>75</v>
      </c>
      <c r="F3" s="7" t="n">
        <f aca="false">COUNTIF(Tandas!$B:$B,B3)</f>
        <v>9</v>
      </c>
      <c r="G3" s="8"/>
      <c r="H3" s="8"/>
      <c r="I3" s="8"/>
      <c r="J3" s="8"/>
      <c r="K3" s="8"/>
    </row>
    <row r="4" customFormat="false" ht="39" hidden="false" customHeight="true" outlineLevel="0" collapsed="false">
      <c r="A4" s="9" t="s">
        <v>39</v>
      </c>
      <c r="B4" s="7" t="s">
        <v>76</v>
      </c>
      <c r="C4" s="7" t="s">
        <v>77</v>
      </c>
      <c r="D4" s="7" t="s">
        <v>78</v>
      </c>
      <c r="E4" s="7" t="s">
        <v>79</v>
      </c>
      <c r="F4" s="7" t="n">
        <f aca="false">COUNTIF(Tandas!$B:$B,B4)</f>
        <v>11</v>
      </c>
      <c r="G4" s="8"/>
      <c r="H4" s="8"/>
      <c r="I4" s="8"/>
      <c r="J4" s="8"/>
      <c r="K4" s="8"/>
    </row>
    <row r="5" customFormat="false" ht="39" hidden="false" customHeight="true" outlineLevel="0" collapsed="false">
      <c r="A5" s="9" t="s">
        <v>39</v>
      </c>
      <c r="B5" s="7" t="s">
        <v>80</v>
      </c>
      <c r="C5" s="7" t="s">
        <v>81</v>
      </c>
      <c r="D5" s="7" t="s">
        <v>82</v>
      </c>
      <c r="E5" s="7" t="s">
        <v>83</v>
      </c>
      <c r="F5" s="7" t="n">
        <f aca="false">COUNTIF(Tandas!$B:$B,B5)</f>
        <v>8</v>
      </c>
      <c r="G5" s="8"/>
      <c r="H5" s="8"/>
      <c r="I5" s="8"/>
      <c r="J5" s="8"/>
      <c r="K5" s="8"/>
    </row>
    <row r="6" customFormat="false" ht="39" hidden="false" customHeight="true" outlineLevel="0" collapsed="false">
      <c r="A6" s="9" t="s">
        <v>39</v>
      </c>
      <c r="B6" s="7" t="s">
        <v>84</v>
      </c>
      <c r="C6" s="7" t="s">
        <v>85</v>
      </c>
      <c r="D6" s="7" t="s">
        <v>86</v>
      </c>
      <c r="E6" s="7" t="s">
        <v>87</v>
      </c>
      <c r="F6" s="7" t="n">
        <f aca="false">COUNTIF(Tandas!$B:$B,B6)</f>
        <v>9</v>
      </c>
      <c r="G6" s="8"/>
      <c r="H6" s="8"/>
      <c r="I6" s="8"/>
      <c r="J6" s="8"/>
      <c r="K6" s="8"/>
    </row>
    <row r="7" customFormat="false" ht="39" hidden="false" customHeight="true" outlineLevel="0" collapsed="false">
      <c r="A7" s="9" t="s">
        <v>39</v>
      </c>
      <c r="B7" s="7" t="s">
        <v>88</v>
      </c>
      <c r="C7" s="7" t="s">
        <v>89</v>
      </c>
      <c r="D7" s="7" t="s">
        <v>90</v>
      </c>
      <c r="E7" s="7" t="s">
        <v>91</v>
      </c>
      <c r="F7" s="7" t="n">
        <f aca="false">COUNTIF(Tandas!$B:$B,B7)</f>
        <v>5</v>
      </c>
      <c r="G7" s="8"/>
      <c r="H7" s="8"/>
      <c r="I7" s="8"/>
      <c r="J7" s="8"/>
      <c r="K7" s="8"/>
    </row>
    <row r="8" customFormat="false" ht="39" hidden="false" customHeight="true" outlineLevel="0" collapsed="false">
      <c r="A8" s="9" t="s">
        <v>39</v>
      </c>
      <c r="B8" s="7" t="s">
        <v>92</v>
      </c>
      <c r="C8" s="7" t="s">
        <v>93</v>
      </c>
      <c r="D8" s="7" t="s">
        <v>94</v>
      </c>
      <c r="E8" s="7" t="s">
        <v>95</v>
      </c>
      <c r="F8" s="7" t="n">
        <f aca="false">COUNTIF(Tandas!$B:$B,B8)</f>
        <v>4</v>
      </c>
      <c r="G8" s="8"/>
      <c r="H8" s="8"/>
      <c r="I8" s="8"/>
      <c r="J8" s="8"/>
      <c r="K8" s="8"/>
    </row>
    <row r="9" customFormat="false" ht="39" hidden="false" customHeight="true" outlineLevel="0" collapsed="false">
      <c r="A9" s="10" t="s">
        <v>45</v>
      </c>
      <c r="B9" s="7" t="s">
        <v>45</v>
      </c>
      <c r="C9" s="7" t="s">
        <v>46</v>
      </c>
      <c r="D9" s="7" t="s">
        <v>96</v>
      </c>
      <c r="E9" s="7" t="s">
        <v>97</v>
      </c>
      <c r="F9" s="7" t="n">
        <f aca="false">COUNTIF(Tandas!$B:$B,B9)</f>
        <v>8</v>
      </c>
      <c r="G9" s="8"/>
      <c r="H9" s="8"/>
      <c r="I9" s="8"/>
      <c r="J9" s="8"/>
      <c r="K9" s="8"/>
    </row>
    <row r="10" customFormat="false" ht="39" hidden="false" customHeight="true" outlineLevel="0" collapsed="false">
      <c r="A10" s="11" t="s">
        <v>51</v>
      </c>
      <c r="B10" s="7" t="s">
        <v>51</v>
      </c>
      <c r="C10" s="7" t="s">
        <v>98</v>
      </c>
      <c r="D10" s="7" t="s">
        <v>99</v>
      </c>
      <c r="E10" s="7" t="s">
        <v>100</v>
      </c>
      <c r="F10" s="7" t="n">
        <f aca="false">COUNTIF(Tandas!$B:$B,B10)</f>
        <v>3</v>
      </c>
      <c r="G10" s="8"/>
      <c r="H10" s="8"/>
      <c r="I10" s="8"/>
      <c r="J10" s="8"/>
      <c r="K10" s="8"/>
    </row>
    <row r="11" customFormat="false" ht="39" hidden="false" customHeight="true" outlineLevel="0" collapsed="false">
      <c r="A11" s="12" t="s">
        <v>56</v>
      </c>
      <c r="B11" s="7" t="s">
        <v>56</v>
      </c>
      <c r="C11" s="7" t="s">
        <v>57</v>
      </c>
      <c r="D11" s="7" t="s">
        <v>101</v>
      </c>
      <c r="E11" s="7" t="s">
        <v>102</v>
      </c>
      <c r="F11" s="7" t="n">
        <f aca="false">COUNTIF(Tandas!$B:$B,B11)</f>
        <v>5</v>
      </c>
      <c r="G11" s="8"/>
      <c r="H11" s="8"/>
      <c r="I11" s="8"/>
      <c r="J11" s="8"/>
      <c r="K11" s="8"/>
    </row>
    <row r="12" customFormat="false" ht="39" hidden="false" customHeight="true" outlineLevel="0" collapsed="false">
      <c r="A12" s="12" t="s">
        <v>61</v>
      </c>
      <c r="B12" s="7" t="s">
        <v>61</v>
      </c>
      <c r="C12" s="7" t="s">
        <v>62</v>
      </c>
      <c r="D12" s="7" t="s">
        <v>63</v>
      </c>
      <c r="E12" s="7" t="s">
        <v>103</v>
      </c>
      <c r="F12" s="7" t="n">
        <f aca="false">COUNTIF(Tandas!$B:$B,B12)</f>
        <v>2</v>
      </c>
      <c r="G12" s="8"/>
      <c r="H12" s="8"/>
      <c r="I12" s="8"/>
      <c r="J12" s="8"/>
      <c r="K12" s="8"/>
    </row>
  </sheetData>
  <conditionalFormatting sqref="G2:G12">
    <cfRule type="cellIs" priority="2" operator="equal" aboveAverage="0" equalAverage="0" bottom="0" percent="0" rank="0" text="" dxfId="0">
      <formula>"Sí"</formula>
    </cfRule>
    <cfRule type="cellIs" priority="3" operator="equal" aboveAverage="0" equalAverage="0" bottom="0" percent="0" rank="0" text="" dxfId="1">
      <formula>"No"</formula>
    </cfRule>
    <cfRule type="cellIs" priority="4" operator="equal" aboveAverage="0" equalAverage="0" bottom="0" percent="0" rank="0" text="" dxfId="2">
      <formula>"Con cambios"</formula>
    </cfRule>
    <cfRule type="cellIs" priority="5" operator="equal" aboveAverage="0" equalAverage="0" bottom="0" percent="0" rank="0" text="" dxfId="2">
      <formula>"Duda"</formula>
    </cfRule>
  </conditionalFormatting>
  <dataValidations count="2">
    <dataValidation allowBlank="true" errorStyle="stop" operator="between" showDropDown="false" showErrorMessage="false" showInputMessage="false" sqref="G2:G12" type="list">
      <formula1>"Sí,No,Con cambios,Duda"</formula1>
      <formula2>0</formula2>
    </dataValidation>
    <dataValidation allowBlank="true" errorStyle="stop" operator="between" showDropDown="false" showErrorMessage="false" showInputMessage="false" sqref="I2:I12" type="list">
      <formula1>"Sube,Se mantiene,Baja,Fuera"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7"/>
    <col collapsed="false" customWidth="true" hidden="false" outlineLevel="0" max="3" min="3" style="1" width="9"/>
    <col collapsed="false" customWidth="true" hidden="false" outlineLevel="0" max="4" min="4" style="1" width="34"/>
    <col collapsed="false" customWidth="true" hidden="false" outlineLevel="0" max="5" min="5" style="1" width="60"/>
    <col collapsed="false" customWidth="true" hidden="false" outlineLevel="0" max="7" min="6" style="1" width="24"/>
    <col collapsed="false" customWidth="true" hidden="false" outlineLevel="0" max="8" min="8" style="1" width="30"/>
    <col collapsed="false" customWidth="true" hidden="false" outlineLevel="0" max="9" min="9" style="1" width="8"/>
    <col collapsed="false" customWidth="true" hidden="false" outlineLevel="0" max="10" min="10" style="1" width="9"/>
    <col collapsed="false" customWidth="true" hidden="false" outlineLevel="0" max="11" min="11" style="1" width="14"/>
    <col collapsed="false" customWidth="true" hidden="false" outlineLevel="0" max="12" min="12" style="1" width="40"/>
    <col collapsed="false" customWidth="true" hidden="false" outlineLevel="0" max="13" min="13" style="1" width="16"/>
    <col collapsed="false" customWidth="true" hidden="false" outlineLevel="0" max="14" min="14" style="1" width="30"/>
    <col collapsed="false" customWidth="true" hidden="false" outlineLevel="0" max="15" min="15" style="1" width="14"/>
    <col collapsed="false" customWidth="true" hidden="false" outlineLevel="0" max="16" min="16" style="1" width="12"/>
    <col collapsed="false" customWidth="true" hidden="false" outlineLevel="0" max="17" min="17" style="0" width="22"/>
    <col collapsed="false" customWidth="true" hidden="false" outlineLevel="0" max="18" min="18" style="0" width="44"/>
  </cols>
  <sheetData>
    <row r="1" customFormat="false" ht="31.5" hidden="false" customHeight="true" outlineLevel="0" collapsed="false">
      <c r="A1" s="5" t="s">
        <v>22</v>
      </c>
      <c r="B1" s="5" t="s">
        <v>66</v>
      </c>
      <c r="C1" s="5" t="s">
        <v>104</v>
      </c>
      <c r="D1" s="5" t="s">
        <v>23</v>
      </c>
      <c r="E1" s="5" t="s">
        <v>68</v>
      </c>
      <c r="F1" s="5" t="s">
        <v>105</v>
      </c>
      <c r="G1" s="5" t="s">
        <v>106</v>
      </c>
      <c r="H1" s="5" t="s">
        <v>107</v>
      </c>
      <c r="I1" s="5" t="s">
        <v>108</v>
      </c>
      <c r="J1" s="5" t="s">
        <v>109</v>
      </c>
      <c r="K1" s="5" t="s">
        <v>28</v>
      </c>
      <c r="L1" s="5" t="s">
        <v>29</v>
      </c>
      <c r="M1" s="5" t="s">
        <v>30</v>
      </c>
      <c r="N1" s="5" t="s">
        <v>110</v>
      </c>
      <c r="O1" s="5" t="s">
        <v>31</v>
      </c>
      <c r="P1" s="5" t="s">
        <v>32</v>
      </c>
      <c r="Q1" s="5" t="s">
        <v>111</v>
      </c>
      <c r="R1" s="5" t="s">
        <v>112</v>
      </c>
      <c r="S1" s="5" t="s">
        <v>693</v>
      </c>
      <c r="T1" s="5" t="s">
        <v>694</v>
      </c>
    </row>
    <row r="2" customFormat="false" ht="75" hidden="false" customHeight="true" outlineLevel="0" collapsed="false">
      <c r="A2" s="6" t="s">
        <v>33</v>
      </c>
      <c r="B2" s="7" t="s">
        <v>33</v>
      </c>
      <c r="C2" s="7" t="s">
        <v>113</v>
      </c>
      <c r="D2" s="7" t="s">
        <v>114</v>
      </c>
      <c r="E2" s="7" t="s">
        <v>115</v>
      </c>
      <c r="F2" s="7" t="s">
        <v>116</v>
      </c>
      <c r="G2" s="7" t="s">
        <v>117</v>
      </c>
      <c r="H2" s="7" t="s">
        <v>48</v>
      </c>
      <c r="I2" s="7" t="s">
        <v>118</v>
      </c>
      <c r="J2" s="7" t="s">
        <v>119</v>
      </c>
      <c r="K2" s="8"/>
      <c r="L2" s="8"/>
      <c r="M2" s="8"/>
      <c r="N2" s="8"/>
      <c r="O2" s="8"/>
      <c r="P2" s="8"/>
      <c r="Q2" s="7" t="s">
        <v>120</v>
      </c>
      <c r="R2" s="7" t="s">
        <v>121</v>
      </c>
    </row>
    <row r="3" customFormat="false" ht="51" hidden="false" customHeight="true" outlineLevel="0" collapsed="false">
      <c r="A3" s="6" t="s">
        <v>33</v>
      </c>
      <c r="B3" s="7" t="s">
        <v>33</v>
      </c>
      <c r="C3" s="7" t="s">
        <v>122</v>
      </c>
      <c r="D3" s="7" t="s">
        <v>123</v>
      </c>
      <c r="E3" s="7" t="s">
        <v>124</v>
      </c>
      <c r="F3" s="7" t="s">
        <v>48</v>
      </c>
      <c r="G3" s="7" t="s">
        <v>125</v>
      </c>
      <c r="H3" s="7" t="s">
        <v>48</v>
      </c>
      <c r="I3" s="7" t="s">
        <v>126</v>
      </c>
      <c r="J3" s="7" t="s">
        <v>119</v>
      </c>
      <c r="K3" s="8"/>
      <c r="L3" s="8"/>
      <c r="M3" s="8"/>
      <c r="N3" s="8"/>
      <c r="O3" s="8"/>
      <c r="P3" s="8"/>
      <c r="Q3" s="7" t="s">
        <v>127</v>
      </c>
      <c r="R3" s="7" t="s">
        <v>128</v>
      </c>
    </row>
    <row r="4" customFormat="false" ht="51" hidden="false" customHeight="true" outlineLevel="0" collapsed="false">
      <c r="A4" s="6" t="s">
        <v>33</v>
      </c>
      <c r="B4" s="7" t="s">
        <v>33</v>
      </c>
      <c r="C4" s="7" t="s">
        <v>129</v>
      </c>
      <c r="D4" s="7" t="s">
        <v>130</v>
      </c>
      <c r="E4" s="7" t="s">
        <v>131</v>
      </c>
      <c r="F4" s="7" t="s">
        <v>116</v>
      </c>
      <c r="G4" s="7" t="s">
        <v>132</v>
      </c>
      <c r="H4" s="7" t="s">
        <v>113</v>
      </c>
      <c r="I4" s="7" t="s">
        <v>133</v>
      </c>
      <c r="J4" s="7" t="s">
        <v>134</v>
      </c>
      <c r="K4" s="8"/>
      <c r="L4" s="8"/>
      <c r="M4" s="8"/>
      <c r="N4" s="8"/>
      <c r="O4" s="8"/>
      <c r="P4" s="8"/>
      <c r="Q4" s="7" t="s">
        <v>135</v>
      </c>
      <c r="R4" s="7" t="s">
        <v>136</v>
      </c>
    </row>
    <row r="5" customFormat="false" ht="27" hidden="false" customHeight="true" outlineLevel="0" collapsed="false">
      <c r="A5" s="6" t="s">
        <v>33</v>
      </c>
      <c r="B5" s="7" t="s">
        <v>33</v>
      </c>
      <c r="C5" s="7" t="s">
        <v>137</v>
      </c>
      <c r="D5" s="7" t="s">
        <v>138</v>
      </c>
      <c r="E5" s="7" t="s">
        <v>139</v>
      </c>
      <c r="F5" s="7" t="s">
        <v>48</v>
      </c>
      <c r="G5" s="7" t="s">
        <v>140</v>
      </c>
      <c r="H5" s="7" t="s">
        <v>48</v>
      </c>
      <c r="I5" s="7" t="s">
        <v>126</v>
      </c>
      <c r="J5" s="7" t="s">
        <v>119</v>
      </c>
      <c r="K5" s="8"/>
      <c r="L5" s="8"/>
      <c r="M5" s="8"/>
      <c r="N5" s="8"/>
      <c r="O5" s="8"/>
      <c r="P5" s="8"/>
      <c r="Q5" s="7" t="s">
        <v>141</v>
      </c>
      <c r="R5" s="7" t="s">
        <v>142</v>
      </c>
    </row>
    <row r="6" customFormat="false" ht="39" hidden="false" customHeight="true" outlineLevel="0" collapsed="false">
      <c r="A6" s="6" t="s">
        <v>33</v>
      </c>
      <c r="B6" s="7" t="s">
        <v>33</v>
      </c>
      <c r="C6" s="7" t="s">
        <v>143</v>
      </c>
      <c r="D6" s="7" t="s">
        <v>144</v>
      </c>
      <c r="E6" s="7" t="s">
        <v>145</v>
      </c>
      <c r="F6" s="7" t="s">
        <v>146</v>
      </c>
      <c r="G6" s="7" t="s">
        <v>147</v>
      </c>
      <c r="H6" s="7" t="s">
        <v>48</v>
      </c>
      <c r="I6" s="7" t="s">
        <v>118</v>
      </c>
      <c r="J6" s="7" t="s">
        <v>134</v>
      </c>
      <c r="K6" s="8"/>
      <c r="L6" s="8"/>
      <c r="M6" s="8"/>
      <c r="N6" s="8"/>
      <c r="O6" s="8"/>
      <c r="P6" s="8"/>
      <c r="Q6" s="7" t="s">
        <v>148</v>
      </c>
      <c r="R6" s="7" t="s">
        <v>149</v>
      </c>
    </row>
    <row r="7" customFormat="false" ht="63" hidden="false" customHeight="true" outlineLevel="0" collapsed="false">
      <c r="A7" s="6" t="s">
        <v>39</v>
      </c>
      <c r="B7" s="7" t="s">
        <v>72</v>
      </c>
      <c r="C7" s="7" t="s">
        <v>150</v>
      </c>
      <c r="D7" s="7" t="s">
        <v>151</v>
      </c>
      <c r="E7" s="7" t="s">
        <v>152</v>
      </c>
      <c r="F7" s="7" t="s">
        <v>146</v>
      </c>
      <c r="G7" s="7" t="s">
        <v>153</v>
      </c>
      <c r="H7" s="7" t="s">
        <v>154</v>
      </c>
      <c r="I7" s="7" t="s">
        <v>126</v>
      </c>
      <c r="J7" s="7" t="s">
        <v>134</v>
      </c>
      <c r="K7" s="8"/>
      <c r="L7" s="8"/>
      <c r="M7" s="8"/>
      <c r="N7" s="8"/>
      <c r="O7" s="8"/>
      <c r="P7" s="8"/>
      <c r="Q7" s="7" t="s">
        <v>155</v>
      </c>
      <c r="R7" s="7" t="s">
        <v>156</v>
      </c>
    </row>
    <row r="8" customFormat="false" ht="51" hidden="false" customHeight="true" outlineLevel="0" collapsed="false">
      <c r="A8" s="6" t="s">
        <v>39</v>
      </c>
      <c r="B8" s="7" t="s">
        <v>72</v>
      </c>
      <c r="C8" s="7" t="s">
        <v>157</v>
      </c>
      <c r="D8" s="7" t="s">
        <v>158</v>
      </c>
      <c r="E8" s="7" t="s">
        <v>159</v>
      </c>
      <c r="F8" s="7" t="s">
        <v>160</v>
      </c>
      <c r="G8" s="7" t="s">
        <v>161</v>
      </c>
      <c r="H8" s="7" t="s">
        <v>154</v>
      </c>
      <c r="I8" s="7" t="s">
        <v>126</v>
      </c>
      <c r="J8" s="7" t="s">
        <v>134</v>
      </c>
      <c r="K8" s="8"/>
      <c r="L8" s="8"/>
      <c r="M8" s="8"/>
      <c r="N8" s="8"/>
      <c r="O8" s="8"/>
      <c r="P8" s="8"/>
      <c r="Q8" s="7" t="s">
        <v>162</v>
      </c>
      <c r="R8" s="7" t="s">
        <v>163</v>
      </c>
    </row>
    <row r="9" customFormat="false" ht="87" hidden="false" customHeight="true" outlineLevel="0" collapsed="false">
      <c r="A9" s="6" t="s">
        <v>39</v>
      </c>
      <c r="B9" s="7" t="s">
        <v>72</v>
      </c>
      <c r="C9" s="7" t="s">
        <v>164</v>
      </c>
      <c r="D9" s="7" t="s">
        <v>165</v>
      </c>
      <c r="E9" s="7" t="s">
        <v>166</v>
      </c>
      <c r="F9" s="7" t="s">
        <v>167</v>
      </c>
      <c r="G9" s="7" t="s">
        <v>168</v>
      </c>
      <c r="H9" s="7" t="s">
        <v>169</v>
      </c>
      <c r="I9" s="7" t="s">
        <v>126</v>
      </c>
      <c r="J9" s="7" t="s">
        <v>134</v>
      </c>
      <c r="K9" s="8"/>
      <c r="L9" s="8"/>
      <c r="M9" s="8"/>
      <c r="N9" s="8"/>
      <c r="O9" s="8"/>
      <c r="P9" s="8"/>
      <c r="Q9" s="7" t="s">
        <v>170</v>
      </c>
      <c r="R9" s="7" t="s">
        <v>171</v>
      </c>
    </row>
    <row r="10" customFormat="false" ht="75" hidden="false" customHeight="true" outlineLevel="0" collapsed="false">
      <c r="A10" s="6" t="s">
        <v>39</v>
      </c>
      <c r="B10" s="7" t="s">
        <v>72</v>
      </c>
      <c r="C10" s="7" t="s">
        <v>172</v>
      </c>
      <c r="D10" s="7" t="s">
        <v>173</v>
      </c>
      <c r="E10" s="7" t="s">
        <v>174</v>
      </c>
      <c r="F10" s="7" t="s">
        <v>175</v>
      </c>
      <c r="G10" s="7" t="s">
        <v>176</v>
      </c>
      <c r="H10" s="7" t="s">
        <v>177</v>
      </c>
      <c r="I10" s="7" t="s">
        <v>126</v>
      </c>
      <c r="J10" s="7" t="s">
        <v>134</v>
      </c>
      <c r="K10" s="8"/>
      <c r="L10" s="8"/>
      <c r="M10" s="8"/>
      <c r="N10" s="8"/>
      <c r="O10" s="8"/>
      <c r="P10" s="8"/>
      <c r="Q10" s="7" t="s">
        <v>178</v>
      </c>
      <c r="R10" s="7" t="s">
        <v>179</v>
      </c>
    </row>
    <row r="11" customFormat="false" ht="39" hidden="false" customHeight="true" outlineLevel="0" collapsed="false">
      <c r="A11" s="6" t="s">
        <v>39</v>
      </c>
      <c r="B11" s="7" t="s">
        <v>72</v>
      </c>
      <c r="C11" s="7" t="s">
        <v>180</v>
      </c>
      <c r="D11" s="7" t="s">
        <v>181</v>
      </c>
      <c r="E11" s="7" t="s">
        <v>182</v>
      </c>
      <c r="F11" s="7" t="s">
        <v>48</v>
      </c>
      <c r="G11" s="7" t="s">
        <v>183</v>
      </c>
      <c r="H11" s="7" t="s">
        <v>184</v>
      </c>
      <c r="I11" s="7" t="s">
        <v>126</v>
      </c>
      <c r="J11" s="7" t="s">
        <v>134</v>
      </c>
      <c r="K11" s="8"/>
      <c r="L11" s="8"/>
      <c r="M11" s="8"/>
      <c r="N11" s="8"/>
      <c r="O11" s="8"/>
      <c r="P11" s="8"/>
      <c r="Q11" s="7" t="s">
        <v>185</v>
      </c>
      <c r="R11" s="7" t="s">
        <v>186</v>
      </c>
    </row>
    <row r="12" customFormat="false" ht="111" hidden="false" customHeight="true" outlineLevel="0" collapsed="false">
      <c r="A12" s="6" t="s">
        <v>39</v>
      </c>
      <c r="B12" s="7" t="s">
        <v>72</v>
      </c>
      <c r="C12" s="7" t="s">
        <v>187</v>
      </c>
      <c r="D12" s="7" t="s">
        <v>188</v>
      </c>
      <c r="E12" s="7" t="s">
        <v>189</v>
      </c>
      <c r="F12" s="7" t="s">
        <v>146</v>
      </c>
      <c r="G12" s="7" t="s">
        <v>190</v>
      </c>
      <c r="H12" s="7" t="s">
        <v>191</v>
      </c>
      <c r="I12" s="7" t="s">
        <v>192</v>
      </c>
      <c r="J12" s="7" t="s">
        <v>134</v>
      </c>
      <c r="K12" s="8"/>
      <c r="L12" s="8"/>
      <c r="M12" s="8"/>
      <c r="N12" s="8"/>
      <c r="O12" s="8"/>
      <c r="P12" s="8"/>
      <c r="Q12" s="7" t="s">
        <v>193</v>
      </c>
      <c r="R12" s="7" t="s">
        <v>194</v>
      </c>
    </row>
    <row r="13" customFormat="false" ht="111" hidden="false" customHeight="true" outlineLevel="0" collapsed="false">
      <c r="A13" s="6" t="s">
        <v>39</v>
      </c>
      <c r="B13" s="7" t="s">
        <v>72</v>
      </c>
      <c r="C13" s="7" t="s">
        <v>195</v>
      </c>
      <c r="D13" s="7" t="s">
        <v>196</v>
      </c>
      <c r="E13" s="7" t="s">
        <v>197</v>
      </c>
      <c r="F13" s="7" t="s">
        <v>198</v>
      </c>
      <c r="G13" s="7" t="s">
        <v>199</v>
      </c>
      <c r="H13" s="7" t="s">
        <v>200</v>
      </c>
      <c r="I13" s="7" t="s">
        <v>201</v>
      </c>
      <c r="J13" s="7" t="s">
        <v>134</v>
      </c>
      <c r="K13" s="8"/>
      <c r="L13" s="8"/>
      <c r="M13" s="8"/>
      <c r="N13" s="8"/>
      <c r="O13" s="8"/>
      <c r="P13" s="8"/>
      <c r="Q13" s="7" t="s">
        <v>193</v>
      </c>
      <c r="R13" s="7" t="s">
        <v>202</v>
      </c>
    </row>
    <row r="14" customFormat="false" ht="63" hidden="false" customHeight="true" outlineLevel="0" collapsed="false">
      <c r="A14" s="6" t="s">
        <v>39</v>
      </c>
      <c r="B14" s="7" t="s">
        <v>72</v>
      </c>
      <c r="C14" s="7" t="s">
        <v>203</v>
      </c>
      <c r="D14" s="7" t="s">
        <v>204</v>
      </c>
      <c r="E14" s="7" t="s">
        <v>205</v>
      </c>
      <c r="F14" s="7" t="s">
        <v>206</v>
      </c>
      <c r="G14" s="7" t="s">
        <v>207</v>
      </c>
      <c r="H14" s="7" t="s">
        <v>208</v>
      </c>
      <c r="I14" s="7" t="s">
        <v>126</v>
      </c>
      <c r="J14" s="7" t="s">
        <v>134</v>
      </c>
      <c r="K14" s="8"/>
      <c r="L14" s="8"/>
      <c r="M14" s="8"/>
      <c r="N14" s="8"/>
      <c r="O14" s="8"/>
      <c r="P14" s="8"/>
      <c r="Q14" s="7" t="s">
        <v>193</v>
      </c>
      <c r="R14" s="7" t="s">
        <v>209</v>
      </c>
    </row>
    <row r="15" customFormat="false" ht="51" hidden="false" customHeight="true" outlineLevel="0" collapsed="false">
      <c r="A15" s="6" t="s">
        <v>39</v>
      </c>
      <c r="B15" s="7" t="s">
        <v>72</v>
      </c>
      <c r="C15" s="7" t="s">
        <v>210</v>
      </c>
      <c r="D15" s="7" t="s">
        <v>211</v>
      </c>
      <c r="E15" s="7" t="s">
        <v>212</v>
      </c>
      <c r="F15" s="7" t="s">
        <v>48</v>
      </c>
      <c r="G15" s="7" t="s">
        <v>213</v>
      </c>
      <c r="H15" s="7" t="s">
        <v>154</v>
      </c>
      <c r="I15" s="7" t="s">
        <v>126</v>
      </c>
      <c r="J15" s="7" t="s">
        <v>134</v>
      </c>
      <c r="K15" s="8"/>
      <c r="L15" s="8"/>
      <c r="M15" s="8"/>
      <c r="N15" s="8"/>
      <c r="O15" s="8"/>
      <c r="P15" s="8"/>
      <c r="Q15" s="7" t="s">
        <v>193</v>
      </c>
      <c r="R15" s="7" t="s">
        <v>214</v>
      </c>
    </row>
    <row r="16" customFormat="false" ht="51" hidden="false" customHeight="true" outlineLevel="0" collapsed="false">
      <c r="A16" s="6" t="s">
        <v>39</v>
      </c>
      <c r="B16" s="7" t="s">
        <v>76</v>
      </c>
      <c r="C16" s="7" t="s">
        <v>215</v>
      </c>
      <c r="D16" s="7" t="s">
        <v>216</v>
      </c>
      <c r="E16" s="7" t="s">
        <v>217</v>
      </c>
      <c r="F16" s="7" t="s">
        <v>218</v>
      </c>
      <c r="G16" s="7" t="s">
        <v>219</v>
      </c>
      <c r="H16" s="7" t="s">
        <v>154</v>
      </c>
      <c r="I16" s="7" t="s">
        <v>118</v>
      </c>
      <c r="J16" s="7" t="s">
        <v>220</v>
      </c>
      <c r="K16" s="8"/>
      <c r="L16" s="8"/>
      <c r="M16" s="8"/>
      <c r="N16" s="8"/>
      <c r="O16" s="8"/>
      <c r="P16" s="8"/>
      <c r="Q16" s="7" t="s">
        <v>221</v>
      </c>
      <c r="R16" s="7" t="s">
        <v>222</v>
      </c>
    </row>
    <row r="17" customFormat="false" ht="39" hidden="false" customHeight="true" outlineLevel="0" collapsed="false">
      <c r="A17" s="6" t="s">
        <v>39</v>
      </c>
      <c r="B17" s="7" t="s">
        <v>76</v>
      </c>
      <c r="C17" s="7" t="s">
        <v>223</v>
      </c>
      <c r="D17" s="7" t="s">
        <v>224</v>
      </c>
      <c r="E17" s="7" t="s">
        <v>225</v>
      </c>
      <c r="F17" s="7" t="s">
        <v>226</v>
      </c>
      <c r="G17" s="7" t="s">
        <v>227</v>
      </c>
      <c r="H17" s="7" t="s">
        <v>228</v>
      </c>
      <c r="I17" s="7" t="s">
        <v>118</v>
      </c>
      <c r="J17" s="7" t="s">
        <v>220</v>
      </c>
      <c r="K17" s="8"/>
      <c r="L17" s="8"/>
      <c r="M17" s="8"/>
      <c r="N17" s="8"/>
      <c r="O17" s="8"/>
      <c r="P17" s="8"/>
      <c r="Q17" s="7" t="s">
        <v>229</v>
      </c>
      <c r="R17" s="7"/>
    </row>
    <row r="18" customFormat="false" ht="123" hidden="false" customHeight="true" outlineLevel="0" collapsed="false">
      <c r="A18" s="6" t="s">
        <v>39</v>
      </c>
      <c r="B18" s="7" t="s">
        <v>76</v>
      </c>
      <c r="C18" s="7" t="s">
        <v>230</v>
      </c>
      <c r="D18" s="7" t="s">
        <v>231</v>
      </c>
      <c r="E18" s="7" t="s">
        <v>232</v>
      </c>
      <c r="F18" s="7" t="s">
        <v>233</v>
      </c>
      <c r="G18" s="7" t="s">
        <v>234</v>
      </c>
      <c r="H18" s="7" t="s">
        <v>235</v>
      </c>
      <c r="I18" s="7" t="s">
        <v>133</v>
      </c>
      <c r="J18" s="7" t="s">
        <v>236</v>
      </c>
      <c r="K18" s="8"/>
      <c r="L18" s="8"/>
      <c r="M18" s="8"/>
      <c r="N18" s="8"/>
      <c r="O18" s="8"/>
      <c r="P18" s="8"/>
      <c r="Q18" s="7" t="s">
        <v>237</v>
      </c>
      <c r="R18" s="7" t="s">
        <v>238</v>
      </c>
    </row>
    <row r="19" customFormat="false" ht="39" hidden="false" customHeight="true" outlineLevel="0" collapsed="false">
      <c r="A19" s="6" t="s">
        <v>39</v>
      </c>
      <c r="B19" s="7" t="s">
        <v>76</v>
      </c>
      <c r="C19" s="7" t="s">
        <v>239</v>
      </c>
      <c r="D19" s="7" t="s">
        <v>240</v>
      </c>
      <c r="E19" s="7" t="s">
        <v>241</v>
      </c>
      <c r="F19" s="7" t="s">
        <v>206</v>
      </c>
      <c r="G19" s="7" t="s">
        <v>242</v>
      </c>
      <c r="H19" s="7" t="s">
        <v>154</v>
      </c>
      <c r="I19" s="7" t="s">
        <v>133</v>
      </c>
      <c r="J19" s="7" t="s">
        <v>236</v>
      </c>
      <c r="K19" s="8"/>
      <c r="L19" s="8"/>
      <c r="M19" s="8"/>
      <c r="N19" s="8"/>
      <c r="O19" s="8"/>
      <c r="P19" s="8"/>
      <c r="Q19" s="7" t="s">
        <v>193</v>
      </c>
      <c r="R19" s="7"/>
    </row>
    <row r="20" customFormat="false" ht="39" hidden="false" customHeight="true" outlineLevel="0" collapsed="false">
      <c r="A20" s="6" t="s">
        <v>39</v>
      </c>
      <c r="B20" s="7" t="s">
        <v>76</v>
      </c>
      <c r="C20" s="7" t="s">
        <v>243</v>
      </c>
      <c r="D20" s="7" t="s">
        <v>244</v>
      </c>
      <c r="E20" s="7" t="s">
        <v>245</v>
      </c>
      <c r="F20" s="7" t="s">
        <v>246</v>
      </c>
      <c r="G20" s="7" t="s">
        <v>247</v>
      </c>
      <c r="H20" s="7" t="s">
        <v>154</v>
      </c>
      <c r="I20" s="7" t="s">
        <v>118</v>
      </c>
      <c r="J20" s="7" t="s">
        <v>248</v>
      </c>
      <c r="K20" s="8"/>
      <c r="L20" s="8"/>
      <c r="M20" s="8"/>
      <c r="N20" s="8"/>
      <c r="O20" s="8"/>
      <c r="P20" s="8"/>
      <c r="Q20" s="7" t="s">
        <v>193</v>
      </c>
      <c r="R20" s="7"/>
    </row>
    <row r="21" customFormat="false" ht="75" hidden="false" customHeight="true" outlineLevel="0" collapsed="false">
      <c r="A21" s="6" t="s">
        <v>39</v>
      </c>
      <c r="B21" s="7" t="s">
        <v>76</v>
      </c>
      <c r="C21" s="7" t="s">
        <v>249</v>
      </c>
      <c r="D21" s="7" t="s">
        <v>250</v>
      </c>
      <c r="E21" s="7" t="s">
        <v>251</v>
      </c>
      <c r="F21" s="7" t="s">
        <v>252</v>
      </c>
      <c r="G21" s="7" t="s">
        <v>253</v>
      </c>
      <c r="H21" s="7" t="s">
        <v>254</v>
      </c>
      <c r="I21" s="7" t="s">
        <v>133</v>
      </c>
      <c r="J21" s="7" t="s">
        <v>255</v>
      </c>
      <c r="K21" s="8"/>
      <c r="L21" s="8"/>
      <c r="M21" s="8"/>
      <c r="N21" s="8"/>
      <c r="O21" s="8"/>
      <c r="P21" s="8"/>
      <c r="Q21" s="7" t="s">
        <v>229</v>
      </c>
      <c r="R21" s="7" t="s">
        <v>256</v>
      </c>
    </row>
    <row r="22" customFormat="false" ht="27" hidden="false" customHeight="true" outlineLevel="0" collapsed="false">
      <c r="A22" s="6" t="s">
        <v>39</v>
      </c>
      <c r="B22" s="7" t="s">
        <v>76</v>
      </c>
      <c r="C22" s="7" t="s">
        <v>257</v>
      </c>
      <c r="D22" s="7" t="s">
        <v>258</v>
      </c>
      <c r="E22" s="7" t="s">
        <v>259</v>
      </c>
      <c r="F22" s="7" t="s">
        <v>260</v>
      </c>
      <c r="G22" s="7" t="s">
        <v>261</v>
      </c>
      <c r="H22" s="7" t="s">
        <v>262</v>
      </c>
      <c r="I22" s="7" t="s">
        <v>126</v>
      </c>
      <c r="J22" s="7" t="s">
        <v>263</v>
      </c>
      <c r="K22" s="8"/>
      <c r="L22" s="8"/>
      <c r="M22" s="8"/>
      <c r="N22" s="8"/>
      <c r="O22" s="8"/>
      <c r="P22" s="8"/>
      <c r="Q22" s="7" t="s">
        <v>229</v>
      </c>
      <c r="R22" s="7"/>
    </row>
    <row r="23" customFormat="false" ht="99" hidden="false" customHeight="true" outlineLevel="0" collapsed="false">
      <c r="A23" s="6" t="s">
        <v>39</v>
      </c>
      <c r="B23" s="7" t="s">
        <v>76</v>
      </c>
      <c r="C23" s="7" t="s">
        <v>264</v>
      </c>
      <c r="D23" s="7" t="s">
        <v>265</v>
      </c>
      <c r="E23" s="7" t="s">
        <v>266</v>
      </c>
      <c r="F23" s="7" t="s">
        <v>218</v>
      </c>
      <c r="G23" s="7" t="s">
        <v>267</v>
      </c>
      <c r="H23" s="7" t="s">
        <v>268</v>
      </c>
      <c r="I23" s="7" t="s">
        <v>133</v>
      </c>
      <c r="J23" s="7" t="s">
        <v>269</v>
      </c>
      <c r="K23" s="8"/>
      <c r="L23" s="8"/>
      <c r="M23" s="8"/>
      <c r="N23" s="8"/>
      <c r="O23" s="8"/>
      <c r="P23" s="8"/>
      <c r="Q23" s="7" t="s">
        <v>229</v>
      </c>
      <c r="R23" s="7" t="s">
        <v>270</v>
      </c>
      <c r="S23" s="7" t="s">
        <v>695</v>
      </c>
      <c r="T23" s="7" t="s">
        <v>696</v>
      </c>
    </row>
    <row r="24" customFormat="false" ht="87" hidden="false" customHeight="true" outlineLevel="0" collapsed="false">
      <c r="A24" s="6" t="s">
        <v>39</v>
      </c>
      <c r="B24" s="7" t="s">
        <v>76</v>
      </c>
      <c r="C24" s="7" t="s">
        <v>271</v>
      </c>
      <c r="D24" s="7" t="s">
        <v>272</v>
      </c>
      <c r="E24" s="7" t="s">
        <v>273</v>
      </c>
      <c r="F24" s="7" t="s">
        <v>274</v>
      </c>
      <c r="G24" s="7" t="s">
        <v>275</v>
      </c>
      <c r="H24" s="7" t="s">
        <v>276</v>
      </c>
      <c r="I24" s="7" t="s">
        <v>118</v>
      </c>
      <c r="J24" s="7" t="s">
        <v>277</v>
      </c>
      <c r="K24" s="8"/>
      <c r="L24" s="8"/>
      <c r="M24" s="8"/>
      <c r="N24" s="8"/>
      <c r="O24" s="8"/>
      <c r="P24" s="8"/>
      <c r="Q24" s="7" t="s">
        <v>193</v>
      </c>
      <c r="R24" s="7" t="s">
        <v>278</v>
      </c>
    </row>
    <row r="25" customFormat="false" ht="63" hidden="false" customHeight="true" outlineLevel="0" collapsed="false">
      <c r="A25" s="6" t="s">
        <v>39</v>
      </c>
      <c r="B25" s="7" t="s">
        <v>76</v>
      </c>
      <c r="C25" s="7" t="s">
        <v>279</v>
      </c>
      <c r="D25" s="7" t="s">
        <v>280</v>
      </c>
      <c r="E25" s="7" t="s">
        <v>281</v>
      </c>
      <c r="F25" s="7" t="s">
        <v>48</v>
      </c>
      <c r="G25" s="7" t="s">
        <v>183</v>
      </c>
      <c r="H25" s="7" t="s">
        <v>282</v>
      </c>
      <c r="I25" s="7" t="s">
        <v>126</v>
      </c>
      <c r="J25" s="7" t="s">
        <v>269</v>
      </c>
      <c r="K25" s="8"/>
      <c r="L25" s="8"/>
      <c r="M25" s="8"/>
      <c r="N25" s="8"/>
      <c r="O25" s="8"/>
      <c r="P25" s="8"/>
      <c r="Q25" s="7" t="s">
        <v>193</v>
      </c>
      <c r="R25" s="7" t="s">
        <v>283</v>
      </c>
    </row>
    <row r="26" customFormat="false" ht="159" hidden="false" customHeight="true" outlineLevel="0" collapsed="false">
      <c r="A26" s="6" t="s">
        <v>39</v>
      </c>
      <c r="B26" s="7" t="s">
        <v>76</v>
      </c>
      <c r="C26" s="7" t="s">
        <v>284</v>
      </c>
      <c r="D26" s="7" t="s">
        <v>285</v>
      </c>
      <c r="E26" s="7" t="s">
        <v>286</v>
      </c>
      <c r="F26" s="7" t="s">
        <v>218</v>
      </c>
      <c r="G26" s="7" t="s">
        <v>287</v>
      </c>
      <c r="H26" s="7" t="s">
        <v>288</v>
      </c>
      <c r="I26" s="7" t="s">
        <v>133</v>
      </c>
      <c r="J26" s="7" t="s">
        <v>289</v>
      </c>
      <c r="K26" s="8"/>
      <c r="L26" s="8"/>
      <c r="M26" s="8"/>
      <c r="N26" s="8"/>
      <c r="O26" s="8"/>
      <c r="P26" s="8"/>
      <c r="Q26" s="7" t="s">
        <v>290</v>
      </c>
      <c r="R26" s="7" t="s">
        <v>291</v>
      </c>
    </row>
    <row r="27" customFormat="false" ht="51" hidden="false" customHeight="true" outlineLevel="0" collapsed="false">
      <c r="A27" s="6" t="s">
        <v>39</v>
      </c>
      <c r="B27" s="7" t="s">
        <v>80</v>
      </c>
      <c r="C27" s="7" t="s">
        <v>292</v>
      </c>
      <c r="D27" s="7" t="s">
        <v>293</v>
      </c>
      <c r="E27" s="7" t="s">
        <v>294</v>
      </c>
      <c r="F27" s="7" t="s">
        <v>295</v>
      </c>
      <c r="G27" s="7" t="s">
        <v>296</v>
      </c>
      <c r="H27" s="7" t="s">
        <v>297</v>
      </c>
      <c r="I27" s="7" t="s">
        <v>118</v>
      </c>
      <c r="J27" s="7" t="s">
        <v>298</v>
      </c>
      <c r="K27" s="8"/>
      <c r="L27" s="8"/>
      <c r="M27" s="8"/>
      <c r="N27" s="8"/>
      <c r="O27" s="8"/>
      <c r="P27" s="8"/>
      <c r="Q27" s="7" t="s">
        <v>229</v>
      </c>
      <c r="R27" s="7" t="s">
        <v>299</v>
      </c>
    </row>
    <row r="28" customFormat="false" ht="27" hidden="false" customHeight="true" outlineLevel="0" collapsed="false">
      <c r="A28" s="6" t="s">
        <v>39</v>
      </c>
      <c r="B28" s="7" t="s">
        <v>80</v>
      </c>
      <c r="C28" s="7" t="s">
        <v>300</v>
      </c>
      <c r="D28" s="7" t="s">
        <v>301</v>
      </c>
      <c r="E28" s="7" t="s">
        <v>302</v>
      </c>
      <c r="F28" s="7" t="s">
        <v>146</v>
      </c>
      <c r="G28" s="7" t="s">
        <v>303</v>
      </c>
      <c r="H28" s="7" t="s">
        <v>304</v>
      </c>
      <c r="I28" s="7" t="s">
        <v>118</v>
      </c>
      <c r="J28" s="7" t="s">
        <v>305</v>
      </c>
      <c r="K28" s="8"/>
      <c r="L28" s="8"/>
      <c r="M28" s="8"/>
      <c r="N28" s="8"/>
      <c r="O28" s="8"/>
      <c r="P28" s="8"/>
      <c r="Q28" s="7" t="s">
        <v>229</v>
      </c>
      <c r="R28" s="7"/>
    </row>
    <row r="29" customFormat="false" ht="27" hidden="false" customHeight="true" outlineLevel="0" collapsed="false">
      <c r="A29" s="6" t="s">
        <v>39</v>
      </c>
      <c r="B29" s="7" t="s">
        <v>80</v>
      </c>
      <c r="C29" s="7" t="s">
        <v>306</v>
      </c>
      <c r="D29" s="7" t="s">
        <v>307</v>
      </c>
      <c r="E29" s="7" t="s">
        <v>308</v>
      </c>
      <c r="F29" s="7" t="s">
        <v>146</v>
      </c>
      <c r="G29" s="7" t="s">
        <v>309</v>
      </c>
      <c r="H29" s="7" t="s">
        <v>310</v>
      </c>
      <c r="I29" s="7" t="s">
        <v>118</v>
      </c>
      <c r="J29" s="7" t="s">
        <v>311</v>
      </c>
      <c r="K29" s="8"/>
      <c r="L29" s="8"/>
      <c r="M29" s="8"/>
      <c r="N29" s="8"/>
      <c r="O29" s="8"/>
      <c r="P29" s="8"/>
      <c r="Q29" s="7" t="s">
        <v>229</v>
      </c>
      <c r="R29" s="7"/>
    </row>
    <row r="30" customFormat="false" ht="27" hidden="false" customHeight="true" outlineLevel="0" collapsed="false">
      <c r="A30" s="6" t="s">
        <v>39</v>
      </c>
      <c r="B30" s="7" t="s">
        <v>80</v>
      </c>
      <c r="C30" s="7" t="s">
        <v>312</v>
      </c>
      <c r="D30" s="7" t="s">
        <v>313</v>
      </c>
      <c r="E30" s="7" t="s">
        <v>314</v>
      </c>
      <c r="F30" s="7" t="s">
        <v>146</v>
      </c>
      <c r="G30" s="7" t="s">
        <v>315</v>
      </c>
      <c r="H30" s="7" t="s">
        <v>316</v>
      </c>
      <c r="I30" s="7" t="s">
        <v>126</v>
      </c>
      <c r="J30" s="7" t="s">
        <v>317</v>
      </c>
      <c r="K30" s="8"/>
      <c r="L30" s="8"/>
      <c r="M30" s="8"/>
      <c r="N30" s="8"/>
      <c r="O30" s="8"/>
      <c r="P30" s="8"/>
      <c r="Q30" s="7" t="s">
        <v>229</v>
      </c>
      <c r="R30" s="7"/>
    </row>
    <row r="31" customFormat="false" ht="27" hidden="false" customHeight="true" outlineLevel="0" collapsed="false">
      <c r="A31" s="6" t="s">
        <v>39</v>
      </c>
      <c r="B31" s="7" t="s">
        <v>80</v>
      </c>
      <c r="C31" s="7" t="s">
        <v>318</v>
      </c>
      <c r="D31" s="7" t="s">
        <v>319</v>
      </c>
      <c r="E31" s="7" t="s">
        <v>320</v>
      </c>
      <c r="F31" s="7" t="s">
        <v>321</v>
      </c>
      <c r="G31" s="7" t="s">
        <v>322</v>
      </c>
      <c r="H31" s="7" t="s">
        <v>323</v>
      </c>
      <c r="I31" s="7" t="s">
        <v>118</v>
      </c>
      <c r="J31" s="7" t="s">
        <v>317</v>
      </c>
      <c r="K31" s="8"/>
      <c r="L31" s="8"/>
      <c r="M31" s="8"/>
      <c r="N31" s="8"/>
      <c r="O31" s="8"/>
      <c r="P31" s="8"/>
      <c r="Q31" s="7" t="s">
        <v>229</v>
      </c>
      <c r="R31" s="7"/>
    </row>
    <row r="32" customFormat="false" ht="63" hidden="false" customHeight="true" outlineLevel="0" collapsed="false">
      <c r="A32" s="6" t="s">
        <v>39</v>
      </c>
      <c r="B32" s="7" t="s">
        <v>80</v>
      </c>
      <c r="C32" s="7" t="s">
        <v>324</v>
      </c>
      <c r="D32" s="7" t="s">
        <v>325</v>
      </c>
      <c r="E32" s="7" t="s">
        <v>326</v>
      </c>
      <c r="F32" s="7" t="s">
        <v>175</v>
      </c>
      <c r="G32" s="7" t="s">
        <v>327</v>
      </c>
      <c r="H32" s="7" t="s">
        <v>328</v>
      </c>
      <c r="I32" s="7" t="s">
        <v>118</v>
      </c>
      <c r="J32" s="7" t="s">
        <v>329</v>
      </c>
      <c r="K32" s="8"/>
      <c r="L32" s="8"/>
      <c r="M32" s="8"/>
      <c r="N32" s="8"/>
      <c r="O32" s="8"/>
      <c r="P32" s="8"/>
      <c r="Q32" s="7" t="s">
        <v>229</v>
      </c>
      <c r="R32" s="7" t="s">
        <v>330</v>
      </c>
    </row>
    <row r="33" customFormat="false" ht="39" hidden="false" customHeight="true" outlineLevel="0" collapsed="false">
      <c r="A33" s="6" t="s">
        <v>39</v>
      </c>
      <c r="B33" s="7" t="s">
        <v>80</v>
      </c>
      <c r="C33" s="7" t="s">
        <v>331</v>
      </c>
      <c r="D33" s="7" t="s">
        <v>332</v>
      </c>
      <c r="E33" s="7" t="s">
        <v>333</v>
      </c>
      <c r="F33" s="7" t="s">
        <v>146</v>
      </c>
      <c r="G33" s="7" t="s">
        <v>334</v>
      </c>
      <c r="H33" s="7" t="s">
        <v>335</v>
      </c>
      <c r="I33" s="7" t="s">
        <v>118</v>
      </c>
      <c r="J33" s="7" t="s">
        <v>336</v>
      </c>
      <c r="K33" s="8"/>
      <c r="L33" s="8"/>
      <c r="M33" s="8"/>
      <c r="N33" s="8"/>
      <c r="O33" s="8"/>
      <c r="P33" s="8"/>
      <c r="Q33" s="7" t="s">
        <v>229</v>
      </c>
      <c r="R33" s="7" t="s">
        <v>337</v>
      </c>
    </row>
    <row r="34" customFormat="false" ht="27" hidden="false" customHeight="true" outlineLevel="0" collapsed="false">
      <c r="A34" s="6" t="s">
        <v>39</v>
      </c>
      <c r="B34" s="7" t="s">
        <v>80</v>
      </c>
      <c r="C34" s="7" t="s">
        <v>338</v>
      </c>
      <c r="D34" s="7" t="s">
        <v>339</v>
      </c>
      <c r="E34" s="7" t="s">
        <v>340</v>
      </c>
      <c r="F34" s="7" t="s">
        <v>146</v>
      </c>
      <c r="G34" s="7" t="s">
        <v>341</v>
      </c>
      <c r="H34" s="7" t="s">
        <v>342</v>
      </c>
      <c r="I34" s="7" t="s">
        <v>126</v>
      </c>
      <c r="J34" s="7" t="s">
        <v>343</v>
      </c>
      <c r="K34" s="8"/>
      <c r="L34" s="8"/>
      <c r="M34" s="8"/>
      <c r="N34" s="8"/>
      <c r="O34" s="8"/>
      <c r="P34" s="8"/>
      <c r="Q34" s="7" t="s">
        <v>229</v>
      </c>
      <c r="R34" s="7"/>
    </row>
    <row r="35" customFormat="false" ht="51" hidden="false" customHeight="true" outlineLevel="0" collapsed="false">
      <c r="A35" s="6" t="s">
        <v>39</v>
      </c>
      <c r="B35" s="7" t="s">
        <v>84</v>
      </c>
      <c r="C35" s="7" t="s">
        <v>344</v>
      </c>
      <c r="D35" s="7" t="s">
        <v>345</v>
      </c>
      <c r="E35" s="7" t="s">
        <v>346</v>
      </c>
      <c r="F35" s="7" t="s">
        <v>347</v>
      </c>
      <c r="G35" s="7" t="s">
        <v>348</v>
      </c>
      <c r="H35" s="7" t="s">
        <v>349</v>
      </c>
      <c r="I35" s="7" t="s">
        <v>118</v>
      </c>
      <c r="J35" s="7" t="s">
        <v>255</v>
      </c>
      <c r="K35" s="8"/>
      <c r="L35" s="8"/>
      <c r="M35" s="8"/>
      <c r="N35" s="8"/>
      <c r="O35" s="8"/>
      <c r="P35" s="8"/>
      <c r="Q35" s="7" t="s">
        <v>193</v>
      </c>
      <c r="R35" s="7"/>
    </row>
    <row r="36" customFormat="false" ht="27" hidden="false" customHeight="true" outlineLevel="0" collapsed="false">
      <c r="A36" s="6" t="s">
        <v>39</v>
      </c>
      <c r="B36" s="7" t="s">
        <v>84</v>
      </c>
      <c r="C36" s="7" t="s">
        <v>350</v>
      </c>
      <c r="D36" s="7" t="s">
        <v>351</v>
      </c>
      <c r="E36" s="7" t="s">
        <v>352</v>
      </c>
      <c r="F36" s="7" t="s">
        <v>347</v>
      </c>
      <c r="G36" s="7" t="s">
        <v>353</v>
      </c>
      <c r="H36" s="7" t="s">
        <v>354</v>
      </c>
      <c r="I36" s="7" t="s">
        <v>118</v>
      </c>
      <c r="J36" s="7" t="s">
        <v>263</v>
      </c>
      <c r="K36" s="8"/>
      <c r="L36" s="8"/>
      <c r="M36" s="8"/>
      <c r="N36" s="8"/>
      <c r="O36" s="8"/>
      <c r="P36" s="8"/>
      <c r="Q36" s="7" t="s">
        <v>193</v>
      </c>
      <c r="R36" s="7"/>
    </row>
    <row r="37" customFormat="false" ht="51" hidden="false" customHeight="true" outlineLevel="0" collapsed="false">
      <c r="A37" s="6" t="s">
        <v>39</v>
      </c>
      <c r="B37" s="7" t="s">
        <v>84</v>
      </c>
      <c r="C37" s="7" t="s">
        <v>355</v>
      </c>
      <c r="D37" s="7" t="s">
        <v>356</v>
      </c>
      <c r="E37" s="7" t="s">
        <v>357</v>
      </c>
      <c r="F37" s="7" t="s">
        <v>358</v>
      </c>
      <c r="G37" s="7" t="s">
        <v>359</v>
      </c>
      <c r="H37" s="7" t="s">
        <v>360</v>
      </c>
      <c r="I37" s="7" t="s">
        <v>118</v>
      </c>
      <c r="J37" s="7" t="s">
        <v>269</v>
      </c>
      <c r="K37" s="8"/>
      <c r="L37" s="8"/>
      <c r="M37" s="8"/>
      <c r="N37" s="8"/>
      <c r="O37" s="8"/>
      <c r="P37" s="8"/>
      <c r="Q37" s="7" t="s">
        <v>229</v>
      </c>
      <c r="R37" s="7"/>
    </row>
    <row r="38" customFormat="false" ht="39" hidden="false" customHeight="true" outlineLevel="0" collapsed="false">
      <c r="A38" s="6" t="s">
        <v>39</v>
      </c>
      <c r="B38" s="7" t="s">
        <v>84</v>
      </c>
      <c r="C38" s="7" t="s">
        <v>361</v>
      </c>
      <c r="D38" s="7" t="s">
        <v>362</v>
      </c>
      <c r="E38" s="7" t="s">
        <v>363</v>
      </c>
      <c r="F38" s="7" t="s">
        <v>347</v>
      </c>
      <c r="G38" s="7" t="s">
        <v>364</v>
      </c>
      <c r="H38" s="7" t="s">
        <v>154</v>
      </c>
      <c r="I38" s="7" t="s">
        <v>133</v>
      </c>
      <c r="J38" s="7" t="s">
        <v>365</v>
      </c>
      <c r="K38" s="8"/>
      <c r="L38" s="8"/>
      <c r="M38" s="8"/>
      <c r="N38" s="8"/>
      <c r="O38" s="8"/>
      <c r="P38" s="8"/>
      <c r="Q38" s="7" t="s">
        <v>193</v>
      </c>
      <c r="R38" s="7"/>
    </row>
    <row r="39" customFormat="false" ht="39" hidden="false" customHeight="true" outlineLevel="0" collapsed="false">
      <c r="A39" s="6" t="s">
        <v>39</v>
      </c>
      <c r="B39" s="7" t="s">
        <v>84</v>
      </c>
      <c r="C39" s="7" t="s">
        <v>366</v>
      </c>
      <c r="D39" s="7" t="s">
        <v>367</v>
      </c>
      <c r="E39" s="7" t="s">
        <v>368</v>
      </c>
      <c r="F39" s="7" t="s">
        <v>347</v>
      </c>
      <c r="G39" s="7" t="s">
        <v>369</v>
      </c>
      <c r="H39" s="7" t="s">
        <v>154</v>
      </c>
      <c r="I39" s="7" t="s">
        <v>118</v>
      </c>
      <c r="J39" s="7" t="s">
        <v>370</v>
      </c>
      <c r="K39" s="8"/>
      <c r="L39" s="8"/>
      <c r="M39" s="8"/>
      <c r="N39" s="8"/>
      <c r="O39" s="8"/>
      <c r="P39" s="8"/>
      <c r="Q39" s="7" t="s">
        <v>193</v>
      </c>
      <c r="R39" s="7"/>
    </row>
    <row r="40" customFormat="false" ht="75" hidden="false" customHeight="true" outlineLevel="0" collapsed="false">
      <c r="A40" s="6" t="s">
        <v>39</v>
      </c>
      <c r="B40" s="7" t="s">
        <v>84</v>
      </c>
      <c r="C40" s="7" t="s">
        <v>371</v>
      </c>
      <c r="D40" s="7" t="s">
        <v>372</v>
      </c>
      <c r="E40" s="7" t="s">
        <v>373</v>
      </c>
      <c r="F40" s="7" t="s">
        <v>374</v>
      </c>
      <c r="G40" s="7" t="s">
        <v>375</v>
      </c>
      <c r="H40" s="7" t="s">
        <v>154</v>
      </c>
      <c r="I40" s="7" t="s">
        <v>118</v>
      </c>
      <c r="J40" s="7" t="s">
        <v>370</v>
      </c>
      <c r="K40" s="8"/>
      <c r="L40" s="8"/>
      <c r="M40" s="8"/>
      <c r="N40" s="8"/>
      <c r="O40" s="8"/>
      <c r="P40" s="8"/>
      <c r="Q40" s="7" t="s">
        <v>193</v>
      </c>
      <c r="R40" s="7" t="s">
        <v>376</v>
      </c>
    </row>
    <row r="41" customFormat="false" ht="27" hidden="false" customHeight="true" outlineLevel="0" collapsed="false">
      <c r="A41" s="6" t="s">
        <v>39</v>
      </c>
      <c r="B41" s="7" t="s">
        <v>84</v>
      </c>
      <c r="C41" s="7" t="s">
        <v>377</v>
      </c>
      <c r="D41" s="7" t="s">
        <v>378</v>
      </c>
      <c r="E41" s="7" t="s">
        <v>379</v>
      </c>
      <c r="F41" s="7" t="s">
        <v>347</v>
      </c>
      <c r="G41" s="7" t="s">
        <v>380</v>
      </c>
      <c r="H41" s="7" t="s">
        <v>381</v>
      </c>
      <c r="I41" s="7" t="s">
        <v>126</v>
      </c>
      <c r="J41" s="7" t="s">
        <v>382</v>
      </c>
      <c r="K41" s="8"/>
      <c r="L41" s="8"/>
      <c r="M41" s="8"/>
      <c r="N41" s="8"/>
      <c r="O41" s="8"/>
      <c r="P41" s="8"/>
      <c r="Q41" s="7" t="s">
        <v>229</v>
      </c>
      <c r="R41" s="7"/>
    </row>
    <row r="42" customFormat="false" ht="39" hidden="false" customHeight="true" outlineLevel="0" collapsed="false">
      <c r="A42" s="6" t="s">
        <v>39</v>
      </c>
      <c r="B42" s="7" t="s">
        <v>84</v>
      </c>
      <c r="C42" s="7" t="s">
        <v>383</v>
      </c>
      <c r="D42" s="7" t="s">
        <v>384</v>
      </c>
      <c r="E42" s="7" t="s">
        <v>385</v>
      </c>
      <c r="F42" s="7" t="s">
        <v>347</v>
      </c>
      <c r="G42" s="7" t="s">
        <v>386</v>
      </c>
      <c r="H42" s="7" t="s">
        <v>387</v>
      </c>
      <c r="I42" s="7" t="s">
        <v>126</v>
      </c>
      <c r="J42" s="7" t="s">
        <v>382</v>
      </c>
      <c r="K42" s="8"/>
      <c r="L42" s="8"/>
      <c r="M42" s="8"/>
      <c r="N42" s="8"/>
      <c r="O42" s="8"/>
      <c r="P42" s="8"/>
      <c r="Q42" s="7" t="s">
        <v>193</v>
      </c>
      <c r="R42" s="7"/>
    </row>
    <row r="43" customFormat="false" ht="27" hidden="false" customHeight="true" outlineLevel="0" collapsed="false">
      <c r="A43" s="6" t="s">
        <v>39</v>
      </c>
      <c r="B43" s="7" t="s">
        <v>84</v>
      </c>
      <c r="C43" s="7" t="s">
        <v>388</v>
      </c>
      <c r="D43" s="7" t="s">
        <v>389</v>
      </c>
      <c r="E43" s="7" t="s">
        <v>390</v>
      </c>
      <c r="F43" s="7" t="s">
        <v>48</v>
      </c>
      <c r="G43" s="7" t="s">
        <v>183</v>
      </c>
      <c r="H43" s="7" t="s">
        <v>48</v>
      </c>
      <c r="I43" s="7" t="s">
        <v>126</v>
      </c>
      <c r="J43" s="7" t="s">
        <v>382</v>
      </c>
      <c r="K43" s="8"/>
      <c r="L43" s="8"/>
      <c r="M43" s="8"/>
      <c r="N43" s="8"/>
      <c r="O43" s="8"/>
      <c r="P43" s="8"/>
      <c r="Q43" s="7" t="s">
        <v>193</v>
      </c>
      <c r="R43" s="7"/>
    </row>
    <row r="44" customFormat="false" ht="27" hidden="false" customHeight="true" outlineLevel="0" collapsed="false">
      <c r="A44" s="6" t="s">
        <v>39</v>
      </c>
      <c r="B44" s="7" t="s">
        <v>88</v>
      </c>
      <c r="C44" s="7" t="s">
        <v>391</v>
      </c>
      <c r="D44" s="7" t="s">
        <v>392</v>
      </c>
      <c r="E44" s="7" t="s">
        <v>393</v>
      </c>
      <c r="F44" s="7" t="s">
        <v>394</v>
      </c>
      <c r="G44" s="7" t="s">
        <v>395</v>
      </c>
      <c r="H44" s="7" t="s">
        <v>396</v>
      </c>
      <c r="I44" s="7" t="s">
        <v>118</v>
      </c>
      <c r="J44" s="7" t="s">
        <v>370</v>
      </c>
      <c r="K44" s="8"/>
      <c r="L44" s="8"/>
      <c r="M44" s="8"/>
      <c r="N44" s="8"/>
      <c r="O44" s="8"/>
      <c r="P44" s="8"/>
      <c r="Q44" s="7" t="s">
        <v>229</v>
      </c>
      <c r="R44" s="7"/>
    </row>
    <row r="45" customFormat="false" ht="27" hidden="false" customHeight="true" outlineLevel="0" collapsed="false">
      <c r="A45" s="6" t="s">
        <v>39</v>
      </c>
      <c r="B45" s="7" t="s">
        <v>88</v>
      </c>
      <c r="C45" s="7" t="s">
        <v>397</v>
      </c>
      <c r="D45" s="7" t="s">
        <v>398</v>
      </c>
      <c r="E45" s="7" t="s">
        <v>399</v>
      </c>
      <c r="F45" s="7" t="s">
        <v>394</v>
      </c>
      <c r="G45" s="7" t="s">
        <v>400</v>
      </c>
      <c r="H45" s="7" t="s">
        <v>154</v>
      </c>
      <c r="I45" s="7" t="s">
        <v>118</v>
      </c>
      <c r="J45" s="7" t="s">
        <v>382</v>
      </c>
      <c r="K45" s="8"/>
      <c r="L45" s="8"/>
      <c r="M45" s="8"/>
      <c r="N45" s="8"/>
      <c r="O45" s="8"/>
      <c r="P45" s="8"/>
      <c r="Q45" s="7" t="s">
        <v>193</v>
      </c>
      <c r="R45" s="7"/>
    </row>
    <row r="46" customFormat="false" ht="27" hidden="false" customHeight="true" outlineLevel="0" collapsed="false">
      <c r="A46" s="6" t="s">
        <v>39</v>
      </c>
      <c r="B46" s="7" t="s">
        <v>88</v>
      </c>
      <c r="C46" s="7" t="s">
        <v>401</v>
      </c>
      <c r="D46" s="7" t="s">
        <v>402</v>
      </c>
      <c r="E46" s="7" t="s">
        <v>403</v>
      </c>
      <c r="F46" s="7" t="s">
        <v>394</v>
      </c>
      <c r="G46" s="7" t="s">
        <v>404</v>
      </c>
      <c r="H46" s="7" t="s">
        <v>405</v>
      </c>
      <c r="I46" s="7" t="s">
        <v>118</v>
      </c>
      <c r="J46" s="7" t="s">
        <v>406</v>
      </c>
      <c r="K46" s="8"/>
      <c r="L46" s="8"/>
      <c r="M46" s="8"/>
      <c r="N46" s="8"/>
      <c r="O46" s="8"/>
      <c r="P46" s="8"/>
      <c r="Q46" s="7" t="s">
        <v>193</v>
      </c>
      <c r="R46" s="7"/>
    </row>
    <row r="47" customFormat="false" ht="27" hidden="false" customHeight="true" outlineLevel="0" collapsed="false">
      <c r="A47" s="6" t="s">
        <v>39</v>
      </c>
      <c r="B47" s="7" t="s">
        <v>88</v>
      </c>
      <c r="C47" s="7" t="s">
        <v>407</v>
      </c>
      <c r="D47" s="7" t="s">
        <v>408</v>
      </c>
      <c r="E47" s="7" t="s">
        <v>409</v>
      </c>
      <c r="F47" s="7" t="s">
        <v>410</v>
      </c>
      <c r="G47" s="7" t="s">
        <v>411</v>
      </c>
      <c r="H47" s="7" t="s">
        <v>412</v>
      </c>
      <c r="I47" s="7" t="s">
        <v>118</v>
      </c>
      <c r="J47" s="7" t="s">
        <v>413</v>
      </c>
      <c r="K47" s="8"/>
      <c r="L47" s="8"/>
      <c r="M47" s="8"/>
      <c r="N47" s="8"/>
      <c r="O47" s="8"/>
      <c r="P47" s="8"/>
      <c r="Q47" s="7" t="s">
        <v>229</v>
      </c>
      <c r="R47" s="7"/>
    </row>
    <row r="48" customFormat="false" ht="27" hidden="false" customHeight="true" outlineLevel="0" collapsed="false">
      <c r="A48" s="6" t="s">
        <v>39</v>
      </c>
      <c r="B48" s="7" t="s">
        <v>88</v>
      </c>
      <c r="C48" s="7" t="s">
        <v>414</v>
      </c>
      <c r="D48" s="7" t="s">
        <v>415</v>
      </c>
      <c r="E48" s="7" t="s">
        <v>416</v>
      </c>
      <c r="F48" s="7" t="s">
        <v>48</v>
      </c>
      <c r="G48" s="7" t="s">
        <v>417</v>
      </c>
      <c r="H48" s="7" t="s">
        <v>48</v>
      </c>
      <c r="I48" s="7" t="s">
        <v>418</v>
      </c>
      <c r="J48" s="7" t="s">
        <v>419</v>
      </c>
      <c r="K48" s="8"/>
      <c r="L48" s="8"/>
      <c r="M48" s="8"/>
      <c r="N48" s="8"/>
      <c r="O48" s="8"/>
      <c r="P48" s="8"/>
      <c r="Q48" s="7" t="s">
        <v>193</v>
      </c>
      <c r="R48" s="7"/>
    </row>
    <row r="49" customFormat="false" ht="27" hidden="false" customHeight="true" outlineLevel="0" collapsed="false">
      <c r="A49" s="6" t="s">
        <v>39</v>
      </c>
      <c r="B49" s="7" t="s">
        <v>92</v>
      </c>
      <c r="C49" s="7" t="s">
        <v>420</v>
      </c>
      <c r="D49" s="7" t="s">
        <v>421</v>
      </c>
      <c r="E49" s="7" t="s">
        <v>422</v>
      </c>
      <c r="F49" s="7" t="s">
        <v>423</v>
      </c>
      <c r="G49" s="7" t="s">
        <v>48</v>
      </c>
      <c r="H49" s="7" t="s">
        <v>424</v>
      </c>
      <c r="I49" s="7" t="s">
        <v>118</v>
      </c>
      <c r="J49" s="7" t="s">
        <v>419</v>
      </c>
      <c r="K49" s="8"/>
      <c r="L49" s="8"/>
      <c r="M49" s="8"/>
      <c r="N49" s="8"/>
      <c r="O49" s="8"/>
      <c r="P49" s="8"/>
      <c r="Q49" s="7" t="s">
        <v>229</v>
      </c>
      <c r="R49" s="7"/>
    </row>
    <row r="50" customFormat="false" ht="27" hidden="false" customHeight="true" outlineLevel="0" collapsed="false">
      <c r="A50" s="6" t="s">
        <v>39</v>
      </c>
      <c r="B50" s="7" t="s">
        <v>92</v>
      </c>
      <c r="C50" s="7" t="s">
        <v>425</v>
      </c>
      <c r="D50" s="7" t="s">
        <v>426</v>
      </c>
      <c r="E50" s="7" t="s">
        <v>427</v>
      </c>
      <c r="F50" s="7" t="s">
        <v>48</v>
      </c>
      <c r="G50" s="7" t="s">
        <v>428</v>
      </c>
      <c r="H50" s="7" t="s">
        <v>429</v>
      </c>
      <c r="I50" s="7" t="s">
        <v>118</v>
      </c>
      <c r="J50" s="7" t="s">
        <v>430</v>
      </c>
      <c r="K50" s="8"/>
      <c r="L50" s="8"/>
      <c r="M50" s="8"/>
      <c r="N50" s="8"/>
      <c r="O50" s="8"/>
      <c r="P50" s="8"/>
      <c r="Q50" s="7" t="s">
        <v>229</v>
      </c>
      <c r="R50" s="7"/>
    </row>
    <row r="51" customFormat="false" ht="27" hidden="false" customHeight="true" outlineLevel="0" collapsed="false">
      <c r="A51" s="6" t="s">
        <v>39</v>
      </c>
      <c r="B51" s="7" t="s">
        <v>92</v>
      </c>
      <c r="C51" s="7" t="s">
        <v>431</v>
      </c>
      <c r="D51" s="7" t="s">
        <v>432</v>
      </c>
      <c r="E51" s="7" t="s">
        <v>433</v>
      </c>
      <c r="F51" s="7" t="s">
        <v>48</v>
      </c>
      <c r="G51" s="7" t="s">
        <v>434</v>
      </c>
      <c r="H51" s="7" t="s">
        <v>48</v>
      </c>
      <c r="I51" s="7" t="s">
        <v>48</v>
      </c>
      <c r="J51" s="7" t="s">
        <v>435</v>
      </c>
      <c r="K51" s="8"/>
      <c r="L51" s="8"/>
      <c r="M51" s="8"/>
      <c r="N51" s="8"/>
      <c r="O51" s="8"/>
      <c r="P51" s="8"/>
      <c r="Q51" s="7" t="s">
        <v>193</v>
      </c>
      <c r="R51" s="7"/>
    </row>
    <row r="52" customFormat="false" ht="27" hidden="false" customHeight="true" outlineLevel="0" collapsed="false">
      <c r="A52" s="6" t="s">
        <v>39</v>
      </c>
      <c r="B52" s="7" t="s">
        <v>92</v>
      </c>
      <c r="C52" s="7" t="s">
        <v>436</v>
      </c>
      <c r="D52" s="7" t="s">
        <v>437</v>
      </c>
      <c r="E52" s="7" t="s">
        <v>438</v>
      </c>
      <c r="F52" s="7" t="s">
        <v>48</v>
      </c>
      <c r="G52" s="7" t="s">
        <v>48</v>
      </c>
      <c r="H52" s="7" t="s">
        <v>48</v>
      </c>
      <c r="I52" s="7" t="s">
        <v>48</v>
      </c>
      <c r="J52" s="7" t="s">
        <v>439</v>
      </c>
      <c r="K52" s="8"/>
      <c r="L52" s="8"/>
      <c r="M52" s="8"/>
      <c r="N52" s="8"/>
      <c r="O52" s="8"/>
      <c r="P52" s="8"/>
      <c r="Q52" s="7" t="s">
        <v>193</v>
      </c>
      <c r="R52" s="7"/>
    </row>
    <row r="53" customFormat="false" ht="15" hidden="false" customHeight="true" outlineLevel="0" collapsed="false">
      <c r="A53" s="6" t="s">
        <v>45</v>
      </c>
      <c r="B53" s="7" t="s">
        <v>45</v>
      </c>
      <c r="C53" s="7" t="s">
        <v>440</v>
      </c>
      <c r="D53" s="7" t="s">
        <v>441</v>
      </c>
      <c r="E53" s="7" t="s">
        <v>442</v>
      </c>
      <c r="F53" s="7" t="s">
        <v>443</v>
      </c>
      <c r="G53" s="7" t="s">
        <v>444</v>
      </c>
      <c r="H53" s="7" t="s">
        <v>445</v>
      </c>
      <c r="I53" s="7" t="s">
        <v>118</v>
      </c>
      <c r="J53" s="7" t="s">
        <v>96</v>
      </c>
      <c r="K53" s="8"/>
      <c r="L53" s="8"/>
      <c r="M53" s="8"/>
      <c r="N53" s="8"/>
      <c r="O53" s="8"/>
      <c r="P53" s="8"/>
      <c r="Q53" s="7" t="s">
        <v>446</v>
      </c>
      <c r="R53" s="7"/>
    </row>
    <row r="54" customFormat="false" ht="63" hidden="false" customHeight="true" outlineLevel="0" collapsed="false">
      <c r="A54" s="6" t="s">
        <v>45</v>
      </c>
      <c r="B54" s="7" t="s">
        <v>45</v>
      </c>
      <c r="C54" s="7" t="s">
        <v>447</v>
      </c>
      <c r="D54" s="7" t="s">
        <v>448</v>
      </c>
      <c r="E54" s="7" t="s">
        <v>449</v>
      </c>
      <c r="F54" s="7" t="s">
        <v>443</v>
      </c>
      <c r="G54" s="7" t="s">
        <v>450</v>
      </c>
      <c r="H54" s="7" t="s">
        <v>451</v>
      </c>
      <c r="I54" s="7" t="s">
        <v>118</v>
      </c>
      <c r="J54" s="7" t="s">
        <v>96</v>
      </c>
      <c r="K54" s="8"/>
      <c r="L54" s="8"/>
      <c r="M54" s="8"/>
      <c r="N54" s="8"/>
      <c r="O54" s="8"/>
      <c r="P54" s="8"/>
      <c r="Q54" s="7" t="s">
        <v>446</v>
      </c>
      <c r="R54" s="7" t="s">
        <v>452</v>
      </c>
    </row>
    <row r="55" customFormat="false" ht="15" hidden="false" customHeight="true" outlineLevel="0" collapsed="false">
      <c r="A55" s="6" t="s">
        <v>45</v>
      </c>
      <c r="B55" s="7" t="s">
        <v>45</v>
      </c>
      <c r="C55" s="7" t="s">
        <v>453</v>
      </c>
      <c r="D55" s="7" t="s">
        <v>454</v>
      </c>
      <c r="E55" s="7" t="s">
        <v>455</v>
      </c>
      <c r="F55" s="7" t="s">
        <v>456</v>
      </c>
      <c r="G55" s="7" t="s">
        <v>457</v>
      </c>
      <c r="H55" s="7" t="s">
        <v>458</v>
      </c>
      <c r="I55" s="7" t="s">
        <v>118</v>
      </c>
      <c r="J55" s="7" t="s">
        <v>96</v>
      </c>
      <c r="K55" s="8"/>
      <c r="L55" s="8"/>
      <c r="M55" s="8"/>
      <c r="N55" s="8"/>
      <c r="O55" s="8"/>
      <c r="P55" s="8"/>
      <c r="Q55" s="7" t="s">
        <v>446</v>
      </c>
      <c r="R55" s="7"/>
    </row>
    <row r="56" customFormat="false" ht="27" hidden="false" customHeight="true" outlineLevel="0" collapsed="false">
      <c r="A56" s="6" t="s">
        <v>45</v>
      </c>
      <c r="B56" s="7" t="s">
        <v>45</v>
      </c>
      <c r="C56" s="7" t="s">
        <v>459</v>
      </c>
      <c r="D56" s="7" t="s">
        <v>460</v>
      </c>
      <c r="E56" s="7" t="s">
        <v>461</v>
      </c>
      <c r="F56" s="7" t="s">
        <v>462</v>
      </c>
      <c r="G56" s="7" t="s">
        <v>463</v>
      </c>
      <c r="H56" s="7" t="s">
        <v>464</v>
      </c>
      <c r="I56" s="7" t="s">
        <v>118</v>
      </c>
      <c r="J56" s="7" t="s">
        <v>96</v>
      </c>
      <c r="K56" s="8"/>
      <c r="L56" s="8"/>
      <c r="M56" s="8"/>
      <c r="N56" s="8"/>
      <c r="O56" s="8"/>
      <c r="P56" s="8"/>
      <c r="Q56" s="7" t="s">
        <v>446</v>
      </c>
      <c r="R56" s="7"/>
    </row>
    <row r="57" customFormat="false" ht="27" hidden="false" customHeight="true" outlineLevel="0" collapsed="false">
      <c r="A57" s="6" t="s">
        <v>45</v>
      </c>
      <c r="B57" s="7" t="s">
        <v>45</v>
      </c>
      <c r="C57" s="7" t="s">
        <v>465</v>
      </c>
      <c r="D57" s="7" t="s">
        <v>466</v>
      </c>
      <c r="E57" s="7" t="s">
        <v>467</v>
      </c>
      <c r="F57" s="7" t="s">
        <v>146</v>
      </c>
      <c r="G57" s="7" t="s">
        <v>468</v>
      </c>
      <c r="H57" s="7" t="s">
        <v>48</v>
      </c>
      <c r="I57" s="7" t="s">
        <v>118</v>
      </c>
      <c r="J57" s="7" t="s">
        <v>96</v>
      </c>
      <c r="K57" s="8"/>
      <c r="L57" s="8"/>
      <c r="M57" s="8"/>
      <c r="N57" s="8"/>
      <c r="O57" s="8"/>
      <c r="P57" s="8"/>
      <c r="Q57" s="7" t="s">
        <v>446</v>
      </c>
      <c r="R57" s="7"/>
    </row>
    <row r="58" customFormat="false" ht="15" hidden="false" customHeight="true" outlineLevel="0" collapsed="false">
      <c r="A58" s="6" t="s">
        <v>45</v>
      </c>
      <c r="B58" s="7" t="s">
        <v>45</v>
      </c>
      <c r="C58" s="7" t="s">
        <v>469</v>
      </c>
      <c r="D58" s="7" t="s">
        <v>470</v>
      </c>
      <c r="E58" s="7" t="s">
        <v>471</v>
      </c>
      <c r="F58" s="7" t="s">
        <v>347</v>
      </c>
      <c r="G58" s="7" t="s">
        <v>472</v>
      </c>
      <c r="H58" s="7" t="s">
        <v>48</v>
      </c>
      <c r="I58" s="7" t="s">
        <v>133</v>
      </c>
      <c r="J58" s="7" t="s">
        <v>96</v>
      </c>
      <c r="K58" s="8"/>
      <c r="L58" s="8"/>
      <c r="M58" s="8"/>
      <c r="N58" s="8"/>
      <c r="O58" s="8"/>
      <c r="P58" s="8"/>
      <c r="Q58" s="7" t="s">
        <v>446</v>
      </c>
      <c r="R58" s="7"/>
    </row>
    <row r="59" customFormat="false" ht="27" hidden="false" customHeight="true" outlineLevel="0" collapsed="false">
      <c r="A59" s="6" t="s">
        <v>45</v>
      </c>
      <c r="B59" s="7" t="s">
        <v>45</v>
      </c>
      <c r="C59" s="7" t="s">
        <v>473</v>
      </c>
      <c r="D59" s="7" t="s">
        <v>474</v>
      </c>
      <c r="E59" s="7" t="s">
        <v>475</v>
      </c>
      <c r="F59" s="7" t="s">
        <v>226</v>
      </c>
      <c r="G59" s="7" t="s">
        <v>476</v>
      </c>
      <c r="H59" s="7" t="s">
        <v>477</v>
      </c>
      <c r="I59" s="7" t="s">
        <v>133</v>
      </c>
      <c r="J59" s="7" t="s">
        <v>96</v>
      </c>
      <c r="K59" s="8"/>
      <c r="L59" s="8"/>
      <c r="M59" s="8"/>
      <c r="N59" s="8"/>
      <c r="O59" s="8"/>
      <c r="P59" s="8"/>
      <c r="Q59" s="7" t="s">
        <v>446</v>
      </c>
      <c r="R59" s="7"/>
    </row>
    <row r="60" customFormat="false" ht="27" hidden="false" customHeight="true" outlineLevel="0" collapsed="false">
      <c r="A60" s="6" t="s">
        <v>45</v>
      </c>
      <c r="B60" s="7" t="s">
        <v>45</v>
      </c>
      <c r="C60" s="7" t="s">
        <v>478</v>
      </c>
      <c r="D60" s="7" t="s">
        <v>479</v>
      </c>
      <c r="E60" s="7" t="s">
        <v>480</v>
      </c>
      <c r="F60" s="7" t="s">
        <v>443</v>
      </c>
      <c r="G60" s="7" t="s">
        <v>481</v>
      </c>
      <c r="H60" s="7" t="s">
        <v>48</v>
      </c>
      <c r="I60" s="7" t="s">
        <v>126</v>
      </c>
      <c r="J60" s="7" t="s">
        <v>96</v>
      </c>
      <c r="K60" s="8"/>
      <c r="L60" s="8"/>
      <c r="M60" s="8"/>
      <c r="N60" s="8"/>
      <c r="O60" s="8"/>
      <c r="P60" s="8"/>
      <c r="Q60" s="7" t="s">
        <v>446</v>
      </c>
      <c r="R60" s="7"/>
    </row>
    <row r="61" customFormat="false" ht="27" hidden="false" customHeight="true" outlineLevel="0" collapsed="false">
      <c r="A61" s="6" t="s">
        <v>51</v>
      </c>
      <c r="B61" s="7" t="s">
        <v>51</v>
      </c>
      <c r="C61" s="7" t="s">
        <v>482</v>
      </c>
      <c r="D61" s="7" t="s">
        <v>483</v>
      </c>
      <c r="E61" s="7" t="s">
        <v>484</v>
      </c>
      <c r="F61" s="7" t="s">
        <v>485</v>
      </c>
      <c r="G61" s="7" t="s">
        <v>486</v>
      </c>
      <c r="H61" s="7" t="s">
        <v>48</v>
      </c>
      <c r="I61" s="7" t="s">
        <v>126</v>
      </c>
      <c r="J61" s="7" t="s">
        <v>99</v>
      </c>
      <c r="K61" s="8"/>
      <c r="L61" s="8"/>
      <c r="M61" s="8"/>
      <c r="N61" s="8"/>
      <c r="O61" s="8"/>
      <c r="P61" s="8"/>
      <c r="Q61" s="7" t="s">
        <v>446</v>
      </c>
      <c r="R61" s="7"/>
    </row>
    <row r="62" customFormat="false" ht="39" hidden="false" customHeight="true" outlineLevel="0" collapsed="false">
      <c r="A62" s="6" t="s">
        <v>51</v>
      </c>
      <c r="B62" s="7" t="s">
        <v>51</v>
      </c>
      <c r="C62" s="7" t="s">
        <v>487</v>
      </c>
      <c r="D62" s="7" t="s">
        <v>488</v>
      </c>
      <c r="E62" s="7" t="s">
        <v>489</v>
      </c>
      <c r="F62" s="7" t="s">
        <v>485</v>
      </c>
      <c r="G62" s="7" t="s">
        <v>490</v>
      </c>
      <c r="H62" s="7" t="s">
        <v>491</v>
      </c>
      <c r="I62" s="7" t="s">
        <v>133</v>
      </c>
      <c r="J62" s="7" t="s">
        <v>99</v>
      </c>
      <c r="K62" s="8"/>
      <c r="L62" s="8"/>
      <c r="M62" s="8"/>
      <c r="N62" s="8"/>
      <c r="O62" s="8"/>
      <c r="P62" s="8"/>
      <c r="Q62" s="7" t="s">
        <v>446</v>
      </c>
      <c r="R62" s="7"/>
    </row>
    <row r="63" customFormat="false" ht="39" hidden="false" customHeight="true" outlineLevel="0" collapsed="false">
      <c r="A63" s="6" t="s">
        <v>51</v>
      </c>
      <c r="B63" s="7" t="s">
        <v>51</v>
      </c>
      <c r="C63" s="7" t="s">
        <v>492</v>
      </c>
      <c r="D63" s="7" t="s">
        <v>493</v>
      </c>
      <c r="E63" s="7" t="s">
        <v>494</v>
      </c>
      <c r="F63" s="7" t="s">
        <v>495</v>
      </c>
      <c r="G63" s="7" t="s">
        <v>496</v>
      </c>
      <c r="H63" s="7" t="s">
        <v>477</v>
      </c>
      <c r="I63" s="7" t="s">
        <v>133</v>
      </c>
      <c r="J63" s="7" t="s">
        <v>99</v>
      </c>
      <c r="K63" s="8"/>
      <c r="L63" s="8"/>
      <c r="M63" s="8"/>
      <c r="N63" s="8"/>
      <c r="O63" s="8"/>
      <c r="P63" s="8"/>
      <c r="Q63" s="7" t="s">
        <v>446</v>
      </c>
      <c r="R63" s="7"/>
    </row>
    <row r="64" customFormat="false" ht="15" hidden="false" customHeight="true" outlineLevel="0" collapsed="false">
      <c r="A64" s="6" t="s">
        <v>56</v>
      </c>
      <c r="B64" s="7" t="s">
        <v>56</v>
      </c>
      <c r="C64" s="7" t="s">
        <v>497</v>
      </c>
      <c r="D64" s="7" t="s">
        <v>498</v>
      </c>
      <c r="E64" s="7" t="s">
        <v>499</v>
      </c>
      <c r="F64" s="7" t="s">
        <v>456</v>
      </c>
      <c r="G64" s="7" t="s">
        <v>500</v>
      </c>
      <c r="H64" s="7" t="s">
        <v>48</v>
      </c>
      <c r="I64" s="7" t="s">
        <v>133</v>
      </c>
      <c r="J64" s="7" t="s">
        <v>101</v>
      </c>
      <c r="K64" s="8"/>
      <c r="L64" s="8"/>
      <c r="M64" s="8"/>
      <c r="N64" s="8"/>
      <c r="O64" s="8"/>
      <c r="P64" s="8"/>
      <c r="Q64" s="7" t="s">
        <v>446</v>
      </c>
      <c r="R64" s="7"/>
    </row>
    <row r="65" customFormat="false" ht="27" hidden="false" customHeight="true" outlineLevel="0" collapsed="false">
      <c r="A65" s="6" t="s">
        <v>56</v>
      </c>
      <c r="B65" s="7" t="s">
        <v>56</v>
      </c>
      <c r="C65" s="7" t="s">
        <v>501</v>
      </c>
      <c r="D65" s="7" t="s">
        <v>502</v>
      </c>
      <c r="E65" s="7" t="s">
        <v>503</v>
      </c>
      <c r="F65" s="7" t="s">
        <v>504</v>
      </c>
      <c r="G65" s="7" t="s">
        <v>505</v>
      </c>
      <c r="H65" s="7" t="s">
        <v>48</v>
      </c>
      <c r="I65" s="7" t="s">
        <v>133</v>
      </c>
      <c r="J65" s="7" t="s">
        <v>101</v>
      </c>
      <c r="K65" s="8"/>
      <c r="L65" s="8"/>
      <c r="M65" s="8"/>
      <c r="N65" s="8"/>
      <c r="O65" s="8"/>
      <c r="P65" s="8"/>
      <c r="Q65" s="7" t="s">
        <v>446</v>
      </c>
      <c r="R65" s="7"/>
    </row>
    <row r="66" customFormat="false" ht="15" hidden="false" customHeight="true" outlineLevel="0" collapsed="false">
      <c r="A66" s="6" t="s">
        <v>56</v>
      </c>
      <c r="B66" s="7" t="s">
        <v>56</v>
      </c>
      <c r="C66" s="7" t="s">
        <v>506</v>
      </c>
      <c r="D66" s="7" t="s">
        <v>507</v>
      </c>
      <c r="E66" s="7" t="s">
        <v>508</v>
      </c>
      <c r="F66" s="7" t="s">
        <v>443</v>
      </c>
      <c r="G66" s="7" t="s">
        <v>509</v>
      </c>
      <c r="H66" s="7" t="s">
        <v>48</v>
      </c>
      <c r="I66" s="7" t="s">
        <v>118</v>
      </c>
      <c r="J66" s="7" t="s">
        <v>101</v>
      </c>
      <c r="K66" s="8"/>
      <c r="L66" s="8"/>
      <c r="M66" s="8"/>
      <c r="N66" s="8"/>
      <c r="O66" s="8"/>
      <c r="P66" s="8"/>
      <c r="Q66" s="7" t="s">
        <v>446</v>
      </c>
      <c r="R66" s="7"/>
    </row>
    <row r="67" customFormat="false" ht="27" hidden="false" customHeight="true" outlineLevel="0" collapsed="false">
      <c r="A67" s="6" t="s">
        <v>56</v>
      </c>
      <c r="B67" s="7" t="s">
        <v>56</v>
      </c>
      <c r="C67" s="7" t="s">
        <v>510</v>
      </c>
      <c r="D67" s="7" t="s">
        <v>511</v>
      </c>
      <c r="E67" s="7" t="s">
        <v>512</v>
      </c>
      <c r="F67" s="7" t="s">
        <v>513</v>
      </c>
      <c r="G67" s="7" t="s">
        <v>514</v>
      </c>
      <c r="H67" s="7" t="s">
        <v>515</v>
      </c>
      <c r="I67" s="7" t="s">
        <v>133</v>
      </c>
      <c r="J67" s="7" t="s">
        <v>101</v>
      </c>
      <c r="K67" s="8"/>
      <c r="L67" s="8"/>
      <c r="M67" s="8"/>
      <c r="N67" s="8"/>
      <c r="O67" s="8"/>
      <c r="P67" s="8"/>
      <c r="Q67" s="7" t="s">
        <v>446</v>
      </c>
      <c r="R67" s="7"/>
    </row>
    <row r="68" customFormat="false" ht="27" hidden="false" customHeight="true" outlineLevel="0" collapsed="false">
      <c r="A68" s="6" t="s">
        <v>56</v>
      </c>
      <c r="B68" s="7" t="s">
        <v>56</v>
      </c>
      <c r="C68" s="7" t="s">
        <v>516</v>
      </c>
      <c r="D68" s="7" t="s">
        <v>517</v>
      </c>
      <c r="E68" s="7" t="s">
        <v>518</v>
      </c>
      <c r="F68" s="7" t="s">
        <v>519</v>
      </c>
      <c r="G68" s="7" t="s">
        <v>520</v>
      </c>
      <c r="H68" s="7" t="s">
        <v>521</v>
      </c>
      <c r="I68" s="7" t="s">
        <v>133</v>
      </c>
      <c r="J68" s="7" t="s">
        <v>101</v>
      </c>
      <c r="K68" s="8"/>
      <c r="L68" s="8"/>
      <c r="M68" s="8"/>
      <c r="N68" s="8"/>
      <c r="O68" s="8"/>
      <c r="P68" s="8"/>
      <c r="Q68" s="7" t="s">
        <v>446</v>
      </c>
      <c r="R68" s="7"/>
    </row>
    <row r="69" customFormat="false" ht="27" hidden="false" customHeight="true" outlineLevel="0" collapsed="false">
      <c r="A69" s="6" t="s">
        <v>61</v>
      </c>
      <c r="B69" s="7" t="s">
        <v>61</v>
      </c>
      <c r="C69" s="7" t="s">
        <v>522</v>
      </c>
      <c r="D69" s="7" t="s">
        <v>523</v>
      </c>
      <c r="E69" s="7" t="s">
        <v>524</v>
      </c>
      <c r="F69" s="7" t="s">
        <v>525</v>
      </c>
      <c r="G69" s="7" t="s">
        <v>526</v>
      </c>
      <c r="H69" s="7" t="s">
        <v>48</v>
      </c>
      <c r="I69" s="7" t="s">
        <v>133</v>
      </c>
      <c r="J69" s="7" t="s">
        <v>63</v>
      </c>
      <c r="K69" s="8"/>
      <c r="L69" s="8"/>
      <c r="M69" s="8"/>
      <c r="N69" s="8"/>
      <c r="O69" s="8"/>
      <c r="P69" s="8"/>
      <c r="Q69" s="7" t="s">
        <v>446</v>
      </c>
      <c r="R69" s="7"/>
    </row>
    <row r="70" customFormat="false" ht="27" hidden="false" customHeight="true" outlineLevel="0" collapsed="false">
      <c r="A70" s="6" t="s">
        <v>61</v>
      </c>
      <c r="B70" s="7" t="s">
        <v>61</v>
      </c>
      <c r="C70" s="7" t="s">
        <v>527</v>
      </c>
      <c r="D70" s="7" t="s">
        <v>528</v>
      </c>
      <c r="E70" s="7" t="s">
        <v>529</v>
      </c>
      <c r="F70" s="7" t="s">
        <v>530</v>
      </c>
      <c r="G70" s="7" t="s">
        <v>531</v>
      </c>
      <c r="H70" s="7" t="s">
        <v>48</v>
      </c>
      <c r="I70" s="7" t="s">
        <v>133</v>
      </c>
      <c r="J70" s="7" t="s">
        <v>63</v>
      </c>
      <c r="K70" s="8"/>
      <c r="L70" s="8"/>
      <c r="M70" s="8"/>
      <c r="N70" s="8"/>
      <c r="O70" s="8"/>
      <c r="P70" s="8"/>
      <c r="Q70" s="7" t="s">
        <v>446</v>
      </c>
      <c r="R70" s="7"/>
    </row>
    <row r="72" customFormat="false" ht="15" hidden="false" customHeight="false" outlineLevel="0" collapsed="false">
      <c r="A72" s="13" t="s">
        <v>532</v>
      </c>
    </row>
  </sheetData>
  <autoFilter ref="A1:R70"/>
  <conditionalFormatting sqref="K2:K70">
    <cfRule type="cellIs" priority="2" operator="equal" aboveAverage="0" equalAverage="0" bottom="0" percent="0" rank="0" text="" dxfId="0">
      <formula>"Sí"</formula>
    </cfRule>
    <cfRule type="cellIs" priority="3" operator="equal" aboveAverage="0" equalAverage="0" bottom="0" percent="0" rank="0" text="" dxfId="1">
      <formula>"No"</formula>
    </cfRule>
    <cfRule type="cellIs" priority="4" operator="equal" aboveAverage="0" equalAverage="0" bottom="0" percent="0" rank="0" text="" dxfId="2">
      <formula>"Con cambios"</formula>
    </cfRule>
    <cfRule type="cellIs" priority="5" operator="equal" aboveAverage="0" equalAverage="0" bottom="0" percent="0" rank="0" text="" dxfId="2">
      <formula>"Duda"</formula>
    </cfRule>
  </conditionalFormatting>
  <dataValidations count="2">
    <dataValidation allowBlank="true" errorStyle="stop" operator="between" showDropDown="false" showErrorMessage="false" showInputMessage="false" sqref="K2:K70" type="list">
      <formula1>"Sí,No,Con cambios,Duda"</formula1>
      <formula2>0</formula2>
    </dataValidation>
    <dataValidation allowBlank="true" errorStyle="stop" operator="between" showDropDown="false" showErrorMessage="false" showInputMessage="false" sqref="M2:M70" type="list">
      <formula1>"Sube,Se mantiene,Baja,Fuera"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44"/>
    <col collapsed="false" customWidth="true" hidden="false" outlineLevel="0" max="3" min="3" style="1" width="22"/>
    <col collapsed="false" customWidth="true" hidden="false" outlineLevel="0" max="4" min="4" style="1" width="20"/>
    <col collapsed="false" customWidth="true" hidden="false" outlineLevel="0" max="5" min="5" style="1" width="12"/>
    <col collapsed="false" customWidth="true" hidden="false" outlineLevel="0" max="6" min="6" style="1" width="44"/>
    <col collapsed="false" customWidth="true" hidden="false" outlineLevel="0" max="7" min="7" style="1" width="16"/>
    <col collapsed="false" customWidth="true" hidden="false" outlineLevel="0" max="8" min="8" style="1" width="14"/>
    <col collapsed="false" customWidth="true" hidden="false" outlineLevel="0" max="9" min="9" style="1" width="30"/>
  </cols>
  <sheetData>
    <row r="1" customFormat="false" ht="31.5" hidden="false" customHeight="true" outlineLevel="0" collapsed="false">
      <c r="A1" s="5" t="s">
        <v>533</v>
      </c>
      <c r="B1" s="5" t="s">
        <v>534</v>
      </c>
      <c r="C1" s="5" t="s">
        <v>535</v>
      </c>
      <c r="D1" s="5" t="s">
        <v>536</v>
      </c>
      <c r="E1" s="5" t="s">
        <v>537</v>
      </c>
      <c r="F1" s="5" t="s">
        <v>538</v>
      </c>
      <c r="G1" s="5" t="s">
        <v>539</v>
      </c>
      <c r="H1" s="5" t="s">
        <v>540</v>
      </c>
      <c r="I1" s="5" t="s">
        <v>541</v>
      </c>
    </row>
    <row r="2" customFormat="false" ht="75" hidden="false" customHeight="true" outlineLevel="0" collapsed="false">
      <c r="A2" s="7" t="s">
        <v>542</v>
      </c>
      <c r="B2" s="7" t="s">
        <v>543</v>
      </c>
      <c r="C2" s="7" t="s">
        <v>230</v>
      </c>
      <c r="D2" s="7" t="s">
        <v>544</v>
      </c>
      <c r="E2" s="8" t="s">
        <v>545</v>
      </c>
      <c r="F2" s="8" t="s">
        <v>546</v>
      </c>
      <c r="G2" s="8" t="s">
        <v>547</v>
      </c>
      <c r="H2" s="8" t="s">
        <v>548</v>
      </c>
      <c r="I2" s="8" t="s">
        <v>549</v>
      </c>
    </row>
    <row r="3" customFormat="false" ht="27" hidden="false" customHeight="true" outlineLevel="0" collapsed="false">
      <c r="A3" s="7" t="s">
        <v>550</v>
      </c>
      <c r="B3" s="7" t="s">
        <v>551</v>
      </c>
      <c r="C3" s="7" t="s">
        <v>223</v>
      </c>
      <c r="D3" s="7" t="s">
        <v>544</v>
      </c>
      <c r="E3" s="8" t="s">
        <v>552</v>
      </c>
      <c r="F3" s="8"/>
      <c r="G3" s="8"/>
      <c r="H3" s="8"/>
      <c r="I3" s="8"/>
    </row>
    <row r="4" customFormat="false" ht="15" hidden="false" customHeight="true" outlineLevel="0" collapsed="false">
      <c r="A4" s="7" t="s">
        <v>553</v>
      </c>
      <c r="B4" s="7" t="s">
        <v>554</v>
      </c>
      <c r="C4" s="7" t="s">
        <v>355</v>
      </c>
      <c r="D4" s="7" t="s">
        <v>555</v>
      </c>
      <c r="E4" s="8" t="s">
        <v>552</v>
      </c>
      <c r="F4" s="8"/>
      <c r="G4" s="8"/>
      <c r="H4" s="8"/>
      <c r="I4" s="8"/>
    </row>
    <row r="5" customFormat="false" ht="27" hidden="false" customHeight="true" outlineLevel="0" collapsed="false">
      <c r="A5" s="7" t="s">
        <v>556</v>
      </c>
      <c r="B5" s="7" t="s">
        <v>557</v>
      </c>
      <c r="C5" s="7" t="s">
        <v>249</v>
      </c>
      <c r="D5" s="7" t="s">
        <v>544</v>
      </c>
      <c r="E5" s="8" t="s">
        <v>552</v>
      </c>
      <c r="F5" s="8"/>
      <c r="G5" s="8"/>
      <c r="H5" s="8"/>
      <c r="I5" s="8"/>
    </row>
    <row r="6" customFormat="false" ht="15" hidden="false" customHeight="true" outlineLevel="0" collapsed="false">
      <c r="A6" s="7" t="s">
        <v>262</v>
      </c>
      <c r="B6" s="7" t="s">
        <v>558</v>
      </c>
      <c r="C6" s="7" t="s">
        <v>257</v>
      </c>
      <c r="D6" s="7" t="s">
        <v>544</v>
      </c>
      <c r="E6" s="8" t="s">
        <v>552</v>
      </c>
      <c r="F6" s="8"/>
      <c r="G6" s="8"/>
      <c r="H6" s="8"/>
      <c r="I6" s="8"/>
    </row>
    <row r="7" customFormat="false" ht="15" hidden="false" customHeight="true" outlineLevel="0" collapsed="false">
      <c r="A7" s="7" t="s">
        <v>396</v>
      </c>
      <c r="B7" s="7" t="s">
        <v>559</v>
      </c>
      <c r="C7" s="7" t="s">
        <v>391</v>
      </c>
      <c r="D7" s="7" t="s">
        <v>544</v>
      </c>
      <c r="E7" s="8" t="s">
        <v>552</v>
      </c>
      <c r="F7" s="8"/>
      <c r="G7" s="8"/>
      <c r="H7" s="8"/>
      <c r="I7" s="8"/>
    </row>
    <row r="8" customFormat="false" ht="15" hidden="false" customHeight="true" outlineLevel="0" collapsed="false">
      <c r="A8" s="7" t="s">
        <v>297</v>
      </c>
      <c r="B8" s="7" t="s">
        <v>560</v>
      </c>
      <c r="C8" s="7" t="s">
        <v>561</v>
      </c>
      <c r="D8" s="7" t="s">
        <v>562</v>
      </c>
      <c r="E8" s="8" t="s">
        <v>552</v>
      </c>
      <c r="F8" s="8"/>
      <c r="G8" s="8"/>
      <c r="H8" s="8"/>
      <c r="I8" s="8"/>
    </row>
    <row r="9" customFormat="false" ht="15" hidden="false" customHeight="true" outlineLevel="0" collapsed="false">
      <c r="A9" s="7" t="s">
        <v>304</v>
      </c>
      <c r="B9" s="7" t="s">
        <v>563</v>
      </c>
      <c r="C9" s="7" t="s">
        <v>300</v>
      </c>
      <c r="D9" s="7" t="s">
        <v>564</v>
      </c>
      <c r="E9" s="8" t="s">
        <v>552</v>
      </c>
      <c r="F9" s="8"/>
      <c r="G9" s="8"/>
      <c r="H9" s="8"/>
      <c r="I9" s="8"/>
    </row>
    <row r="10" customFormat="false" ht="15" hidden="false" customHeight="true" outlineLevel="0" collapsed="false">
      <c r="A10" s="7" t="s">
        <v>310</v>
      </c>
      <c r="B10" s="7" t="s">
        <v>565</v>
      </c>
      <c r="C10" s="7" t="s">
        <v>306</v>
      </c>
      <c r="D10" s="7" t="s">
        <v>564</v>
      </c>
      <c r="E10" s="8" t="s">
        <v>552</v>
      </c>
      <c r="F10" s="8"/>
      <c r="G10" s="8"/>
      <c r="H10" s="8"/>
      <c r="I10" s="8"/>
    </row>
    <row r="11" customFormat="false" ht="15" hidden="false" customHeight="true" outlineLevel="0" collapsed="false">
      <c r="A11" s="7" t="s">
        <v>316</v>
      </c>
      <c r="B11" s="7" t="s">
        <v>566</v>
      </c>
      <c r="C11" s="7" t="s">
        <v>312</v>
      </c>
      <c r="D11" s="7" t="s">
        <v>564</v>
      </c>
      <c r="E11" s="8" t="s">
        <v>552</v>
      </c>
      <c r="F11" s="8"/>
      <c r="G11" s="8"/>
      <c r="H11" s="8"/>
      <c r="I11" s="8"/>
    </row>
    <row r="12" customFormat="false" ht="15" hidden="false" customHeight="true" outlineLevel="0" collapsed="false">
      <c r="A12" s="7" t="s">
        <v>323</v>
      </c>
      <c r="B12" s="7" t="s">
        <v>567</v>
      </c>
      <c r="C12" s="7" t="s">
        <v>318</v>
      </c>
      <c r="D12" s="7" t="s">
        <v>568</v>
      </c>
      <c r="E12" s="8" t="s">
        <v>552</v>
      </c>
      <c r="F12" s="8"/>
      <c r="G12" s="8"/>
      <c r="H12" s="8"/>
      <c r="I12" s="8"/>
    </row>
    <row r="13" customFormat="false" ht="15" hidden="false" customHeight="true" outlineLevel="0" collapsed="false">
      <c r="A13" s="7" t="s">
        <v>328</v>
      </c>
      <c r="B13" s="7" t="s">
        <v>569</v>
      </c>
      <c r="C13" s="7" t="s">
        <v>324</v>
      </c>
      <c r="D13" s="7" t="s">
        <v>568</v>
      </c>
      <c r="E13" s="8" t="s">
        <v>552</v>
      </c>
      <c r="F13" s="8"/>
      <c r="G13" s="8"/>
      <c r="H13" s="8"/>
      <c r="I13" s="8"/>
    </row>
    <row r="14" customFormat="false" ht="15" hidden="false" customHeight="true" outlineLevel="0" collapsed="false">
      <c r="A14" s="7" t="s">
        <v>570</v>
      </c>
      <c r="B14" s="7" t="s">
        <v>571</v>
      </c>
      <c r="C14" s="7" t="s">
        <v>331</v>
      </c>
      <c r="D14" s="7" t="s">
        <v>572</v>
      </c>
      <c r="E14" s="8" t="s">
        <v>552</v>
      </c>
      <c r="F14" s="8"/>
      <c r="G14" s="8"/>
      <c r="H14" s="8"/>
      <c r="I14" s="8"/>
    </row>
    <row r="15" customFormat="false" ht="15" hidden="false" customHeight="true" outlineLevel="0" collapsed="false">
      <c r="A15" s="7" t="s">
        <v>342</v>
      </c>
      <c r="B15" s="7" t="s">
        <v>339</v>
      </c>
      <c r="C15" s="7" t="s">
        <v>338</v>
      </c>
      <c r="D15" s="7" t="s">
        <v>572</v>
      </c>
      <c r="E15" s="8" t="s">
        <v>552</v>
      </c>
      <c r="F15" s="8"/>
      <c r="G15" s="8"/>
      <c r="H15" s="8"/>
      <c r="I15" s="8"/>
    </row>
    <row r="16" customFormat="false" ht="15" hidden="false" customHeight="true" outlineLevel="0" collapsed="false">
      <c r="A16" s="7" t="s">
        <v>573</v>
      </c>
      <c r="B16" s="7" t="s">
        <v>574</v>
      </c>
      <c r="C16" s="7" t="s">
        <v>377</v>
      </c>
      <c r="D16" s="7" t="s">
        <v>575</v>
      </c>
      <c r="E16" s="8" t="s">
        <v>552</v>
      </c>
      <c r="F16" s="8"/>
      <c r="G16" s="8"/>
      <c r="H16" s="8"/>
      <c r="I16" s="8"/>
    </row>
    <row r="17" customFormat="false" ht="15" hidden="false" customHeight="true" outlineLevel="0" collapsed="false">
      <c r="A17" s="7" t="s">
        <v>412</v>
      </c>
      <c r="B17" s="7" t="s">
        <v>576</v>
      </c>
      <c r="C17" s="7" t="s">
        <v>407</v>
      </c>
      <c r="D17" s="7" t="s">
        <v>572</v>
      </c>
      <c r="E17" s="8" t="s">
        <v>552</v>
      </c>
      <c r="F17" s="8"/>
      <c r="G17" s="8"/>
      <c r="H17" s="8"/>
      <c r="I17" s="8"/>
    </row>
    <row r="18" customFormat="false" ht="15" hidden="false" customHeight="true" outlineLevel="0" collapsed="false">
      <c r="A18" s="7" t="s">
        <v>577</v>
      </c>
      <c r="B18" s="7" t="s">
        <v>578</v>
      </c>
      <c r="C18" s="7" t="s">
        <v>264</v>
      </c>
      <c r="D18" s="7" t="s">
        <v>572</v>
      </c>
      <c r="E18" s="8" t="s">
        <v>552</v>
      </c>
      <c r="F18" s="8"/>
      <c r="G18" s="8"/>
      <c r="H18" s="8"/>
      <c r="I18" s="8"/>
    </row>
    <row r="19" customFormat="false" ht="15" hidden="false" customHeight="true" outlineLevel="0" collapsed="false">
      <c r="A19" s="7" t="s">
        <v>429</v>
      </c>
      <c r="B19" s="7" t="s">
        <v>579</v>
      </c>
      <c r="C19" s="7" t="s">
        <v>425</v>
      </c>
      <c r="D19" s="7" t="s">
        <v>580</v>
      </c>
      <c r="E19" s="8" t="s">
        <v>552</v>
      </c>
      <c r="F19" s="8"/>
      <c r="G19" s="8"/>
      <c r="H19" s="8"/>
      <c r="I19" s="8"/>
    </row>
    <row r="20" customFormat="false" ht="15" hidden="false" customHeight="true" outlineLevel="0" collapsed="false">
      <c r="A20" s="7" t="s">
        <v>424</v>
      </c>
      <c r="B20" s="7" t="s">
        <v>581</v>
      </c>
      <c r="C20" s="7" t="s">
        <v>420</v>
      </c>
      <c r="D20" s="7" t="s">
        <v>582</v>
      </c>
      <c r="E20" s="8" t="s">
        <v>552</v>
      </c>
      <c r="F20" s="8"/>
      <c r="G20" s="8"/>
      <c r="H20" s="8"/>
      <c r="I20" s="8"/>
    </row>
    <row r="21" customFormat="false" ht="51" hidden="false" customHeight="true" outlineLevel="0" collapsed="false">
      <c r="A21" s="7" t="s">
        <v>583</v>
      </c>
      <c r="B21" s="7" t="s">
        <v>584</v>
      </c>
      <c r="C21" s="7" t="s">
        <v>585</v>
      </c>
      <c r="D21" s="7" t="s">
        <v>48</v>
      </c>
      <c r="E21" s="8" t="s">
        <v>545</v>
      </c>
      <c r="F21" s="8" t="s">
        <v>586</v>
      </c>
      <c r="G21" s="8" t="s">
        <v>547</v>
      </c>
      <c r="H21" s="8" t="s">
        <v>548</v>
      </c>
      <c r="I21" s="8" t="s">
        <v>587</v>
      </c>
    </row>
    <row r="22" customFormat="false" ht="51" hidden="false" customHeight="true" outlineLevel="0" collapsed="false">
      <c r="A22" s="7" t="s">
        <v>588</v>
      </c>
      <c r="B22" s="7" t="s">
        <v>589</v>
      </c>
      <c r="C22" s="7" t="s">
        <v>284</v>
      </c>
      <c r="D22" s="7" t="s">
        <v>48</v>
      </c>
      <c r="E22" s="8" t="s">
        <v>545</v>
      </c>
      <c r="F22" s="8" t="s">
        <v>590</v>
      </c>
      <c r="G22" s="8" t="s">
        <v>547</v>
      </c>
      <c r="H22" s="8" t="s">
        <v>548</v>
      </c>
      <c r="I22" s="8" t="s">
        <v>591</v>
      </c>
    </row>
    <row r="23" customFormat="false" ht="39" hidden="false" customHeight="true" outlineLevel="0" collapsed="false">
      <c r="A23" s="7" t="s">
        <v>592</v>
      </c>
      <c r="B23" s="7" t="s">
        <v>593</v>
      </c>
      <c r="C23" s="7" t="s">
        <v>264</v>
      </c>
      <c r="D23" s="7" t="s">
        <v>48</v>
      </c>
      <c r="E23" s="8" t="s">
        <v>545</v>
      </c>
      <c r="F23" s="8" t="s">
        <v>594</v>
      </c>
      <c r="G23" s="8" t="s">
        <v>547</v>
      </c>
      <c r="H23" s="8" t="s">
        <v>548</v>
      </c>
      <c r="I23" s="8" t="s">
        <v>595</v>
      </c>
    </row>
    <row r="24" customFormat="false" ht="39" hidden="false" customHeight="true" outlineLevel="0" collapsed="false">
      <c r="A24" s="7" t="s">
        <v>596</v>
      </c>
      <c r="B24" s="7" t="s">
        <v>597</v>
      </c>
      <c r="C24" s="7" t="s">
        <v>195</v>
      </c>
      <c r="D24" s="7" t="s">
        <v>48</v>
      </c>
      <c r="E24" s="8" t="s">
        <v>545</v>
      </c>
      <c r="F24" s="8" t="s">
        <v>598</v>
      </c>
      <c r="G24" s="8" t="s">
        <v>547</v>
      </c>
      <c r="H24" s="8" t="s">
        <v>548</v>
      </c>
      <c r="I24" s="8" t="s">
        <v>599</v>
      </c>
    </row>
    <row r="25" customFormat="false" ht="39" hidden="false" customHeight="true" outlineLevel="0" collapsed="false">
      <c r="A25" s="7" t="s">
        <v>600</v>
      </c>
      <c r="B25" s="7" t="s">
        <v>601</v>
      </c>
      <c r="C25" s="7" t="s">
        <v>602</v>
      </c>
      <c r="D25" s="7" t="s">
        <v>48</v>
      </c>
      <c r="E25" s="8" t="s">
        <v>545</v>
      </c>
      <c r="F25" s="8" t="s">
        <v>603</v>
      </c>
      <c r="G25" s="8" t="s">
        <v>547</v>
      </c>
      <c r="H25" s="8" t="s">
        <v>548</v>
      </c>
      <c r="I25" s="8" t="s">
        <v>604</v>
      </c>
    </row>
    <row r="26" customFormat="false" ht="39" hidden="false" customHeight="true" outlineLevel="0" collapsed="false">
      <c r="A26" s="7" t="s">
        <v>605</v>
      </c>
      <c r="B26" s="7" t="s">
        <v>606</v>
      </c>
      <c r="C26" s="7" t="s">
        <v>164</v>
      </c>
      <c r="D26" s="7" t="s">
        <v>48</v>
      </c>
      <c r="E26" s="8" t="s">
        <v>545</v>
      </c>
      <c r="F26" s="8" t="s">
        <v>607</v>
      </c>
      <c r="G26" s="8" t="s">
        <v>608</v>
      </c>
      <c r="H26" s="8" t="s">
        <v>548</v>
      </c>
      <c r="I26" s="8" t="s">
        <v>609</v>
      </c>
    </row>
    <row r="27" customFormat="false" ht="39" hidden="false" customHeight="true" outlineLevel="0" collapsed="false">
      <c r="A27" s="7" t="s">
        <v>610</v>
      </c>
      <c r="B27" s="7" t="s">
        <v>611</v>
      </c>
      <c r="C27" s="7" t="s">
        <v>612</v>
      </c>
      <c r="D27" s="7" t="s">
        <v>613</v>
      </c>
      <c r="E27" s="8" t="s">
        <v>552</v>
      </c>
      <c r="F27" s="8"/>
      <c r="G27" s="8"/>
      <c r="H27" s="8"/>
      <c r="I27" s="8" t="s">
        <v>614</v>
      </c>
    </row>
    <row r="28" customFormat="false" ht="51" hidden="false" customHeight="true" outlineLevel="0" collapsed="false">
      <c r="A28" s="7" t="s">
        <v>615</v>
      </c>
      <c r="B28" s="7" t="s">
        <v>616</v>
      </c>
      <c r="C28" s="7" t="s">
        <v>264</v>
      </c>
      <c r="D28" s="7" t="s">
        <v>544</v>
      </c>
      <c r="E28" s="8" t="s">
        <v>552</v>
      </c>
      <c r="F28" s="8"/>
      <c r="G28" s="8"/>
      <c r="H28" s="8"/>
      <c r="I28" s="8" t="s">
        <v>617</v>
      </c>
    </row>
    <row r="29" customFormat="false" ht="27" hidden="false" customHeight="true" outlineLevel="0" collapsed="false">
      <c r="A29" s="7" t="s">
        <v>618</v>
      </c>
      <c r="B29" s="7" t="s">
        <v>619</v>
      </c>
      <c r="C29" s="7" t="s">
        <v>620</v>
      </c>
      <c r="D29" s="7" t="s">
        <v>621</v>
      </c>
      <c r="E29" s="8" t="s">
        <v>552</v>
      </c>
      <c r="F29" s="8"/>
      <c r="G29" s="8"/>
      <c r="H29" s="8"/>
      <c r="I29" s="8" t="s">
        <v>622</v>
      </c>
    </row>
    <row r="30" customFormat="false" ht="39" hidden="false" customHeight="true" outlineLevel="0" collapsed="false">
      <c r="A30" s="7" t="s">
        <v>623</v>
      </c>
      <c r="B30" s="7" t="s">
        <v>624</v>
      </c>
      <c r="C30" s="7" t="s">
        <v>230</v>
      </c>
      <c r="D30" s="7" t="s">
        <v>544</v>
      </c>
      <c r="E30" s="8" t="s">
        <v>552</v>
      </c>
      <c r="F30" s="8"/>
      <c r="G30" s="8"/>
      <c r="H30" s="8"/>
      <c r="I30" s="8" t="s">
        <v>625</v>
      </c>
    </row>
    <row r="31" customFormat="false" ht="27" hidden="false" customHeight="true" outlineLevel="0" collapsed="false">
      <c r="A31" s="7" t="s">
        <v>626</v>
      </c>
      <c r="B31" s="7" t="s">
        <v>627</v>
      </c>
      <c r="C31" s="7" t="s">
        <v>284</v>
      </c>
      <c r="D31" s="7" t="s">
        <v>544</v>
      </c>
      <c r="E31" s="8" t="s">
        <v>552</v>
      </c>
      <c r="F31" s="8"/>
      <c r="G31" s="8"/>
      <c r="H31" s="8"/>
      <c r="I31" s="8" t="s">
        <v>628</v>
      </c>
    </row>
    <row r="32" customFormat="false" ht="27" hidden="false" customHeight="true" outlineLevel="0" collapsed="false">
      <c r="A32" s="7" t="s">
        <v>629</v>
      </c>
      <c r="B32" s="7" t="s">
        <v>630</v>
      </c>
      <c r="C32" s="7" t="s">
        <v>631</v>
      </c>
      <c r="D32" s="7" t="s">
        <v>544</v>
      </c>
      <c r="E32" s="8" t="s">
        <v>552</v>
      </c>
      <c r="F32" s="8"/>
      <c r="G32" s="8"/>
      <c r="H32" s="8"/>
      <c r="I32" s="8" t="s">
        <v>632</v>
      </c>
    </row>
    <row r="33" customFormat="false" ht="27" hidden="false" customHeight="true" outlineLevel="0" collapsed="false">
      <c r="A33" s="7" t="s">
        <v>633</v>
      </c>
      <c r="B33" s="7" t="s">
        <v>634</v>
      </c>
      <c r="C33" s="7" t="s">
        <v>635</v>
      </c>
      <c r="D33" s="7" t="s">
        <v>277</v>
      </c>
      <c r="E33" s="8" t="s">
        <v>552</v>
      </c>
      <c r="F33" s="8"/>
      <c r="G33" s="8"/>
      <c r="H33" s="8"/>
      <c r="I33" s="8" t="s">
        <v>636</v>
      </c>
    </row>
  </sheetData>
  <conditionalFormatting sqref="E2:E33">
    <cfRule type="cellIs" priority="2" operator="equal" aboveAverage="0" equalAverage="0" bottom="0" percent="0" rank="0" text="" dxfId="0">
      <formula>"Decidida"</formula>
    </cfRule>
    <cfRule type="cellIs" priority="3" operator="equal" aboveAverage="0" equalAverage="0" bottom="0" percent="0" rank="0" text="" dxfId="2">
      <formula>"Pendiente"</formula>
    </cfRule>
  </conditionalFormatting>
  <dataValidations count="1">
    <dataValidation allowBlank="true" errorStyle="stop" operator="between" showDropDown="false" showErrorMessage="false" showInputMessage="false" sqref="E2:E33" type="list">
      <formula1>"Pendiente,Decidida,Aplazada,No aplica"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8"/>
    <col collapsed="false" customWidth="true" hidden="false" outlineLevel="0" max="3" min="3" style="1" width="26"/>
    <col collapsed="false" customWidth="true" hidden="false" outlineLevel="0" max="4" min="4" style="1" width="20"/>
    <col collapsed="false" customWidth="true" hidden="false" outlineLevel="0" max="5" min="5" style="1" width="26"/>
    <col collapsed="false" customWidth="true" hidden="false" outlineLevel="0" max="6" min="6" style="1" width="28"/>
    <col collapsed="false" customWidth="true" hidden="false" outlineLevel="0" max="7" min="7" style="1" width="12"/>
    <col collapsed="false" customWidth="true" hidden="false" outlineLevel="0" max="8" min="8" style="1" width="22"/>
    <col collapsed="false" customWidth="true" hidden="false" outlineLevel="0" max="9" min="9" style="1" width="40"/>
  </cols>
  <sheetData>
    <row r="1" customFormat="false" ht="31.5" hidden="false" customHeight="true" outlineLevel="0" collapsed="false">
      <c r="A1" s="5" t="s">
        <v>109</v>
      </c>
      <c r="B1" s="5" t="s">
        <v>637</v>
      </c>
      <c r="C1" s="5" t="s">
        <v>638</v>
      </c>
      <c r="D1" s="5" t="s">
        <v>639</v>
      </c>
      <c r="E1" s="5" t="s">
        <v>640</v>
      </c>
      <c r="F1" s="5" t="s">
        <v>641</v>
      </c>
      <c r="G1" s="5" t="s">
        <v>642</v>
      </c>
      <c r="H1" s="5" t="s">
        <v>643</v>
      </c>
      <c r="I1" s="5" t="s">
        <v>644</v>
      </c>
    </row>
    <row r="2" customFormat="false" ht="39" hidden="false" customHeight="true" outlineLevel="0" collapsed="false">
      <c r="A2" s="7" t="s">
        <v>119</v>
      </c>
      <c r="B2" s="7" t="s">
        <v>645</v>
      </c>
      <c r="C2" s="7" t="s">
        <v>646</v>
      </c>
      <c r="D2" s="7" t="s">
        <v>647</v>
      </c>
      <c r="E2" s="7"/>
      <c r="F2" s="7"/>
      <c r="G2" s="7"/>
      <c r="H2" s="7"/>
      <c r="I2" s="8"/>
    </row>
    <row r="3" customFormat="false" ht="27" hidden="false" customHeight="true" outlineLevel="0" collapsed="false">
      <c r="A3" s="7" t="s">
        <v>134</v>
      </c>
      <c r="B3" s="7" t="s">
        <v>648</v>
      </c>
      <c r="C3" s="7" t="s">
        <v>649</v>
      </c>
      <c r="D3" s="7"/>
      <c r="E3" s="7"/>
      <c r="F3" s="7"/>
      <c r="G3" s="7"/>
      <c r="H3" s="7"/>
      <c r="I3" s="8"/>
    </row>
    <row r="4" customFormat="false" ht="15" hidden="false" customHeight="true" outlineLevel="0" collapsed="false">
      <c r="A4" s="7" t="s">
        <v>220</v>
      </c>
      <c r="B4" s="7" t="s">
        <v>650</v>
      </c>
      <c r="C4" s="7"/>
      <c r="D4" s="7" t="s">
        <v>223</v>
      </c>
      <c r="E4" s="7"/>
      <c r="F4" s="7"/>
      <c r="G4" s="7"/>
      <c r="H4" s="7"/>
      <c r="I4" s="8"/>
    </row>
    <row r="5" customFormat="false" ht="15" hidden="false" customHeight="true" outlineLevel="0" collapsed="false">
      <c r="A5" s="7" t="s">
        <v>236</v>
      </c>
      <c r="B5" s="7" t="s">
        <v>651</v>
      </c>
      <c r="C5" s="7"/>
      <c r="D5" s="7" t="s">
        <v>652</v>
      </c>
      <c r="E5" s="7" t="s">
        <v>653</v>
      </c>
      <c r="F5" s="7"/>
      <c r="G5" s="7"/>
      <c r="H5" s="7"/>
      <c r="I5" s="8"/>
    </row>
    <row r="6" customFormat="false" ht="27" hidden="false" customHeight="true" outlineLevel="0" collapsed="false">
      <c r="A6" s="7" t="s">
        <v>248</v>
      </c>
      <c r="B6" s="7" t="s">
        <v>654</v>
      </c>
      <c r="C6" s="7"/>
      <c r="D6" s="7" t="s">
        <v>655</v>
      </c>
      <c r="E6" s="7" t="s">
        <v>656</v>
      </c>
      <c r="F6" s="7"/>
      <c r="G6" s="7"/>
      <c r="H6" s="7"/>
      <c r="I6" s="8"/>
    </row>
    <row r="7" customFormat="false" ht="15" hidden="false" customHeight="true" outlineLevel="0" collapsed="false">
      <c r="A7" s="7" t="s">
        <v>255</v>
      </c>
      <c r="B7" s="7" t="s">
        <v>657</v>
      </c>
      <c r="C7" s="7"/>
      <c r="D7" s="7" t="s">
        <v>249</v>
      </c>
      <c r="E7" s="7"/>
      <c r="F7" s="7" t="s">
        <v>344</v>
      </c>
      <c r="G7" s="7"/>
      <c r="H7" s="7"/>
      <c r="I7" s="8"/>
    </row>
    <row r="8" customFormat="false" ht="15" hidden="false" customHeight="true" outlineLevel="0" collapsed="false">
      <c r="A8" s="7" t="s">
        <v>263</v>
      </c>
      <c r="B8" s="7" t="s">
        <v>658</v>
      </c>
      <c r="C8" s="7"/>
      <c r="D8" s="7" t="s">
        <v>257</v>
      </c>
      <c r="E8" s="7" t="s">
        <v>659</v>
      </c>
      <c r="F8" s="7" t="s">
        <v>350</v>
      </c>
      <c r="G8" s="7"/>
      <c r="H8" s="7"/>
      <c r="I8" s="8"/>
    </row>
    <row r="9" customFormat="false" ht="27" hidden="false" customHeight="true" outlineLevel="0" collapsed="false">
      <c r="A9" s="7" t="s">
        <v>269</v>
      </c>
      <c r="B9" s="7" t="s">
        <v>660</v>
      </c>
      <c r="C9" s="7"/>
      <c r="D9" s="7" t="s">
        <v>661</v>
      </c>
      <c r="E9" s="7" t="s">
        <v>662</v>
      </c>
      <c r="F9" s="7" t="s">
        <v>355</v>
      </c>
      <c r="G9" s="7"/>
      <c r="H9" s="7"/>
      <c r="I9" s="8"/>
    </row>
    <row r="10" customFormat="false" ht="15" hidden="false" customHeight="true" outlineLevel="0" collapsed="false">
      <c r="A10" s="7" t="s">
        <v>365</v>
      </c>
      <c r="B10" s="7" t="s">
        <v>663</v>
      </c>
      <c r="C10" s="7"/>
      <c r="D10" s="7"/>
      <c r="E10" s="7"/>
      <c r="F10" s="7" t="s">
        <v>361</v>
      </c>
      <c r="G10" s="7"/>
      <c r="H10" s="7"/>
      <c r="I10" s="8"/>
    </row>
    <row r="11" customFormat="false" ht="15" hidden="false" customHeight="true" outlineLevel="0" collapsed="false">
      <c r="A11" s="7" t="s">
        <v>370</v>
      </c>
      <c r="B11" s="7" t="s">
        <v>664</v>
      </c>
      <c r="C11" s="7"/>
      <c r="D11" s="7"/>
      <c r="E11" s="7" t="s">
        <v>665</v>
      </c>
      <c r="F11" s="7" t="s">
        <v>666</v>
      </c>
      <c r="G11" s="7" t="s">
        <v>391</v>
      </c>
      <c r="H11" s="7"/>
      <c r="I11" s="8"/>
    </row>
    <row r="12" customFormat="false" ht="15" hidden="false" customHeight="true" outlineLevel="0" collapsed="false">
      <c r="A12" s="7" t="s">
        <v>382</v>
      </c>
      <c r="B12" s="7" t="s">
        <v>667</v>
      </c>
      <c r="C12" s="7"/>
      <c r="D12" s="7"/>
      <c r="E12" s="7" t="s">
        <v>668</v>
      </c>
      <c r="F12" s="7" t="s">
        <v>669</v>
      </c>
      <c r="G12" s="7" t="s">
        <v>397</v>
      </c>
      <c r="H12" s="7"/>
      <c r="I12" s="8"/>
    </row>
    <row r="13" customFormat="false" ht="15" hidden="false" customHeight="true" outlineLevel="0" collapsed="false">
      <c r="A13" s="7" t="s">
        <v>406</v>
      </c>
      <c r="B13" s="7" t="s">
        <v>670</v>
      </c>
      <c r="C13" s="7"/>
      <c r="D13" s="7"/>
      <c r="E13" s="7" t="s">
        <v>339</v>
      </c>
      <c r="F13" s="7"/>
      <c r="G13" s="7" t="s">
        <v>401</v>
      </c>
      <c r="H13" s="7"/>
      <c r="I13" s="8"/>
    </row>
    <row r="14" customFormat="false" ht="15" hidden="false" customHeight="true" outlineLevel="0" collapsed="false">
      <c r="A14" s="7" t="s">
        <v>413</v>
      </c>
      <c r="B14" s="7" t="s">
        <v>671</v>
      </c>
      <c r="C14" s="7"/>
      <c r="D14" s="7"/>
      <c r="E14" s="7"/>
      <c r="F14" s="7"/>
      <c r="G14" s="7" t="s">
        <v>407</v>
      </c>
      <c r="H14" s="7"/>
      <c r="I14" s="8"/>
    </row>
    <row r="15" customFormat="false" ht="15" hidden="false" customHeight="true" outlineLevel="0" collapsed="false">
      <c r="A15" s="7" t="s">
        <v>419</v>
      </c>
      <c r="B15" s="7" t="s">
        <v>672</v>
      </c>
      <c r="C15" s="7"/>
      <c r="D15" s="7"/>
      <c r="E15" s="7"/>
      <c r="F15" s="7"/>
      <c r="G15" s="7" t="s">
        <v>414</v>
      </c>
      <c r="H15" s="7" t="s">
        <v>420</v>
      </c>
      <c r="I15" s="8"/>
    </row>
    <row r="16" customFormat="false" ht="15" hidden="false" customHeight="true" outlineLevel="0" collapsed="false">
      <c r="A16" s="7" t="s">
        <v>430</v>
      </c>
      <c r="B16" s="7" t="s">
        <v>673</v>
      </c>
      <c r="C16" s="7"/>
      <c r="D16" s="7"/>
      <c r="E16" s="7"/>
      <c r="F16" s="7"/>
      <c r="G16" s="7"/>
      <c r="H16" s="7" t="s">
        <v>674</v>
      </c>
      <c r="I16" s="8"/>
    </row>
    <row r="17" customFormat="false" ht="15" hidden="false" customHeight="true" outlineLevel="0" collapsed="false">
      <c r="A17" s="7" t="s">
        <v>675</v>
      </c>
      <c r="B17" s="7" t="s">
        <v>676</v>
      </c>
      <c r="C17" s="7"/>
      <c r="D17" s="7"/>
      <c r="E17" s="7"/>
      <c r="F17" s="7"/>
      <c r="G17" s="7"/>
      <c r="H17" s="7" t="s">
        <v>677</v>
      </c>
      <c r="I17" s="8"/>
    </row>
    <row r="18" customFormat="false" ht="15" hidden="false" customHeight="true" outlineLevel="0" collapsed="false">
      <c r="A18" s="7" t="s">
        <v>439</v>
      </c>
      <c r="B18" s="7" t="s">
        <v>678</v>
      </c>
      <c r="C18" s="7"/>
      <c r="D18" s="7"/>
      <c r="E18" s="7"/>
      <c r="F18" s="7"/>
      <c r="G18" s="7"/>
      <c r="H18" s="7" t="s">
        <v>679</v>
      </c>
      <c r="I18" s="8"/>
    </row>
    <row r="20" customFormat="false" ht="90" hidden="false" customHeight="true" outlineLevel="0" collapsed="false">
      <c r="A20" s="14" t="s">
        <v>680</v>
      </c>
      <c r="B20" s="14"/>
      <c r="C20" s="14"/>
      <c r="D20" s="14"/>
      <c r="E20" s="14"/>
      <c r="F20" s="14"/>
      <c r="G20" s="14"/>
      <c r="H20" s="14"/>
      <c r="I20" s="14"/>
    </row>
  </sheetData>
  <mergeCells count="1">
    <mergeCell ref="A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2"/>
    <col collapsed="false" customWidth="true" hidden="false" outlineLevel="0" max="3" min="3" style="1" width="12"/>
    <col collapsed="false" customWidth="true" hidden="false" outlineLevel="0" max="4" min="4" style="1" width="11"/>
    <col collapsed="false" customWidth="true" hidden="false" outlineLevel="0" max="5" min="5" style="1" width="8"/>
    <col collapsed="false" customWidth="true" hidden="false" outlineLevel="0" max="6" min="6" style="1" width="16"/>
    <col collapsed="false" customWidth="true" hidden="false" outlineLevel="0" max="8" min="7" style="1" width="8"/>
    <col collapsed="false" customWidth="true" hidden="false" outlineLevel="0" max="9" min="9" style="1" width="12"/>
    <col collapsed="false" customWidth="true" hidden="false" outlineLevel="0" max="10" min="10" style="1" width="11"/>
  </cols>
  <sheetData>
    <row r="1" customFormat="false" ht="31.5" hidden="false" customHeight="true" outlineLevel="0" collapsed="false">
      <c r="A1" s="5" t="s">
        <v>66</v>
      </c>
      <c r="B1" s="5" t="s">
        <v>23</v>
      </c>
      <c r="C1" s="5" t="s">
        <v>681</v>
      </c>
      <c r="D1" s="5" t="s">
        <v>682</v>
      </c>
      <c r="E1" s="5" t="s">
        <v>683</v>
      </c>
      <c r="F1" s="5" t="s">
        <v>684</v>
      </c>
      <c r="G1" s="5" t="s">
        <v>685</v>
      </c>
      <c r="H1" s="5" t="s">
        <v>686</v>
      </c>
      <c r="I1" s="5" t="s">
        <v>687</v>
      </c>
      <c r="J1" s="5" t="s">
        <v>688</v>
      </c>
    </row>
    <row r="2" customFormat="false" ht="15" hidden="false" customHeight="true" outlineLevel="0" collapsed="false">
      <c r="A2" s="7" t="s">
        <v>33</v>
      </c>
      <c r="B2" s="7" t="s">
        <v>34</v>
      </c>
      <c r="C2" s="7" t="n">
        <f aca="false">COUNTIF(Tandas!$B:$B,A2)</f>
        <v>5</v>
      </c>
      <c r="D2" s="7" t="n">
        <f aca="false">COUNTIFS(Tandas!$B:$B,A2,Tandas!$K:$K,"&lt;&gt;")</f>
        <v>0</v>
      </c>
      <c r="E2" s="7" t="n">
        <f aca="false">COUNTIFS(Tandas!$B:$B,A2,Tandas!$K:$K,"Sí")</f>
        <v>0</v>
      </c>
      <c r="F2" s="7" t="n">
        <f aca="false">COUNTIFS(Tandas!$B:$B,A2,Tandas!$K:$K,"Con cambios")+COUNTIFS(Tandas!$B:$B,A2,Tandas!$K:$K,"Duda")</f>
        <v>0</v>
      </c>
      <c r="G2" s="7" t="n">
        <f aca="false">COUNTIFS(Tandas!$B:$B,A2,Tandas!$K:$K,"No")</f>
        <v>0</v>
      </c>
      <c r="H2" s="7" t="n">
        <f aca="false">COUNTIFS(Tandas!$B:$B,A2,Tandas!$M:$M,"Sube")</f>
        <v>0</v>
      </c>
      <c r="I2" s="7" t="n">
        <f aca="false">COUNTIFS(Tandas!$B:$B,A2,Tandas!$M:$M,"Baja")+COUNTIFS(Tandas!$B:$B,A2,Tandas!$M:$M,"Fuera")</f>
        <v>0</v>
      </c>
      <c r="J2" s="15" t="n">
        <f aca="false">IF(C2=0,0,D2/C2)</f>
        <v>0</v>
      </c>
    </row>
    <row r="3" customFormat="false" ht="15" hidden="false" customHeight="true" outlineLevel="0" collapsed="false">
      <c r="A3" s="7" t="s">
        <v>72</v>
      </c>
      <c r="B3" s="7" t="s">
        <v>73</v>
      </c>
      <c r="C3" s="7" t="n">
        <f aca="false">COUNTIF(Tandas!$B:$B,A3)</f>
        <v>9</v>
      </c>
      <c r="D3" s="7" t="n">
        <f aca="false">COUNTIFS(Tandas!$B:$B,A3,Tandas!$K:$K,"&lt;&gt;")</f>
        <v>0</v>
      </c>
      <c r="E3" s="7" t="n">
        <f aca="false">COUNTIFS(Tandas!$B:$B,A3,Tandas!$K:$K,"Sí")</f>
        <v>0</v>
      </c>
      <c r="F3" s="7" t="n">
        <f aca="false">COUNTIFS(Tandas!$B:$B,A3,Tandas!$K:$K,"Con cambios")+COUNTIFS(Tandas!$B:$B,A3,Tandas!$K:$K,"Duda")</f>
        <v>0</v>
      </c>
      <c r="G3" s="7" t="n">
        <f aca="false">COUNTIFS(Tandas!$B:$B,A3,Tandas!$K:$K,"No")</f>
        <v>0</v>
      </c>
      <c r="H3" s="7" t="n">
        <f aca="false">COUNTIFS(Tandas!$B:$B,A3,Tandas!$M:$M,"Sube")</f>
        <v>0</v>
      </c>
      <c r="I3" s="7" t="n">
        <f aca="false">COUNTIFS(Tandas!$B:$B,A3,Tandas!$M:$M,"Baja")+COUNTIFS(Tandas!$B:$B,A3,Tandas!$M:$M,"Fuera")</f>
        <v>0</v>
      </c>
      <c r="J3" s="15" t="n">
        <f aca="false">IF(C3=0,0,D3/C3)</f>
        <v>0</v>
      </c>
    </row>
    <row r="4" customFormat="false" ht="15" hidden="false" customHeight="true" outlineLevel="0" collapsed="false">
      <c r="A4" s="7" t="s">
        <v>76</v>
      </c>
      <c r="B4" s="7" t="s">
        <v>77</v>
      </c>
      <c r="C4" s="7" t="n">
        <f aca="false">COUNTIF(Tandas!$B:$B,A4)</f>
        <v>11</v>
      </c>
      <c r="D4" s="7" t="n">
        <f aca="false">COUNTIFS(Tandas!$B:$B,A4,Tandas!$K:$K,"&lt;&gt;")</f>
        <v>0</v>
      </c>
      <c r="E4" s="7" t="n">
        <f aca="false">COUNTIFS(Tandas!$B:$B,A4,Tandas!$K:$K,"Sí")</f>
        <v>0</v>
      </c>
      <c r="F4" s="7" t="n">
        <f aca="false">COUNTIFS(Tandas!$B:$B,A4,Tandas!$K:$K,"Con cambios")+COUNTIFS(Tandas!$B:$B,A4,Tandas!$K:$K,"Duda")</f>
        <v>0</v>
      </c>
      <c r="G4" s="7" t="n">
        <f aca="false">COUNTIFS(Tandas!$B:$B,A4,Tandas!$K:$K,"No")</f>
        <v>0</v>
      </c>
      <c r="H4" s="7" t="n">
        <f aca="false">COUNTIFS(Tandas!$B:$B,A4,Tandas!$M:$M,"Sube")</f>
        <v>0</v>
      </c>
      <c r="I4" s="7" t="n">
        <f aca="false">COUNTIFS(Tandas!$B:$B,A4,Tandas!$M:$M,"Baja")+COUNTIFS(Tandas!$B:$B,A4,Tandas!$M:$M,"Fuera")</f>
        <v>0</v>
      </c>
      <c r="J4" s="15" t="n">
        <f aca="false">IF(C4=0,0,D4/C4)</f>
        <v>0</v>
      </c>
    </row>
    <row r="5" customFormat="false" ht="15" hidden="false" customHeight="true" outlineLevel="0" collapsed="false">
      <c r="A5" s="7" t="s">
        <v>80</v>
      </c>
      <c r="B5" s="7" t="s">
        <v>81</v>
      </c>
      <c r="C5" s="7" t="n">
        <f aca="false">COUNTIF(Tandas!$B:$B,A5)</f>
        <v>8</v>
      </c>
      <c r="D5" s="7" t="n">
        <f aca="false">COUNTIFS(Tandas!$B:$B,A5,Tandas!$K:$K,"&lt;&gt;")</f>
        <v>0</v>
      </c>
      <c r="E5" s="7" t="n">
        <f aca="false">COUNTIFS(Tandas!$B:$B,A5,Tandas!$K:$K,"Sí")</f>
        <v>0</v>
      </c>
      <c r="F5" s="7" t="n">
        <f aca="false">COUNTIFS(Tandas!$B:$B,A5,Tandas!$K:$K,"Con cambios")+COUNTIFS(Tandas!$B:$B,A5,Tandas!$K:$K,"Duda")</f>
        <v>0</v>
      </c>
      <c r="G5" s="7" t="n">
        <f aca="false">COUNTIFS(Tandas!$B:$B,A5,Tandas!$K:$K,"No")</f>
        <v>0</v>
      </c>
      <c r="H5" s="7" t="n">
        <f aca="false">COUNTIFS(Tandas!$B:$B,A5,Tandas!$M:$M,"Sube")</f>
        <v>0</v>
      </c>
      <c r="I5" s="7" t="n">
        <f aca="false">COUNTIFS(Tandas!$B:$B,A5,Tandas!$M:$M,"Baja")+COUNTIFS(Tandas!$B:$B,A5,Tandas!$M:$M,"Fuera")</f>
        <v>0</v>
      </c>
      <c r="J5" s="15" t="n">
        <f aca="false">IF(C5=0,0,D5/C5)</f>
        <v>0</v>
      </c>
    </row>
    <row r="6" customFormat="false" ht="15" hidden="false" customHeight="true" outlineLevel="0" collapsed="false">
      <c r="A6" s="7" t="s">
        <v>84</v>
      </c>
      <c r="B6" s="7" t="s">
        <v>85</v>
      </c>
      <c r="C6" s="7" t="n">
        <f aca="false">COUNTIF(Tandas!$B:$B,A6)</f>
        <v>9</v>
      </c>
      <c r="D6" s="7" t="n">
        <f aca="false">COUNTIFS(Tandas!$B:$B,A6,Tandas!$K:$K,"&lt;&gt;")</f>
        <v>0</v>
      </c>
      <c r="E6" s="7" t="n">
        <f aca="false">COUNTIFS(Tandas!$B:$B,A6,Tandas!$K:$K,"Sí")</f>
        <v>0</v>
      </c>
      <c r="F6" s="7" t="n">
        <f aca="false">COUNTIFS(Tandas!$B:$B,A6,Tandas!$K:$K,"Con cambios")+COUNTIFS(Tandas!$B:$B,A6,Tandas!$K:$K,"Duda")</f>
        <v>0</v>
      </c>
      <c r="G6" s="7" t="n">
        <f aca="false">COUNTIFS(Tandas!$B:$B,A6,Tandas!$K:$K,"No")</f>
        <v>0</v>
      </c>
      <c r="H6" s="7" t="n">
        <f aca="false">COUNTIFS(Tandas!$B:$B,A6,Tandas!$M:$M,"Sube")</f>
        <v>0</v>
      </c>
      <c r="I6" s="7" t="n">
        <f aca="false">COUNTIFS(Tandas!$B:$B,A6,Tandas!$M:$M,"Baja")+COUNTIFS(Tandas!$B:$B,A6,Tandas!$M:$M,"Fuera")</f>
        <v>0</v>
      </c>
      <c r="J6" s="15" t="n">
        <f aca="false">IF(C6=0,0,D6/C6)</f>
        <v>0</v>
      </c>
    </row>
    <row r="7" customFormat="false" ht="15" hidden="false" customHeight="true" outlineLevel="0" collapsed="false">
      <c r="A7" s="7" t="s">
        <v>88</v>
      </c>
      <c r="B7" s="7" t="s">
        <v>89</v>
      </c>
      <c r="C7" s="7" t="n">
        <f aca="false">COUNTIF(Tandas!$B:$B,A7)</f>
        <v>5</v>
      </c>
      <c r="D7" s="7" t="n">
        <f aca="false">COUNTIFS(Tandas!$B:$B,A7,Tandas!$K:$K,"&lt;&gt;")</f>
        <v>0</v>
      </c>
      <c r="E7" s="7" t="n">
        <f aca="false">COUNTIFS(Tandas!$B:$B,A7,Tandas!$K:$K,"Sí")</f>
        <v>0</v>
      </c>
      <c r="F7" s="7" t="n">
        <f aca="false">COUNTIFS(Tandas!$B:$B,A7,Tandas!$K:$K,"Con cambios")+COUNTIFS(Tandas!$B:$B,A7,Tandas!$K:$K,"Duda")</f>
        <v>0</v>
      </c>
      <c r="G7" s="7" t="n">
        <f aca="false">COUNTIFS(Tandas!$B:$B,A7,Tandas!$K:$K,"No")</f>
        <v>0</v>
      </c>
      <c r="H7" s="7" t="n">
        <f aca="false">COUNTIFS(Tandas!$B:$B,A7,Tandas!$M:$M,"Sube")</f>
        <v>0</v>
      </c>
      <c r="I7" s="7" t="n">
        <f aca="false">COUNTIFS(Tandas!$B:$B,A7,Tandas!$M:$M,"Baja")+COUNTIFS(Tandas!$B:$B,A7,Tandas!$M:$M,"Fuera")</f>
        <v>0</v>
      </c>
      <c r="J7" s="15" t="n">
        <f aca="false">IF(C7=0,0,D7/C7)</f>
        <v>0</v>
      </c>
    </row>
    <row r="8" customFormat="false" ht="15" hidden="false" customHeight="true" outlineLevel="0" collapsed="false">
      <c r="A8" s="7" t="s">
        <v>92</v>
      </c>
      <c r="B8" s="7" t="s">
        <v>93</v>
      </c>
      <c r="C8" s="7" t="n">
        <f aca="false">COUNTIF(Tandas!$B:$B,A8)</f>
        <v>4</v>
      </c>
      <c r="D8" s="7" t="n">
        <f aca="false">COUNTIFS(Tandas!$B:$B,A8,Tandas!$K:$K,"&lt;&gt;")</f>
        <v>0</v>
      </c>
      <c r="E8" s="7" t="n">
        <f aca="false">COUNTIFS(Tandas!$B:$B,A8,Tandas!$K:$K,"Sí")</f>
        <v>0</v>
      </c>
      <c r="F8" s="7" t="n">
        <f aca="false">COUNTIFS(Tandas!$B:$B,A8,Tandas!$K:$K,"Con cambios")+COUNTIFS(Tandas!$B:$B,A8,Tandas!$K:$K,"Duda")</f>
        <v>0</v>
      </c>
      <c r="G8" s="7" t="n">
        <f aca="false">COUNTIFS(Tandas!$B:$B,A8,Tandas!$K:$K,"No")</f>
        <v>0</v>
      </c>
      <c r="H8" s="7" t="n">
        <f aca="false">COUNTIFS(Tandas!$B:$B,A8,Tandas!$M:$M,"Sube")</f>
        <v>0</v>
      </c>
      <c r="I8" s="7" t="n">
        <f aca="false">COUNTIFS(Tandas!$B:$B,A8,Tandas!$M:$M,"Baja")+COUNTIFS(Tandas!$B:$B,A8,Tandas!$M:$M,"Fuera")</f>
        <v>0</v>
      </c>
      <c r="J8" s="15" t="n">
        <f aca="false">IF(C8=0,0,D8/C8)</f>
        <v>0</v>
      </c>
    </row>
    <row r="9" customFormat="false" ht="15" hidden="false" customHeight="true" outlineLevel="0" collapsed="false">
      <c r="A9" s="7" t="s">
        <v>45</v>
      </c>
      <c r="B9" s="7" t="s">
        <v>46</v>
      </c>
      <c r="C9" s="7" t="n">
        <f aca="false">COUNTIF(Tandas!$B:$B,A9)</f>
        <v>8</v>
      </c>
      <c r="D9" s="7" t="n">
        <f aca="false">COUNTIFS(Tandas!$B:$B,A9,Tandas!$K:$K,"&lt;&gt;")</f>
        <v>0</v>
      </c>
      <c r="E9" s="7" t="n">
        <f aca="false">COUNTIFS(Tandas!$B:$B,A9,Tandas!$K:$K,"Sí")</f>
        <v>0</v>
      </c>
      <c r="F9" s="7" t="n">
        <f aca="false">COUNTIFS(Tandas!$B:$B,A9,Tandas!$K:$K,"Con cambios")+COUNTIFS(Tandas!$B:$B,A9,Tandas!$K:$K,"Duda")</f>
        <v>0</v>
      </c>
      <c r="G9" s="7" t="n">
        <f aca="false">COUNTIFS(Tandas!$B:$B,A9,Tandas!$K:$K,"No")</f>
        <v>0</v>
      </c>
      <c r="H9" s="7" t="n">
        <f aca="false">COUNTIFS(Tandas!$B:$B,A9,Tandas!$M:$M,"Sube")</f>
        <v>0</v>
      </c>
      <c r="I9" s="7" t="n">
        <f aca="false">COUNTIFS(Tandas!$B:$B,A9,Tandas!$M:$M,"Baja")+COUNTIFS(Tandas!$B:$B,A9,Tandas!$M:$M,"Fuera")</f>
        <v>0</v>
      </c>
      <c r="J9" s="15" t="n">
        <f aca="false">IF(C9=0,0,D9/C9)</f>
        <v>0</v>
      </c>
    </row>
    <row r="10" customFormat="false" ht="15" hidden="false" customHeight="true" outlineLevel="0" collapsed="false">
      <c r="A10" s="7" t="s">
        <v>51</v>
      </c>
      <c r="B10" s="7" t="s">
        <v>98</v>
      </c>
      <c r="C10" s="7" t="n">
        <f aca="false">COUNTIF(Tandas!$B:$B,A10)</f>
        <v>3</v>
      </c>
      <c r="D10" s="7" t="n">
        <f aca="false">COUNTIFS(Tandas!$B:$B,A10,Tandas!$K:$K,"&lt;&gt;")</f>
        <v>0</v>
      </c>
      <c r="E10" s="7" t="n">
        <f aca="false">COUNTIFS(Tandas!$B:$B,A10,Tandas!$K:$K,"Sí")</f>
        <v>0</v>
      </c>
      <c r="F10" s="7" t="n">
        <f aca="false">COUNTIFS(Tandas!$B:$B,A10,Tandas!$K:$K,"Con cambios")+COUNTIFS(Tandas!$B:$B,A10,Tandas!$K:$K,"Duda")</f>
        <v>0</v>
      </c>
      <c r="G10" s="7" t="n">
        <f aca="false">COUNTIFS(Tandas!$B:$B,A10,Tandas!$K:$K,"No")</f>
        <v>0</v>
      </c>
      <c r="H10" s="7" t="n">
        <f aca="false">COUNTIFS(Tandas!$B:$B,A10,Tandas!$M:$M,"Sube")</f>
        <v>0</v>
      </c>
      <c r="I10" s="7" t="n">
        <f aca="false">COUNTIFS(Tandas!$B:$B,A10,Tandas!$M:$M,"Baja")+COUNTIFS(Tandas!$B:$B,A10,Tandas!$M:$M,"Fuera")</f>
        <v>0</v>
      </c>
      <c r="J10" s="15" t="n">
        <f aca="false">IF(C10=0,0,D10/C10)</f>
        <v>0</v>
      </c>
    </row>
    <row r="11" customFormat="false" ht="15" hidden="false" customHeight="true" outlineLevel="0" collapsed="false">
      <c r="A11" s="7" t="s">
        <v>56</v>
      </c>
      <c r="B11" s="7" t="s">
        <v>57</v>
      </c>
      <c r="C11" s="7" t="n">
        <f aca="false">COUNTIF(Tandas!$B:$B,A11)</f>
        <v>5</v>
      </c>
      <c r="D11" s="7" t="n">
        <f aca="false">COUNTIFS(Tandas!$B:$B,A11,Tandas!$K:$K,"&lt;&gt;")</f>
        <v>0</v>
      </c>
      <c r="E11" s="7" t="n">
        <f aca="false">COUNTIFS(Tandas!$B:$B,A11,Tandas!$K:$K,"Sí")</f>
        <v>0</v>
      </c>
      <c r="F11" s="7" t="n">
        <f aca="false">COUNTIFS(Tandas!$B:$B,A11,Tandas!$K:$K,"Con cambios")+COUNTIFS(Tandas!$B:$B,A11,Tandas!$K:$K,"Duda")</f>
        <v>0</v>
      </c>
      <c r="G11" s="7" t="n">
        <f aca="false">COUNTIFS(Tandas!$B:$B,A11,Tandas!$K:$K,"No")</f>
        <v>0</v>
      </c>
      <c r="H11" s="7" t="n">
        <f aca="false">COUNTIFS(Tandas!$B:$B,A11,Tandas!$M:$M,"Sube")</f>
        <v>0</v>
      </c>
      <c r="I11" s="7" t="n">
        <f aca="false">COUNTIFS(Tandas!$B:$B,A11,Tandas!$M:$M,"Baja")+COUNTIFS(Tandas!$B:$B,A11,Tandas!$M:$M,"Fuera")</f>
        <v>0</v>
      </c>
      <c r="J11" s="15" t="n">
        <f aca="false">IF(C11=0,0,D11/C11)</f>
        <v>0</v>
      </c>
    </row>
    <row r="12" customFormat="false" ht="15" hidden="false" customHeight="true" outlineLevel="0" collapsed="false">
      <c r="A12" s="7" t="s">
        <v>61</v>
      </c>
      <c r="B12" s="7" t="s">
        <v>62</v>
      </c>
      <c r="C12" s="7" t="n">
        <f aca="false">COUNTIF(Tandas!$B:$B,A12)</f>
        <v>2</v>
      </c>
      <c r="D12" s="7" t="n">
        <f aca="false">COUNTIFS(Tandas!$B:$B,A12,Tandas!$K:$K,"&lt;&gt;")</f>
        <v>0</v>
      </c>
      <c r="E12" s="7" t="n">
        <f aca="false">COUNTIFS(Tandas!$B:$B,A12,Tandas!$K:$K,"Sí")</f>
        <v>0</v>
      </c>
      <c r="F12" s="7" t="n">
        <f aca="false">COUNTIFS(Tandas!$B:$B,A12,Tandas!$K:$K,"Con cambios")+COUNTIFS(Tandas!$B:$B,A12,Tandas!$K:$K,"Duda")</f>
        <v>0</v>
      </c>
      <c r="G12" s="7" t="n">
        <f aca="false">COUNTIFS(Tandas!$B:$B,A12,Tandas!$K:$K,"No")</f>
        <v>0</v>
      </c>
      <c r="H12" s="7" t="n">
        <f aca="false">COUNTIFS(Tandas!$B:$B,A12,Tandas!$M:$M,"Sube")</f>
        <v>0</v>
      </c>
      <c r="I12" s="7" t="n">
        <f aca="false">COUNTIFS(Tandas!$B:$B,A12,Tandas!$M:$M,"Baja")+COUNTIFS(Tandas!$B:$B,A12,Tandas!$M:$M,"Fuera")</f>
        <v>0</v>
      </c>
      <c r="J12" s="15" t="n">
        <f aca="false">IF(C12=0,0,D12/C12)</f>
        <v>0</v>
      </c>
    </row>
    <row r="13" customFormat="false" ht="15" hidden="false" customHeight="true" outlineLevel="0" collapsed="false">
      <c r="A13" s="16" t="s">
        <v>689</v>
      </c>
      <c r="B13" s="16"/>
      <c r="C13" s="16" t="n">
        <f aca="false">SUM(C2:C12)</f>
        <v>69</v>
      </c>
      <c r="D13" s="16" t="n">
        <f aca="false">SUM(D2:D12)</f>
        <v>0</v>
      </c>
      <c r="E13" s="16" t="n">
        <f aca="false">SUM(E2:E12)</f>
        <v>0</v>
      </c>
      <c r="F13" s="16" t="n">
        <f aca="false">SUM(F2:F12)</f>
        <v>0</v>
      </c>
      <c r="G13" s="16" t="n">
        <f aca="false">SUM(G2:G12)</f>
        <v>0</v>
      </c>
      <c r="H13" s="16" t="n">
        <f aca="false">SUM(H2:H12)</f>
        <v>0</v>
      </c>
      <c r="I13" s="16" t="n">
        <f aca="false">SUM(I2:I12)</f>
        <v>0</v>
      </c>
      <c r="J13" s="17" t="n">
        <f aca="false">IF(C13=0,0,D13/C13)</f>
        <v>0</v>
      </c>
    </row>
    <row r="15" customFormat="false" ht="15" hidden="false" customHeight="true" outlineLevel="0" collapsed="false">
      <c r="A15" s="18" t="s">
        <v>690</v>
      </c>
      <c r="B15" s="13" t="s">
        <v>691</v>
      </c>
      <c r="C15" s="1" t="n">
        <f aca="false">COUNTIF(Gates!$E:$E,"Decidida")</f>
        <v>7</v>
      </c>
      <c r="D15" s="1" t="n">
        <f aca="false">COUNTA(Gates!$A:$A)-1</f>
        <v>32</v>
      </c>
    </row>
    <row r="16" customFormat="false" ht="15" hidden="false" customHeight="true" outlineLevel="0" collapsed="false">
      <c r="A16" s="13" t="s">
        <v>692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2026-09-07T23:43:15Z</dcterms:created>
  <dc:creator>openpyxl</dc:creator>
  <dc:description/>
  <dc:language>en-US</dc:language>
  <cp:lastModifiedBy/>
  <dcterms:modified xsi:type="dcterms:W3CDTF">2026-09-10T21:27:29Z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