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Fases" sheetId="2" state="visible" r:id="rId4"/>
    <sheet name="Épicas" sheetId="3" state="visible" r:id="rId5"/>
    <sheet name="Tandas" sheetId="4" state="visible" r:id="rId6"/>
    <sheet name="Gates" sheetId="5" state="visible" r:id="rId7"/>
    <sheet name="Calendario" sheetId="6" state="visible" r:id="rId8"/>
    <sheet name="Resumen" sheetId="7" state="visible" r:id="rId9"/>
  </sheets>
  <definedNames>
    <definedName function="false" hidden="true" localSheetId="3" name="_xlnm._FilterDatabase" vbProcedure="false">Tandas!$A$1:$P$64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<sst xmlns="http://schemas.openxmlformats.org/spreadsheetml/2006/main" count="988" uniqueCount="539">
  <si>
    <t xml:space="preserve">Desk 2.0 — Plan de fases y tandas de desarrollo · Revisión Man on the Loop (R01.1, 07/09/2026)</t>
  </si>
  <si>
    <t xml:space="preserve">Qué es este libro</t>
  </si>
  <si>
    <t xml:space="preserve">Propuesta de troceo del desarrollo de Desk 2.0 con Claude Code (Spec-Driven Development sobre Gentle-AI + Engram), derivada del Documento Maestro R08.1 y del acta del 03/09/2026. Acompaña al documento «Desk2.0_Plan_Fases_y_Tandas_ClaudeCode_R01». El objetivo de este libro es que Gerencia y el equipo técnico revisen si cada fase, épica y tanda tiene sentido para Ambientalia antes de arrancar.</t>
  </si>
  <si>
    <t xml:space="preserve">Cómo revisarlo</t>
  </si>
  <si>
    <t xml:space="preserve">1. Hoja «Fases»: lea el orden y el alcance de las seis fases. Anote en las columnas amarillas.</t>
  </si>
  <si>
    <t xml:space="preserve">2. Hoja «Épicas»: los bloques dentro de cada fase. Anote en las columnas amarillas.</t>
  </si>
  <si>
    <t xml:space="preserve">3. Hoja «Tandas»: la unidad de trabajo que se le pide a Claude Code (un cambio OpenSpec cada una). Para cada fila responda «¿Tiene sentido?» (Sí / No / Con cambios / Duda), añada comentario, prioridad revisada (Sube / Se mantiene / Baja / Fuera) y, si aplica, la decisión de negocio que la condiciona. Las celdas amarillas son las únicas que se editan; el resto es la propuesta.</t>
  </si>
  <si>
    <t xml:space="preserve">4. Hoja «Gates»: decisiones que abren tandas. Registre la decisión tomada, quién y cuándo. Cuando una decisión se cierra, la tanda pasa de «escrita» a «ejecutable».</t>
  </si>
  <si>
    <t xml:space="preserve">5. Hoja «Calendario»: contraste de la Fase 1 con la meta del 31/12/2026. Las semanas con * en Tandas son estimadas y dependen de la decisión.</t>
  </si>
  <si>
    <t xml:space="preserve">6. Hoja «Resumen»: se calcula sola a partir de sus respuestas (cuántas tandas revisadas, cuántas con objeción por épica).</t>
  </si>
  <si>
    <t xml:space="preserve">Convenciones</t>
  </si>
  <si>
    <t xml:space="preserve">ID de tanda: F&lt;fase&gt;&lt;épica&gt;-&lt;nn&gt;. Tamaño: XS &lt; medio día · S un día · M dos o tres días · L cuatro o cinco días (se parte si no cabe en tres). Semana: número de semana de calendario de 2026 (S37 = 07/09). Fuente: apartado del Documento Maestro R08.1 (Mx.y, Cn = corrección, Pnn = punto abierto del Anexo D, ítem n = backlog §3.2) o acta.</t>
  </si>
  <si>
    <t xml:space="preserve">Ejemplo de fila revisada (columnas amarillas de la hoja Tandas): ¿Tiene sentido? = «Con cambios» · Comentario = «Incluir accesorios por foto ya en F1, no como mejora» · Prioridad revisada = «Sube» · Revisado por = «Johny» · Fecha = 11/09/2026.</t>
  </si>
  <si>
    <t xml:space="preserve">Regla de la sesión (convocatoria 03/09): cada bloque sale con una decisión escrita, o con un responsable y una fecha. Lo que no salga con ninguna de las dos vuelve al Anexo D y bloquea su tanda.</t>
  </si>
  <si>
    <t xml:space="preserve">Fase</t>
  </si>
  <si>
    <t xml:space="preserve">Nombre</t>
  </si>
  <si>
    <t xml:space="preserve">Horizonte</t>
  </si>
  <si>
    <t xml:space="preserve">Duración</t>
  </si>
  <si>
    <t xml:space="preserve">Alcance</t>
  </si>
  <si>
    <t xml:space="preserve">Condición de entrada</t>
  </si>
  <si>
    <t xml:space="preserve">¿Tiene sentido?</t>
  </si>
  <si>
    <t xml:space="preserve">Comentario del revisor</t>
  </si>
  <si>
    <t xml:space="preserve">Prioridad revisada</t>
  </si>
  <si>
    <t xml:space="preserve">Revisado por</t>
  </si>
  <si>
    <t xml:space="preserve">Fecha</t>
  </si>
  <si>
    <t xml:space="preserve">F0</t>
  </si>
  <si>
    <t xml:space="preserve">Cimientos SDD</t>
  </si>
  <si>
    <t xml:space="preserve">S37–S38 (07–18/09/2026)</t>
  </si>
  <si>
    <t xml:space="preserve">1,5 semanas</t>
  </si>
  <si>
    <t xml:space="preserve">Traducir el as-built a specs OpenSpec; CLAUDE.md; Engram; pruebas del motor; staging y CI.</t>
  </si>
  <si>
    <t xml:space="preserve">Ninguna decisión pendiente</t>
  </si>
  <si>
    <t xml:space="preserve">F1</t>
  </si>
  <si>
    <t xml:space="preserve">Réplica del Desk 1.0 + diagnóstico protocolizado + informes (MVP)</t>
  </si>
  <si>
    <t xml:space="preserve">S38–S53 (14/09–31/12/2026)</t>
  </si>
  <si>
    <t xml:space="preserve">15 semanas</t>
  </si>
  <si>
    <t xml:space="preserve">Paridad con Zoho Desk; correcciones C1–C12; motor de checklist dinámico con catálogo importado; módulo de informes; puesta en producción.</t>
  </si>
  <si>
    <t xml:space="preserve">Gates de §4.5 del plan (sesiones de los viernes)</t>
  </si>
  <si>
    <t xml:space="preserve">F2</t>
  </si>
  <si>
    <t xml:space="preserve">Operación interna completa</t>
  </si>
  <si>
    <t xml:space="preserve">2027 · T1</t>
  </si>
  <si>
    <t xml:space="preserve">—</t>
  </si>
  <si>
    <t xml:space="preserve">Kanban y KPIs (OTD, bodegajes), descuento de repuestos, comentarios predefinidos, app móvil responsive sin offline, migración documental.</t>
  </si>
  <si>
    <t xml:space="preserve">Datos limpios de la F1</t>
  </si>
  <si>
    <t xml:space="preserve">F3</t>
  </si>
  <si>
    <t xml:space="preserve">Área de cliente nivel básico y seguridad</t>
  </si>
  <si>
    <t xml:space="preserve">2027 · T2</t>
  </si>
  <si>
    <t xml:space="preserve">C8, ítem 26 (hoja de vida reducida y aprobación en un clic), identidad registrada, nueve puntos de seguridad.</t>
  </si>
  <si>
    <t xml:space="preserve">Etapa independiente (27/08)</t>
  </si>
  <si>
    <t xml:space="preserve">F4</t>
  </si>
  <si>
    <t xml:space="preserve">Eficiencia, capacidad y conocimiento</t>
  </si>
  <si>
    <t xml:space="preserve">2027 · S2</t>
  </si>
  <si>
    <t xml:space="preserve">Inventario transaccional, parámetro de carga y citas, dashboards por rol, capa RAG/KB, firmware, offline, QR/NFC.</t>
  </si>
  <si>
    <t xml:space="preserve">Parámetro de carga antes que agendamiento</t>
  </si>
  <si>
    <t xml:space="preserve">F5</t>
  </si>
  <si>
    <t xml:space="preserve">Promesa, predicción y ecosistema</t>
  </si>
  <si>
    <t xml:space="preserve">2028</t>
  </si>
  <si>
    <t xml:space="preserve">CTP, predicción de carga, agente conversacional, IoT, servicio premium, sustitución total de Zoho Desk.</t>
  </si>
  <si>
    <t xml:space="preserve">MVP con dato estructurado</t>
  </si>
  <si>
    <t xml:space="preserve">Épica</t>
  </si>
  <si>
    <t xml:space="preserve">Semanas</t>
  </si>
  <si>
    <t xml:space="preserve">Contenido</t>
  </si>
  <si>
    <t xml:space="preserve">Nº tandas</t>
  </si>
  <si>
    <t xml:space="preserve">S37–S38</t>
  </si>
  <si>
    <t xml:space="preserve">Auditoría del as-built, specs as-built, Engram, pruebas, staging</t>
  </si>
  <si>
    <t xml:space="preserve">F1A</t>
  </si>
  <si>
    <t xml:space="preserve">Correcciones sin decisión pendiente</t>
  </si>
  <si>
    <t xml:space="preserve">S38</t>
  </si>
  <si>
    <t xml:space="preserve">C1, C11, C12, C9 (parte técnica), auditoría</t>
  </si>
  <si>
    <t xml:space="preserve">F1B</t>
  </si>
  <si>
    <t xml:space="preserve">Paridad funcional con el Desk 1.0</t>
  </si>
  <si>
    <t xml:space="preserve">S39–S44</t>
  </si>
  <si>
    <t xml:space="preserve">Ítems 1, 2, 4–10, 17, 19, 20, 22; flujos equipo nuevo y soporte remoto</t>
  </si>
  <si>
    <t xml:space="preserve">F1C</t>
  </si>
  <si>
    <t xml:space="preserve">Correcciones que cambian el proceso</t>
  </si>
  <si>
    <t xml:space="preserve">S40–S48 (según decisiones)</t>
  </si>
  <si>
    <t xml:space="preserve">C2, C3, C4, C5, C6, C7+C9, C10, rutas abreviadas</t>
  </si>
  <si>
    <t xml:space="preserve">F1D</t>
  </si>
  <si>
    <t xml:space="preserve">Diagnóstico protocolizado con checklist dinámico</t>
  </si>
  <si>
    <t xml:space="preserve">S42–S47</t>
  </si>
  <si>
    <t xml:space="preserve">Modelo del catálogo, importador Excel, macro-fases, validación por macro, encadenamiento No OK, criterio de falla, falla nueva, Horiba</t>
  </si>
  <si>
    <t xml:space="preserve">F1E</t>
  </si>
  <si>
    <t xml:space="preserve">Módulo de informes</t>
  </si>
  <si>
    <t xml:space="preserve">S46–S50</t>
  </si>
  <si>
    <t xml:space="preserve">Informe de diagnóstico y de salida derivados del checklist; validación por dos personas</t>
  </si>
  <si>
    <t xml:space="preserve">F1F</t>
  </si>
  <si>
    <t xml:space="preserve">Puesta en producción</t>
  </si>
  <si>
    <t xml:space="preserve">S50–S53</t>
  </si>
  <si>
    <t xml:space="preserve">Migración de tickets abiertos, respaldo, aceptación, formación, Zoho a solo lectura</t>
  </si>
  <si>
    <t xml:space="preserve">2027 T1</t>
  </si>
  <si>
    <t xml:space="preserve">Ítems 13, 14, 15, 18 (sin offline), 30, 32, 37; comentarios predefinidos; P8/P54</t>
  </si>
  <si>
    <t xml:space="preserve">Área de cliente y seguridad</t>
  </si>
  <si>
    <t xml:space="preserve">2027 T2</t>
  </si>
  <si>
    <t xml:space="preserve">C8, 26, 29, 52; seguridad</t>
  </si>
  <si>
    <t xml:space="preserve">2027 S2</t>
  </si>
  <si>
    <t xml:space="preserve">Ítems 27, 28, 31–60 reordenados</t>
  </si>
  <si>
    <t xml:space="preserve">Ítems 61–76</t>
  </si>
  <si>
    <t xml:space="preserve">ID tanda</t>
  </si>
  <si>
    <t xml:space="preserve">Capacidad (spec)</t>
  </si>
  <si>
    <t xml:space="preserve">Fuente</t>
  </si>
  <si>
    <t xml:space="preserve">Gate (decisión necesaria)</t>
  </si>
  <si>
    <t xml:space="preserve">Tamaño</t>
  </si>
  <si>
    <t xml:space="preserve">Semana</t>
  </si>
  <si>
    <t xml:space="preserve">Decisión / condición</t>
  </si>
  <si>
    <t xml:space="preserve">F0-00</t>
  </si>
  <si>
    <t xml:space="preserve">Auditoría del as-built</t>
  </si>
  <si>
    <t xml:space="preserve">Tanda sin código. sdd-explore con un sub-agente por frente: motor de flujo (34 transiciones/21 estados, hallazgos R04), esquema de datos vs Anexo G y diseños de docs/superpowers, sincronización Zoho, UI (qué replica ya Zoho Desk), pruebas y build (96 ficheros vitest, typecheck, lint), deuda (reclasificar debt.md). Veredicto conservar / refactorizar / rehacer por frente; baseline a Engram.</t>
  </si>
  <si>
    <t xml:space="preserve">todas las as-built</t>
  </si>
  <si>
    <t xml:space="preserve">Anexo H · debt.md · docs/superpowers</t>
  </si>
  <si>
    <t xml:space="preserve">M</t>
  </si>
  <si>
    <t xml:space="preserve">S37</t>
  </si>
  <si>
    <t xml:space="preserve">F0-01</t>
  </si>
  <si>
    <t xml:space="preserve">Init SDD, config, CLAUDE.md y export .md del documento maestro</t>
  </si>
  <si>
    <t xml:space="preserve">sdd-init sobre el repo; openspec/config.yaml (contexto, strict_tdd: true, reglas por fase); CLAUDE.md con las 12 reglas invariables y el mapa documental (§4.7); exportación docs/Manifesto/…_R08.1.md; decidir qué skills de .claude/.agent se conservan.</t>
  </si>
  <si>
    <t xml:space="preserve">Plan §4.4, §4.7</t>
  </si>
  <si>
    <t xml:space="preserve">S</t>
  </si>
  <si>
    <t xml:space="preserve">F0-02</t>
  </si>
  <si>
    <t xml:space="preserve">Specs as-built de las capacidades existentes</t>
  </si>
  <si>
    <t xml:space="preserve">A partir del inventario de F0-00 y de docs/superpowers/specs: specs de transitions-st, permissions, remisiones, zoho-sync, derivacion-avisos, trazas, tickets-core tal como están, con los hallazgos R04 marcados «a corregir en Cx». Superpowers queda como histórico.</t>
  </si>
  <si>
    <t xml:space="preserve">M1.3, M1.9, Anexo G · docs/superpowers</t>
  </si>
  <si>
    <t xml:space="preserve">L</t>
  </si>
  <si>
    <t xml:space="preserve">F0-03</t>
  </si>
  <si>
    <t xml:space="preserve">Proyecto Engram y carga de decisiones</t>
  </si>
  <si>
    <t xml:space="preserve">Proyecto Engram; decisiones cerradas (§1.8 y acta 03/09) como observaciones decision/*; convención de topic_key; evaluar Git Sync.</t>
  </si>
  <si>
    <t xml:space="preserve">§1.8, acta 03/09</t>
  </si>
  <si>
    <t xml:space="preserve">F0-04</t>
  </si>
  <si>
    <t xml:space="preserve">Pruebas del motor, staging y CI</t>
  </si>
  <si>
    <t xml:space="preserve">Pruebas mínimas del motor de transiciones (origen/destino declarados; Finalizado único terminal); staging en VPS Hostinger con PostgreSQL; CI.</t>
  </si>
  <si>
    <t xml:space="preserve">transitions-st</t>
  </si>
  <si>
    <t xml:space="preserve">M11.5</t>
  </si>
  <si>
    <t xml:space="preserve">F1A-01</t>
  </si>
  <si>
    <t xml:space="preserve">C1 · Guarda del checkbox obligatorio</t>
  </si>
  <si>
    <t xml:space="preserve">buildTransitionPlan: error cuando el campo es obligatorio y no llega marcado (debt.md M-2).</t>
  </si>
  <si>
    <t xml:space="preserve">M1.7 · M11.7 · P33</t>
  </si>
  <si>
    <t xml:space="preserve">Ninguno</t>
  </si>
  <si>
    <t xml:space="preserve">XS</t>
  </si>
  <si>
    <t xml:space="preserve">F1A-02</t>
  </si>
  <si>
    <t xml:space="preserve">C11 · SLA de un día sobre Notificado</t>
  </si>
  <si>
    <t xml:space="preserve">SLA existente en Zoho; ampliado con correo redundante al cambiar de área y escalado al superior.</t>
  </si>
  <si>
    <t xml:space="preserve">transitions-st, derivacion-avisos</t>
  </si>
  <si>
    <t xml:space="preserve">M1.7 · P40 · acta 03/09</t>
  </si>
  <si>
    <t xml:space="preserve">F1A-03</t>
  </si>
  <si>
    <t xml:space="preserve">C12 · Salidas de Verificación (equipo nuevo)</t>
  </si>
  <si>
    <t xml:space="preserve">Transiciones aprobada/rechazada desde Verificación antes de construir la rama.</t>
  </si>
  <si>
    <t xml:space="preserve">transitions-equipo-nuevo</t>
  </si>
  <si>
    <t xml:space="preserve">M1.4 · P38</t>
  </si>
  <si>
    <t xml:space="preserve">F1A-04</t>
  </si>
  <si>
    <t xml:space="preserve">C9 · Bodegajes contra Ingreso a Servicio</t>
  </si>
  <si>
    <t xml:space="preserve">Recalcular bodegaje de entrada, inicio de servicio y diagnóstico contra la marca de tiempo de la transición; campo «fecha de aviso al cliente».</t>
  </si>
  <si>
    <t xml:space="preserve">trazas, kpis</t>
  </si>
  <si>
    <t xml:space="preserve">M1.10 · P41</t>
  </si>
  <si>
    <t xml:space="preserve">Definición ya resuelta en R08</t>
  </si>
  <si>
    <t xml:space="preserve">F1A-05</t>
  </si>
  <si>
    <t xml:space="preserve">audit-F1A</t>
  </si>
  <si>
    <t xml:space="preserve">Auditoría de blueprint con IA tras las correcciones; hallazgos al Anexo D.</t>
  </si>
  <si>
    <t xml:space="preserve">M11.6</t>
  </si>
  <si>
    <t xml:space="preserve">F1B-01</t>
  </si>
  <si>
    <t xml:space="preserve">Serial único y autocompletado</t>
  </si>
  <si>
    <t xml:space="preserve">Código único de ticket por serial; serial obligatorio en la remisión; autocompletado de cliente, modelo y OV activas.</t>
  </si>
  <si>
    <t xml:space="preserve">tickets-core, zoho-sync</t>
  </si>
  <si>
    <t xml:space="preserve">Ítems 1, 19 · §1.8 (14/08, 20/08)</t>
  </si>
  <si>
    <t xml:space="preserve">S39</t>
  </si>
  <si>
    <t xml:space="preserve">F1B-02</t>
  </si>
  <si>
    <t xml:space="preserve">Hoja de vida: cuatro campos y enlace a Drive</t>
  </si>
  <si>
    <t xml:space="preserve">Alta por Comercial; fecha de adquisición, fecha de factura, fin de garantía, código interno del cliente (identificador secundario); botón de enlace a la carpeta de Drive (fase 0 de migración).</t>
  </si>
  <si>
    <t xml:space="preserve">hojas-vida</t>
  </si>
  <si>
    <t xml:space="preserve">Ítem 9 · P8 · 27/08</t>
  </si>
  <si>
    <t xml:space="preserve">decision/p8-p54-drive · quién carga los campos</t>
  </si>
  <si>
    <t xml:space="preserve">F1B-03</t>
  </si>
  <si>
    <t xml:space="preserve">Tipo de servicio y ticket sin OV</t>
  </si>
  <si>
    <t xml:space="preserve">Desplegable inicial (Clasificaciones) que oculta pasos; prefijos autogenerados y documentales (P37); comportamiento del ticket sin OV, parametrizado hasta decidir P21.</t>
  </si>
  <si>
    <t xml:space="preserve">tickets-core, transitions-st</t>
  </si>
  <si>
    <t xml:space="preserve">Ítems 2, 20 · P21 · P37</t>
  </si>
  <si>
    <t xml:space="preserve">decision/p21-ingreso-sin-ov</t>
  </si>
  <si>
    <t xml:space="preserve">S40</t>
  </si>
  <si>
    <t xml:space="preserve">F1B-04</t>
  </si>
  <si>
    <t xml:space="preserve">Recepción unificada y fin del texto libre</t>
  </si>
  <si>
    <t xml:space="preserve">Remisión con datos de cliente y equipo; accesorios por lista cerrada; foto sólo con novedad; rotulación y almacenamiento; desplegables en etapas críticas.</t>
  </si>
  <si>
    <t xml:space="preserve">remisiones, tickets-core</t>
  </si>
  <si>
    <t xml:space="preserve">Ítems 4, 10 · acta 03/09 tema 2</t>
  </si>
  <si>
    <t xml:space="preserve">F1B-05</t>
  </si>
  <si>
    <t xml:space="preserve">Roles, traspaso, checkbox comercial y trazas</t>
  </si>
  <si>
    <t xml:space="preserve">Permisos y vistas por área; traspaso formal al cambiar de fase; checkbox «Cumple condiciones comerciales»; fecha, hora y persona en toda transición, sin excepciones.</t>
  </si>
  <si>
    <t xml:space="preserve">permissions, trazas</t>
  </si>
  <si>
    <t xml:space="preserve">Ítems 5, 6, 7 · R08</t>
  </si>
  <si>
    <t xml:space="preserve">S41</t>
  </si>
  <si>
    <t xml:space="preserve">F1B-06</t>
  </si>
  <si>
    <t xml:space="preserve">Blueprints equipo nuevo y soporte remoto</t>
  </si>
  <si>
    <t xml:space="preserve">Flujos M1.4 y M1.5 en transitions.ts con la misma convención; hereda C12. Comercial y posible-cliente se proponen dejar en Zoho CRM en 2026.</t>
  </si>
  <si>
    <t xml:space="preserve">transitions-equipo-nuevo, transitions-soporte-remoto</t>
  </si>
  <si>
    <t xml:space="preserve">M1.4, M1.5, M1.11, M1.12</t>
  </si>
  <si>
    <t xml:space="preserve">decision/flujos-comercial-posible-cliente</t>
  </si>
  <si>
    <t xml:space="preserve">S42</t>
  </si>
  <si>
    <t xml:space="preserve">F1B-07</t>
  </si>
  <si>
    <t xml:space="preserve">Prioridad automática y «Mis tickets»</t>
  </si>
  <si>
    <t xml:space="preserve">High/Low por calificación de cliente y contrato (as-is R05); lista autoordenada; edición bloqueada al técnico.</t>
  </si>
  <si>
    <t xml:space="preserve">tickets-core</t>
  </si>
  <si>
    <t xml:space="preserve">Ítem 8 · R05</t>
  </si>
  <si>
    <t xml:space="preserve">decision/top5-prioridad</t>
  </si>
  <si>
    <t xml:space="preserve">S43</t>
  </si>
  <si>
    <t xml:space="preserve">F1B-08</t>
  </si>
  <si>
    <t xml:space="preserve">Paridad de vistas y política Zoho</t>
  </si>
  <si>
    <t xml:space="preserve">Listado y ficha equivalentes a Zoho Desk; lectura Zoho verificada en tickets, OV y contactos; política de escritura (P44).</t>
  </si>
  <si>
    <t xml:space="preserve">Ítems 17, 22 · P44</t>
  </si>
  <si>
    <t xml:space="preserve">decision/p44-escritura-zoho</t>
  </si>
  <si>
    <t xml:space="preserve">S44</t>
  </si>
  <si>
    <t xml:space="preserve">F1B-09</t>
  </si>
  <si>
    <t xml:space="preserve">audit-F1B</t>
  </si>
  <si>
    <t xml:space="preserve">Auditoría de los tres flujos (servicio técnico, equipo nuevo, soporte remoto).</t>
  </si>
  <si>
    <t xml:space="preserve">F1C-01</t>
  </si>
  <si>
    <t xml:space="preserve">C2 · Estado Anulado con motivo</t>
  </si>
  <si>
    <t xml:space="preserve">Terminal Anulado con motivo tipificado; excluido de las tres métricas de servicios cumplidos; tratamiento del histórico.</t>
  </si>
  <si>
    <t xml:space="preserve">transitions-st, kpis</t>
  </si>
  <si>
    <t xml:space="preserve">M1.10 · P32</t>
  </si>
  <si>
    <t xml:space="preserve">decision/c2-anulado</t>
  </si>
  <si>
    <t xml:space="preserve">S40*</t>
  </si>
  <si>
    <t xml:space="preserve">F1C-02</t>
  </si>
  <si>
    <t xml:space="preserve">C4 · Dos ramas facturar/entregar</t>
  </si>
  <si>
    <t xml:space="preserve">Elimina el ciclo; estado Pendiente de facturar; conserva la primera fecha de remisión de salida.</t>
  </si>
  <si>
    <t xml:space="preserve">M1.3.5 · P34 · P6</t>
  </si>
  <si>
    <t xml:space="preserve">decision/c4-dos-ramas</t>
  </si>
  <si>
    <t xml:space="preserve">S41*</t>
  </si>
  <si>
    <t xml:space="preserve">F1C-03</t>
  </si>
  <si>
    <t xml:space="preserve">C3 · Salida de las cuatro esperas</t>
  </si>
  <si>
    <t xml:space="preserve">Transición de escape con caducidad; vía de escape manual con traza y motivo.</t>
  </si>
  <si>
    <t xml:space="preserve">M1.3.4 · P31</t>
  </si>
  <si>
    <t xml:space="preserve">decision/c3-salida-esperas</t>
  </si>
  <si>
    <t xml:space="preserve">S43*</t>
  </si>
  <si>
    <t xml:space="preserve">F1C-04</t>
  </si>
  <si>
    <t xml:space="preserve">C5 · Tipo de evento por transición</t>
  </si>
  <si>
    <t xml:space="preserve">Atributo operativo/decisional/logístico en las 34 transiciones; desambiguar «Creación de informe».</t>
  </si>
  <si>
    <t xml:space="preserve">M1.8 · P35</t>
  </si>
  <si>
    <t xml:space="preserve">decision/c5-tipo-evento</t>
  </si>
  <si>
    <t xml:space="preserve">S44*</t>
  </si>
  <si>
    <t xml:space="preserve">F1C-05</t>
  </si>
  <si>
    <t xml:space="preserve">C10 · Permisos por cargo y propietario</t>
  </si>
  <si>
    <t xml:space="preserve">Tres niveles: área, cargo, propietario del registro; Liberación sin factura exclusiva del gerente comercial.</t>
  </si>
  <si>
    <t xml:space="preserve">permissions</t>
  </si>
  <si>
    <t xml:space="preserve">M1.9.1 · P39</t>
  </si>
  <si>
    <t xml:space="preserve">decision/c10-permisos-cargo</t>
  </si>
  <si>
    <t xml:space="preserve">F1C-06</t>
  </si>
  <si>
    <t xml:space="preserve">C7 + C9 · Esperas que paran el reloj</t>
  </si>
  <si>
    <t xml:space="preserve">Sub-estados de pausa; los tres bodegajes como tiempo a descontar del SLA.</t>
  </si>
  <si>
    <t xml:space="preserve">M1.10 · M1.6c</t>
  </si>
  <si>
    <t xml:space="preserve">decision/c7-reloj-sla</t>
  </si>
  <si>
    <t xml:space="preserve">S46*</t>
  </si>
  <si>
    <t xml:space="preserve">F1C-07</t>
  </si>
  <si>
    <t xml:space="preserve">C6 · QA/QC antes de la liberación</t>
  </si>
  <si>
    <t xml:space="preserve">Etapa de QA con retrabajo; base de las validaciones con firma; depende de C12.</t>
  </si>
  <si>
    <t xml:space="preserve">M9.1</t>
  </si>
  <si>
    <t xml:space="preserve">decision/c6-qa-liberacion</t>
  </si>
  <si>
    <t xml:space="preserve">S47*</t>
  </si>
  <si>
    <t xml:space="preserve">F1C-08</t>
  </si>
  <si>
    <t xml:space="preserve">Rutas abreviadas</t>
  </si>
  <si>
    <t xml:space="preserve">Equipo sin novedades y calibración directa.</t>
  </si>
  <si>
    <t xml:space="preserve">M1.6 · P15 · P59</t>
  </si>
  <si>
    <t xml:space="preserve">decision/p15-p59-rutas</t>
  </si>
  <si>
    <t xml:space="preserve">S48*</t>
  </si>
  <si>
    <t xml:space="preserve">F1D-01</t>
  </si>
  <si>
    <t xml:space="preserve">Modelo de datos del catálogo</t>
  </si>
  <si>
    <t xml:space="preserve">Fase → nivel macro → subnivel → ítem; por ítem: qué, cómo, tipo de dato y límites, obligatoriedad, criterio de falla, evidencia, repuesto, acción si No OK, ítems relacionados, comentario de falla; versionado por marca-modelo.</t>
  </si>
  <si>
    <t xml:space="preserve">diagnostico-checklist</t>
  </si>
  <si>
    <t xml:space="preserve">M2.2 · acta 03/09 tema 3 · Excel GRIMM v9</t>
  </si>
  <si>
    <t xml:space="preserve">Ninguno (estructura validada 03/09)</t>
  </si>
  <si>
    <t xml:space="preserve">F1D-02</t>
  </si>
  <si>
    <t xml:space="preserve">Importador desde Excel</t>
  </si>
  <si>
    <t xml:space="preserve">Carga del catálogo (GRIMM EDM180 v9, Horiba APxA-370) con validación y reporte de filas rechazadas; reentrante.</t>
  </si>
  <si>
    <t xml:space="preserve">M2.1 (plantillas Excel)</t>
  </si>
  <si>
    <t xml:space="preserve">Versión depurada del Excel (11/09); se puede importar v9</t>
  </si>
  <si>
    <t xml:space="preserve">F1D-03</t>
  </si>
  <si>
    <t xml:space="preserve">Niveles macro (N1) como transiciones internas</t>
  </si>
  <si>
    <t xml:space="preserve">Transiciones dentro de Rev./Diagnostico generadas desde el N1 del catálogo importado (los ocho N1 del GRIMM o su agrupación en las cuatro macro-fases, según P45); N2/N3 son los checkpoints; el equipo sin novedades recorre las macros.</t>
  </si>
  <si>
    <t xml:space="preserve">transitions-st, diagnostico-checklist</t>
  </si>
  <si>
    <t xml:space="preserve">M2.1 · P59 · docs/inspecciones</t>
  </si>
  <si>
    <t xml:space="preserve">decision/p45-macro-fases (¿transición = N1 o macro-fase?)</t>
  </si>
  <si>
    <t xml:space="preserve">F1D-04</t>
  </si>
  <si>
    <t xml:space="preserve">Captura por visita y validación por macro</t>
  </si>
  <si>
    <t xml:space="preserve">Macro OK → subniveles conformes; No OK → despliegue del detalle; OK/No OK obligatorio para transicionar; valores con rango; foto sólo con novedad.</t>
  </si>
  <si>
    <t xml:space="preserve">M2.3 · acta 03/09</t>
  </si>
  <si>
    <t xml:space="preserve">S45</t>
  </si>
  <si>
    <t xml:space="preserve">F1D-05</t>
  </si>
  <si>
    <t xml:space="preserve">Encadenamiento No OK</t>
  </si>
  <si>
    <t xml:space="preserve">Activación de ítems relacionados (tabla origen → destino como «Flujo No OK 2»); rama activa; acción sugerida; traza de activación.</t>
  </si>
  <si>
    <t xml:space="preserve">Excel v7/v9 · tarea Gerencia 11/09</t>
  </si>
  <si>
    <t xml:space="preserve">S46</t>
  </si>
  <si>
    <t xml:space="preserve">F1D-06</t>
  </si>
  <si>
    <t xml:space="preserve">Criterio de falla en acción y repuestos por etapa</t>
  </si>
  <si>
    <t xml:space="preserve">Alerta registra; Cobrable genera línea de cotización (repuesto + horas); Bloqueante impide liberar; sólo repuestos de la etapa (Zoho Books por categoría).</t>
  </si>
  <si>
    <t xml:space="preserve">diagnostico-checklist, inventario-lectura</t>
  </si>
  <si>
    <t xml:space="preserve">M2.2 · M2.3 R08 · ítem 12</t>
  </si>
  <si>
    <t xml:space="preserve">F1D-07</t>
  </si>
  <si>
    <t xml:space="preserve">Formulario de falla nueva</t>
  </si>
  <si>
    <t xml:space="preserve">Formulario condicional con la misma estructura del catálogo; alimenta la base de conocimiento; bloqueante o aviso según decisión.</t>
  </si>
  <si>
    <t xml:space="preserve">Acta 03/09 tema 5</t>
  </si>
  <si>
    <t xml:space="preserve">decision/falla-nueva-bloqueante (Gustavo)</t>
  </si>
  <si>
    <t xml:space="preserve">S47</t>
  </si>
  <si>
    <t xml:space="preserve">F1D-08</t>
  </si>
  <si>
    <t xml:space="preserve">Segundo equipo (Horiba APxA-370)</t>
  </si>
  <si>
    <t xml:space="preserve">Importar y recorrer un Horiba para demostrar que incorporar un equipo es configuración.</t>
  </si>
  <si>
    <t xml:space="preserve">Acta 03/09 (macros coinciden)</t>
  </si>
  <si>
    <t xml:space="preserve">Catálogo Horiba depurado</t>
  </si>
  <si>
    <t xml:space="preserve">F1D-09</t>
  </si>
  <si>
    <t xml:space="preserve">audit-F1D</t>
  </si>
  <si>
    <t xml:space="preserve">Coherencia macro-transiciones ↔ catálogo; ítems sin criterio; ramas sin salida.</t>
  </si>
  <si>
    <t xml:space="preserve">F1E-01</t>
  </si>
  <si>
    <t xml:space="preserve">Modelo del informe</t>
  </si>
  <si>
    <t xml:space="preserve">Tres bloques (estado inicial, diagnóstico, repuestos); campos abiertos en F1; comentario de falla volcado automáticamente ante No OK.</t>
  </si>
  <si>
    <t xml:space="preserve">informes</t>
  </si>
  <si>
    <t xml:space="preserve">Acta 03/09 tema 6 · M2.5</t>
  </si>
  <si>
    <t xml:space="preserve">decision/p14-remisiones-entrada</t>
  </si>
  <si>
    <t xml:space="preserve">F1E-02</t>
  </si>
  <si>
    <t xml:space="preserve">Informe de diagnóstico</t>
  </si>
  <si>
    <t xml:space="preserve">Generación por plantilla desde ticket + checklist; nomenclatura legible por comentario, sin diccionario aparte.</t>
  </si>
  <si>
    <t xml:space="preserve">M2.5 · acta 03/09</t>
  </si>
  <si>
    <t xml:space="preserve">F1E-03</t>
  </si>
  <si>
    <t xml:space="preserve">Informe de salida con motivos tipificados</t>
  </si>
  <si>
    <t xml:space="preserve">Rojo → verde si se corrigió; rojo con motivo (cliente no aprueba · repuesto inexistente · sin solución); evidencia; conclusión derivada.</t>
  </si>
  <si>
    <t xml:space="preserve">M2.5 (27/08)</t>
  </si>
  <si>
    <t xml:space="preserve">C2 recomendado antes</t>
  </si>
  <si>
    <t xml:space="preserve">S48</t>
  </si>
  <si>
    <t xml:space="preserve">F1E-04</t>
  </si>
  <si>
    <t xml:space="preserve">Validación por dos personas y firma</t>
  </si>
  <si>
    <t xml:space="preserve">Revisión ligada a roles; firma automática por etapa; informe emitido inmutable en la hoja de vida.</t>
  </si>
  <si>
    <t xml:space="preserve">informes, permissions</t>
  </si>
  <si>
    <t xml:space="preserve">P10 · M9.1</t>
  </si>
  <si>
    <t xml:space="preserve">decision/roles-validacion-informe</t>
  </si>
  <si>
    <t xml:space="preserve">S49</t>
  </si>
  <si>
    <t xml:space="preserve">F1E-05</t>
  </si>
  <si>
    <t xml:space="preserve">Flujo del informe en el documento maestro</t>
  </si>
  <si>
    <t xml:space="preserve">Entregable documental (compromiso 27/08) reflejado en la spec informes.</t>
  </si>
  <si>
    <t xml:space="preserve">Entregable 3</t>
  </si>
  <si>
    <t xml:space="preserve">doc</t>
  </si>
  <si>
    <t xml:space="preserve">S50</t>
  </si>
  <si>
    <t xml:space="preserve">F1F-01</t>
  </si>
  <si>
    <t xml:space="preserve">Migración de tickets abiertos y fecha de corte</t>
  </si>
  <si>
    <t xml:space="preserve">Tickets abiertos de Zoho Desk al estado equivalente; regla de corte.</t>
  </si>
  <si>
    <t xml:space="preserve">zoho-sync, tickets-core</t>
  </si>
  <si>
    <t xml:space="preserve">decision/fecha-corte</t>
  </si>
  <si>
    <t xml:space="preserve">F1F-02</t>
  </si>
  <si>
    <t xml:space="preserve">Respaldo y continuidad</t>
  </si>
  <si>
    <t xml:space="preserve">Exportación periódica de PostgreSQL, adjuntos e informes; formato y periodicidad (M12.8 propuesto).</t>
  </si>
  <si>
    <t xml:space="preserve">Convocatoria 03/09</t>
  </si>
  <si>
    <t xml:space="preserve">decision/p55-backup</t>
  </si>
  <si>
    <t xml:space="preserve">S51</t>
  </si>
  <si>
    <t xml:space="preserve">F1F-03</t>
  </si>
  <si>
    <t xml:space="preserve">Aceptación con servicios reales</t>
  </si>
  <si>
    <t xml:space="preserve">Dos o tres servicios reales con Servicio Técnico; ajustes.</t>
  </si>
  <si>
    <t xml:space="preserve">Recomendación Excel v9</t>
  </si>
  <si>
    <t xml:space="preserve">S51–S52</t>
  </si>
  <si>
    <t xml:space="preserve">F1F-04</t>
  </si>
  <si>
    <t xml:space="preserve">Formación, Zoho a solo lectura, audit-F1</t>
  </si>
  <si>
    <t xml:space="preserve">Formación breve; Zoho Desk a solo lectura; auditoría final; Anexo H.</t>
  </si>
  <si>
    <t xml:space="preserve">S53</t>
  </si>
  <si>
    <t xml:space="preserve">F2-01</t>
  </si>
  <si>
    <t xml:space="preserve">Dashboard operativo Kanban</t>
  </si>
  <si>
    <t xml:space="preserve">WIP por etapa y riesgo de compromiso.</t>
  </si>
  <si>
    <t xml:space="preserve">kpis</t>
  </si>
  <si>
    <t xml:space="preserve">Ítem 13</t>
  </si>
  <si>
    <t xml:space="preserve">Datos F1</t>
  </si>
  <si>
    <t xml:space="preserve">F2-02</t>
  </si>
  <si>
    <t xml:space="preserve">KPIs de OTD y lead times</t>
  </si>
  <si>
    <t xml:space="preserve">OTD, lead time total y de cotización; tres bodegajes; Anulado excluido.</t>
  </si>
  <si>
    <t xml:space="preserve">Ítem 14 · C9</t>
  </si>
  <si>
    <t xml:space="preserve">C2</t>
  </si>
  <si>
    <t xml:space="preserve">F2-03</t>
  </si>
  <si>
    <t xml:space="preserve">Descuento de repuesto usado</t>
  </si>
  <si>
    <t xml:space="preserve">Sobre orden aprobada.</t>
  </si>
  <si>
    <t xml:space="preserve">inventario</t>
  </si>
  <si>
    <t xml:space="preserve">Ítem 15</t>
  </si>
  <si>
    <t xml:space="preserve">P44</t>
  </si>
  <si>
    <t xml:space="preserve">F2-04</t>
  </si>
  <si>
    <t xml:space="preserve">Comentarios predefinidos</t>
  </si>
  <si>
    <t xml:space="preserve">A partir del análisis de ~90 tickets (tres lotes de 30).</t>
  </si>
  <si>
    <t xml:space="preserve">informes, diagnostico-checklist</t>
  </si>
  <si>
    <t xml:space="preserve">Acta 03/09 tema 6</t>
  </si>
  <si>
    <t xml:space="preserve">Volumen de tickets</t>
  </si>
  <si>
    <t xml:space="preserve">F2-05</t>
  </si>
  <si>
    <t xml:space="preserve">Liberación de mesa y solicitud automática de materiales</t>
  </si>
  <si>
    <t xml:space="preserve">Cola de espera sin aprobación en plazo; solicitud al entrar en espera de repuesto.</t>
  </si>
  <si>
    <t xml:space="preserve">Ítems 30, 32</t>
  </si>
  <si>
    <t xml:space="preserve">F2-06</t>
  </si>
  <si>
    <t xml:space="preserve">App móvil/tablet responsive</t>
  </si>
  <si>
    <t xml:space="preserve">Checklists, fotos y firma; sin offline.</t>
  </si>
  <si>
    <t xml:space="preserve">Ítem 18</t>
  </si>
  <si>
    <t xml:space="preserve">F2-07</t>
  </si>
  <si>
    <t xml:space="preserve">Migración del histórico documental y Drive</t>
  </si>
  <si>
    <t xml:space="preserve">Herramienta independiente; convivencia con Drive.</t>
  </si>
  <si>
    <t xml:space="preserve">P8 · P54</t>
  </si>
  <si>
    <t xml:space="preserve">Responsable</t>
  </si>
  <si>
    <t xml:space="preserve">F2-08</t>
  </si>
  <si>
    <t xml:space="preserve">Calendario de vencimientos de calibración</t>
  </si>
  <si>
    <t xml:space="preserve">Interno, Grimm.</t>
  </si>
  <si>
    <t xml:space="preserve">Ítem 37</t>
  </si>
  <si>
    <t xml:space="preserve">F3-01</t>
  </si>
  <si>
    <t xml:space="preserve">C8 · Estados → etapas visibles del portal</t>
  </si>
  <si>
    <t xml:space="preserve">Traducción de los 21 estados.</t>
  </si>
  <si>
    <t xml:space="preserve">portal</t>
  </si>
  <si>
    <t xml:space="preserve">C8 · M8.2</t>
  </si>
  <si>
    <t xml:space="preserve">F3-02</t>
  </si>
  <si>
    <t xml:space="preserve">Área de cliente nivel básico</t>
  </si>
  <si>
    <t xml:space="preserve">Hoja de vida reducida, seguimiento, aprobación de cotizaciones en un clic (piloto con contratos).</t>
  </si>
  <si>
    <t xml:space="preserve">Ítems 26, 29 · M8.2, M8.3, M8.6</t>
  </si>
  <si>
    <t xml:space="preserve">Seguridad previa</t>
  </si>
  <si>
    <t xml:space="preserve">F3-03</t>
  </si>
  <si>
    <t xml:space="preserve">Identidad registrada y seguridad</t>
  </si>
  <si>
    <t xml:space="preserve">OAuth2/OIDC; ciclo de vida de usuarios del cliente; MFA; certificados no enumerables; firmware; filtro KBI/KBE; datos personales; incidentes; sesiones; revisión previa.</t>
  </si>
  <si>
    <t xml:space="preserve">portal, permissions</t>
  </si>
  <si>
    <t xml:space="preserve">Ítem 52 · convocatoria 03/09</t>
  </si>
  <si>
    <t xml:space="preserve">F4-01</t>
  </si>
  <si>
    <t xml:space="preserve">Inventario transaccional</t>
  </si>
  <si>
    <t xml:space="preserve">Reserva soft/hard, punto de pedido, alertas.</t>
  </si>
  <si>
    <t xml:space="preserve">Ítems 31, 34</t>
  </si>
  <si>
    <t xml:space="preserve">F4-02</t>
  </si>
  <si>
    <t xml:space="preserve">Parámetro de carga y calendario de citas</t>
  </si>
  <si>
    <t xml:space="preserve">Carga del ST; slots del banco de calibración.</t>
  </si>
  <si>
    <t xml:space="preserve">capacidad</t>
  </si>
  <si>
    <t xml:space="preserve">Ítems 35, 36</t>
  </si>
  <si>
    <t xml:space="preserve">F4-03</t>
  </si>
  <si>
    <t xml:space="preserve">Dashboards por rol y cuellos de botella</t>
  </si>
  <si>
    <t xml:space="preserve">Dirección, comercial, planificador, técnico; análisis de esperas.</t>
  </si>
  <si>
    <t xml:space="preserve">Ítems 41, 43</t>
  </si>
  <si>
    <t xml:space="preserve">F4-04</t>
  </si>
  <si>
    <t xml:space="preserve">Capa RAG / KB y copiloto</t>
  </si>
  <si>
    <t xml:space="preserve">pgvector o «LLM wiki»; KBI/KBE; copiloto interno; KB Externa publicada; firmware.</t>
  </si>
  <si>
    <t xml:space="preserve">conocimiento</t>
  </si>
  <si>
    <t xml:space="preserve">Ítems 53–56 · P27</t>
  </si>
  <si>
    <t xml:space="preserve">Vía elegida</t>
  </si>
  <si>
    <t xml:space="preserve">F4-05</t>
  </si>
  <si>
    <t xml:space="preserve">Agendamiento, offline, QR/NFC</t>
  </si>
  <si>
    <t xml:space="preserve">Citas (tras el 35); offline con conflictos; QR/NFC en recepción.</t>
  </si>
  <si>
    <t xml:space="preserve">portal, diagnostico-checklist</t>
  </si>
  <si>
    <t xml:space="preserve">Ítems 27, 28, 50, 57</t>
  </si>
  <si>
    <t xml:space="preserve">Parámetro de carga</t>
  </si>
  <si>
    <t xml:space="preserve">F5-01</t>
  </si>
  <si>
    <t xml:space="preserve">CTP y predicción</t>
  </si>
  <si>
    <t xml:space="preserve">Simulador de fecha con capacidad finita; predicción de carga y compras.</t>
  </si>
  <si>
    <t xml:space="preserve">capacidad, kpis</t>
  </si>
  <si>
    <t xml:space="preserve">Ítems 61–64</t>
  </si>
  <si>
    <t xml:space="preserve">F5-02</t>
  </si>
  <si>
    <t xml:space="preserve">Agente conversacional, IoT, premium</t>
  </si>
  <si>
    <t xml:space="preserve">Agente sobre KB Externa; telemetría; servicio premium; sustitución total de Zoho Desk.</t>
  </si>
  <si>
    <t xml:space="preserve">portal, conocimiento</t>
  </si>
  <si>
    <t xml:space="preserve">Ítems 66, 70, 71, 76</t>
  </si>
  <si>
    <t xml:space="preserve">* Semana estimada: la tanda se ejecuta cuando la decisión del gate esté escrita (hoja Gates). Fuente de todas las filas: Documento Maestro R08.1 y acta del 03/09/2026; propuesta de Gerencia con apoyo de Claude, 07/09/2026.</t>
  </si>
  <si>
    <t xml:space="preserve">Clave Engram</t>
  </si>
  <si>
    <t xml:space="preserve">Decisión necesaria</t>
  </si>
  <si>
    <t xml:space="preserve">Tanda(s) que abre</t>
  </si>
  <si>
    <t xml:space="preserve">Sesión prevista</t>
  </si>
  <si>
    <t xml:space="preserve">Estado</t>
  </si>
  <si>
    <t xml:space="preserve">Decisión tomada</t>
  </si>
  <si>
    <t xml:space="preserve">Decidido por</t>
  </si>
  <si>
    <t xml:space="preserve">Fecha de decisión</t>
  </si>
  <si>
    <t xml:space="preserve">Comentario</t>
  </si>
  <si>
    <t xml:space="preserve">OV obligatoria desde el inicio o estado provisional</t>
  </si>
  <si>
    <t xml:space="preserve">11/09/2026</t>
  </si>
  <si>
    <t xml:space="preserve">Pendiente</t>
  </si>
  <si>
    <t xml:space="preserve">decision/p8-p54-drive</t>
  </si>
  <si>
    <t xml:space="preserve">Botón de enlace a Drive como fase 0; convivencia con Drive</t>
  </si>
  <si>
    <t xml:space="preserve">decision/p45-macro-fases</t>
  </si>
  <si>
    <t xml:space="preserve">Juego de macro-fases común a todas las marcas</t>
  </si>
  <si>
    <t xml:space="preserve">11/09/2026 (Johny)</t>
  </si>
  <si>
    <t xml:space="preserve">Alcance de M1.11 y M1.12 en Desk 2.0</t>
  </si>
  <si>
    <t xml:space="preserve">Si los Top 5 entran en la prioridad automática</t>
  </si>
  <si>
    <t xml:space="preserve">Quién escribe remisiones_entrada</t>
  </si>
  <si>
    <t xml:space="preserve">Estado Anulado; tratamiento del histórico</t>
  </si>
  <si>
    <t xml:space="preserve">F1C-01 (protege F1E-03)</t>
  </si>
  <si>
    <t xml:space="preserve">11/09 o 18/09/2026</t>
  </si>
  <si>
    <t xml:space="preserve">Dos ramas; si Facturado es estado</t>
  </si>
  <si>
    <t xml:space="preserve">18/09/2026</t>
  </si>
  <si>
    <t xml:space="preserve">Destino y caducidad de las cuatro esperas</t>
  </si>
  <si>
    <t xml:space="preserve">Desambiguar «Creación de informe»</t>
  </si>
  <si>
    <t xml:space="preserve">Matriz cargo × transición</t>
  </si>
  <si>
    <t xml:space="preserve">25/09/2026</t>
  </si>
  <si>
    <t xml:space="preserve">Estados que paran el reloj</t>
  </si>
  <si>
    <t xml:space="preserve">Etapa de QA y firmas</t>
  </si>
  <si>
    <t xml:space="preserve">Octubre 2026</t>
  </si>
  <si>
    <t xml:space="preserve">decision/falla-nueva-bloqueante</t>
  </si>
  <si>
    <t xml:space="preserve">Si el formulario de falla nueva bloquea</t>
  </si>
  <si>
    <t xml:space="preserve">Gustavo, sin fecha</t>
  </si>
  <si>
    <t xml:space="preserve">Las dos personas que validan el informe</t>
  </si>
  <si>
    <t xml:space="preserve">Política de escritura contra Zoho</t>
  </si>
  <si>
    <t xml:space="preserve">Responsable, alcance y periodicidad del respaldo</t>
  </si>
  <si>
    <t xml:space="preserve">Antes de noviembre</t>
  </si>
  <si>
    <t xml:space="preserve">Desde cuándo los tickets nacen en la app</t>
  </si>
  <si>
    <t xml:space="preserve">Noviembre 2026</t>
  </si>
  <si>
    <t xml:space="preserve">Lunes</t>
  </si>
  <si>
    <t xml:space="preserve">F0 + 1A</t>
  </si>
  <si>
    <t xml:space="preserve">1B Paridad</t>
  </si>
  <si>
    <t xml:space="preserve">1C Correcciones (según decisión)</t>
  </si>
  <si>
    <t xml:space="preserve">1D Diagnóstico</t>
  </si>
  <si>
    <t xml:space="preserve">1E Informes</t>
  </si>
  <si>
    <t xml:space="preserve">1F Producción</t>
  </si>
  <si>
    <t xml:space="preserve">Observación del revisor</t>
  </si>
  <si>
    <t xml:space="preserve">07/09</t>
  </si>
  <si>
    <t xml:space="preserve">F0-00 · F0-01 · F0-03</t>
  </si>
  <si>
    <t xml:space="preserve">14/09</t>
  </si>
  <si>
    <t xml:space="preserve">F0-02 · F0-04 · F1A-01…05</t>
  </si>
  <si>
    <t xml:space="preserve">21/09</t>
  </si>
  <si>
    <t xml:space="preserve">F1B-01 · F1B-02</t>
  </si>
  <si>
    <t xml:space="preserve">28/09</t>
  </si>
  <si>
    <t xml:space="preserve">F1B-03 · F1B-04</t>
  </si>
  <si>
    <t xml:space="preserve">C2 (si decidido)</t>
  </si>
  <si>
    <t xml:space="preserve">05/10</t>
  </si>
  <si>
    <t xml:space="preserve">C4</t>
  </si>
  <si>
    <t xml:space="preserve">12/10</t>
  </si>
  <si>
    <t xml:space="preserve">19/10</t>
  </si>
  <si>
    <t xml:space="preserve">C3</t>
  </si>
  <si>
    <t xml:space="preserve">26/10</t>
  </si>
  <si>
    <t xml:space="preserve">F1B-08 · F1B-09</t>
  </si>
  <si>
    <t xml:space="preserve">C5 · C10</t>
  </si>
  <si>
    <t xml:space="preserve">02/11</t>
  </si>
  <si>
    <t xml:space="preserve">09/11</t>
  </si>
  <si>
    <t xml:space="preserve">C7+C9</t>
  </si>
  <si>
    <t xml:space="preserve">F1D-05 · F1D-06</t>
  </si>
  <si>
    <t xml:space="preserve">16/11</t>
  </si>
  <si>
    <t xml:space="preserve">C6</t>
  </si>
  <si>
    <t xml:space="preserve">F1D-07 · F1D-08 · F1D-09</t>
  </si>
  <si>
    <t xml:space="preserve">23/11</t>
  </si>
  <si>
    <t xml:space="preserve">30/11</t>
  </si>
  <si>
    <t xml:space="preserve">07/12</t>
  </si>
  <si>
    <t xml:space="preserve">14/12</t>
  </si>
  <si>
    <t xml:space="preserve">F1F-02 · F1F-03</t>
  </si>
  <si>
    <t xml:space="preserve">S52</t>
  </si>
  <si>
    <t xml:space="preserve">21/12</t>
  </si>
  <si>
    <t xml:space="preserve">F1F-03 · F1F-04</t>
  </si>
  <si>
    <t xml:space="preserve">28/12</t>
  </si>
  <si>
    <t xml:space="preserve">Margen · meta 31/12</t>
  </si>
  <si>
    <t xml:space="preserve">Lectura: cabe, sin holgura. 1C fuera de la ruta crítica salvo C2 (conviene antes de F1E-03). 1D y 1E se solapan porque el modelo del informe sólo necesita el modelo del catálogo. F1B-06 es recortable a un flujo y F1D-08 (Horiba) diferible a enero si hay que ganar una semana. Fuera del 31/12: área de cliente, app móvil con offline, OCR/QR/NFC, comentarios predefinidos.</t>
  </si>
  <si>
    <t xml:space="preserve">Tandas propuestas</t>
  </si>
  <si>
    <t xml:space="preserve">Revisadas</t>
  </si>
  <si>
    <t xml:space="preserve">Sí</t>
  </si>
  <si>
    <t xml:space="preserve">Con cambios / Duda</t>
  </si>
  <si>
    <t xml:space="preserve">No</t>
  </si>
  <si>
    <t xml:space="preserve">Sube</t>
  </si>
  <si>
    <t xml:space="preserve">Baja / Fuera</t>
  </si>
  <si>
    <t xml:space="preserve">% revisado</t>
  </si>
  <si>
    <t xml:space="preserve">Total</t>
  </si>
  <si>
    <t xml:space="preserve">Gates decididos</t>
  </si>
  <si>
    <t xml:space="preserve">decididos / total</t>
  </si>
  <si>
    <t xml:space="preserve">Se calcula solo a partir de las columnas amarillas de Tandas y Gates.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</si>
</sst>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FFFCC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699"/>
      <rgbColor rgb="FFFFF2CC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2"/>
    </row>
    <row r="3" customFormat="false" ht="15" hidden="false" customHeight="true" outlineLevel="0" collapsed="false">
      <c r="A3" s="3" t="s">
        <v>1</v>
      </c>
    </row>
    <row r="4" customFormat="false" ht="60" hidden="false" customHeight="true" outlineLevel="0" collapsed="false">
      <c r="A4" s="2" t="s">
        <v>2</v>
      </c>
    </row>
    <row r="5" customFormat="false" ht="15" hidden="false" customHeight="true" outlineLevel="0" collapsed="false">
      <c r="A5" s="2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2" t="s">
        <v>4</v>
      </c>
    </row>
    <row r="8" customFormat="false" ht="15" hidden="false" customHeight="true" outlineLevel="0" collapsed="false">
      <c r="A8" s="2" t="s">
        <v>5</v>
      </c>
    </row>
    <row r="9" customFormat="false" ht="60" hidden="false" customHeight="true" outlineLevel="0" collapsed="false">
      <c r="A9" s="2" t="s">
        <v>6</v>
      </c>
    </row>
    <row r="10" customFormat="false" ht="30" hidden="false" customHeight="true" outlineLevel="0" collapsed="false">
      <c r="A10" s="2" t="s">
        <v>7</v>
      </c>
    </row>
    <row r="11" customFormat="false" ht="30" hidden="false" customHeight="true" outlineLevel="0" collapsed="false">
      <c r="A11" s="2" t="s">
        <v>8</v>
      </c>
    </row>
    <row r="12" customFormat="false" ht="30" hidden="false" customHeight="true" outlineLevel="0" collapsed="false">
      <c r="A12" s="2" t="s">
        <v>9</v>
      </c>
    </row>
    <row r="13" customFormat="false" ht="15" hidden="false" customHeight="true" outlineLevel="0" collapsed="false">
      <c r="A13" s="2"/>
    </row>
    <row r="14" customFormat="false" ht="15" hidden="false" customHeight="true" outlineLevel="0" collapsed="false">
      <c r="A14" s="3" t="s">
        <v>10</v>
      </c>
    </row>
    <row r="15" customFormat="false" ht="45" hidden="false" customHeight="true" outlineLevel="0" collapsed="false">
      <c r="A15" s="2" t="s">
        <v>11</v>
      </c>
    </row>
    <row r="16" customFormat="false" ht="45" hidden="false" customHeight="true" outlineLevel="0" collapsed="false">
      <c r="A16" s="2" t="s">
        <v>12</v>
      </c>
    </row>
    <row r="17" customFormat="false" ht="15" hidden="false" customHeight="true" outlineLevel="0" collapsed="false">
      <c r="A17" s="2"/>
    </row>
    <row r="18" customFormat="false" ht="30" hidden="false" customHeight="tru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customFormat="false" ht="22.35" hidden="false" customHeight="false" outlineLevel="0" collapsed="false">
      <c r="A2" s="5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7"/>
      <c r="H2" s="7"/>
      <c r="I2" s="7"/>
      <c r="J2" s="7"/>
      <c r="K2" s="7"/>
    </row>
    <row r="3" customFormat="false" ht="22.35" hidden="false" customHeight="false" outlineLevel="0" collapsed="false">
      <c r="A3" s="8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7"/>
      <c r="H3" s="7"/>
      <c r="I3" s="7"/>
      <c r="J3" s="7"/>
      <c r="K3" s="7"/>
    </row>
    <row r="4" customFormat="false" ht="22.35" hidden="false" customHeight="false" outlineLevel="0" collapsed="false">
      <c r="A4" s="9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7"/>
      <c r="H4" s="7"/>
      <c r="I4" s="7"/>
      <c r="J4" s="7"/>
      <c r="K4" s="7"/>
    </row>
    <row r="5" customFormat="false" ht="22.35" hidden="false" customHeight="false" outlineLevel="0" collapsed="false">
      <c r="A5" s="10" t="s">
        <v>43</v>
      </c>
      <c r="B5" s="6" t="s">
        <v>44</v>
      </c>
      <c r="C5" s="6" t="s">
        <v>45</v>
      </c>
      <c r="D5" s="6" t="s">
        <v>40</v>
      </c>
      <c r="E5" s="6" t="s">
        <v>46</v>
      </c>
      <c r="F5" s="6" t="s">
        <v>47</v>
      </c>
      <c r="G5" s="7"/>
      <c r="H5" s="7"/>
      <c r="I5" s="7"/>
      <c r="J5" s="7"/>
      <c r="K5" s="7"/>
    </row>
    <row r="6" customFormat="false" ht="22.35" hidden="false" customHeight="false" outlineLevel="0" collapsed="false">
      <c r="A6" s="11" t="s">
        <v>48</v>
      </c>
      <c r="B6" s="6" t="s">
        <v>49</v>
      </c>
      <c r="C6" s="6" t="s">
        <v>50</v>
      </c>
      <c r="D6" s="6" t="s">
        <v>40</v>
      </c>
      <c r="E6" s="6" t="s">
        <v>51</v>
      </c>
      <c r="F6" s="6" t="s">
        <v>52</v>
      </c>
      <c r="G6" s="7"/>
      <c r="H6" s="7"/>
      <c r="I6" s="7"/>
      <c r="J6" s="7"/>
      <c r="K6" s="7"/>
    </row>
    <row r="7" customFormat="false" ht="22.35" hidden="false" customHeight="false" outlineLevel="0" collapsed="false">
      <c r="A7" s="11" t="s">
        <v>53</v>
      </c>
      <c r="B7" s="6" t="s">
        <v>54</v>
      </c>
      <c r="C7" s="6" t="s">
        <v>55</v>
      </c>
      <c r="D7" s="6" t="s">
        <v>40</v>
      </c>
      <c r="E7" s="6" t="s">
        <v>56</v>
      </c>
      <c r="F7" s="6" t="s">
        <v>57</v>
      </c>
      <c r="G7" s="7"/>
      <c r="H7" s="7"/>
      <c r="I7" s="7"/>
      <c r="J7" s="7"/>
      <c r="K7" s="7"/>
    </row>
  </sheetData>
  <conditionalFormatting sqref="G2:G7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"Con cambios"</formula>
    </cfRule>
    <cfRule type="cellIs" priority="5" operator="equal" aboveAverage="0" equalAverage="0" bottom="0" percent="0" rank="0" text="" dxfId="2">
      <formula>"Duda"</formula>
    </cfRule>
  </conditionalFormatting>
  <dataValidations count="2">
    <dataValidation allowBlank="true" errorStyle="stop" operator="between" showDropDown="false" showErrorMessage="false" showInputMessage="false" sqref="G2:G7" type="list">
      <formula1>"Sí,No,Con cambios,Duda"</formula1>
      <formula2>0</formula2>
    </dataValidation>
    <dataValidation allowBlank="true" errorStyle="stop" operator="between" showDropDown="false" showErrorMessage="false" showInputMessage="false" sqref="I2:I7" type="list">
      <formula1>"Sube,Se mantiene,Baja,Fuera"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" t="s">
        <v>14</v>
      </c>
      <c r="B1" s="4" t="s">
        <v>58</v>
      </c>
      <c r="C1" s="4" t="s">
        <v>15</v>
      </c>
      <c r="D1" s="4" t="s">
        <v>59</v>
      </c>
      <c r="E1" s="4" t="s">
        <v>60</v>
      </c>
      <c r="F1" s="4" t="s">
        <v>61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customFormat="false" ht="15" hidden="false" customHeight="false" outlineLevel="0" collapsed="false">
      <c r="A2" s="5" t="s">
        <v>25</v>
      </c>
      <c r="B2" s="6" t="s">
        <v>25</v>
      </c>
      <c r="C2" s="6" t="s">
        <v>26</v>
      </c>
      <c r="D2" s="6" t="s">
        <v>62</v>
      </c>
      <c r="E2" s="6" t="s">
        <v>63</v>
      </c>
      <c r="F2" s="6" t="n">
        <f aca="false">COUNTIF(Tandas!$B:$B,B2)</f>
        <v>5</v>
      </c>
      <c r="G2" s="7"/>
      <c r="H2" s="7"/>
      <c r="I2" s="7"/>
      <c r="J2" s="7"/>
      <c r="K2" s="7"/>
    </row>
    <row r="3" customFormat="false" ht="15" hidden="false" customHeight="false" outlineLevel="0" collapsed="false">
      <c r="A3" s="8" t="s">
        <v>31</v>
      </c>
      <c r="B3" s="6" t="s">
        <v>64</v>
      </c>
      <c r="C3" s="6" t="s">
        <v>65</v>
      </c>
      <c r="D3" s="6" t="s">
        <v>66</v>
      </c>
      <c r="E3" s="6" t="s">
        <v>67</v>
      </c>
      <c r="F3" s="6" t="n">
        <f aca="false">COUNTIF(Tandas!$B:$B,B3)</f>
        <v>5</v>
      </c>
      <c r="G3" s="7"/>
      <c r="H3" s="7"/>
      <c r="I3" s="7"/>
      <c r="J3" s="7"/>
      <c r="K3" s="7"/>
    </row>
    <row r="4" customFormat="false" ht="15" hidden="false" customHeight="false" outlineLevel="0" collapsed="false">
      <c r="A4" s="8" t="s">
        <v>31</v>
      </c>
      <c r="B4" s="6" t="s">
        <v>68</v>
      </c>
      <c r="C4" s="6" t="s">
        <v>69</v>
      </c>
      <c r="D4" s="6" t="s">
        <v>70</v>
      </c>
      <c r="E4" s="6" t="s">
        <v>71</v>
      </c>
      <c r="F4" s="6" t="n">
        <f aca="false">COUNTIF(Tandas!$B:$B,B4)</f>
        <v>9</v>
      </c>
      <c r="G4" s="7"/>
      <c r="H4" s="7"/>
      <c r="I4" s="7"/>
      <c r="J4" s="7"/>
      <c r="K4" s="7"/>
    </row>
    <row r="5" customFormat="false" ht="15" hidden="false" customHeight="false" outlineLevel="0" collapsed="false">
      <c r="A5" s="8" t="s">
        <v>31</v>
      </c>
      <c r="B5" s="6" t="s">
        <v>72</v>
      </c>
      <c r="C5" s="6" t="s">
        <v>73</v>
      </c>
      <c r="D5" s="6" t="s">
        <v>74</v>
      </c>
      <c r="E5" s="6" t="s">
        <v>75</v>
      </c>
      <c r="F5" s="6" t="n">
        <f aca="false">COUNTIF(Tandas!$B:$B,B5)</f>
        <v>8</v>
      </c>
      <c r="G5" s="7"/>
      <c r="H5" s="7"/>
      <c r="I5" s="7"/>
      <c r="J5" s="7"/>
      <c r="K5" s="7"/>
    </row>
    <row r="6" customFormat="false" ht="22.35" hidden="false" customHeight="false" outlineLevel="0" collapsed="false">
      <c r="A6" s="8" t="s">
        <v>31</v>
      </c>
      <c r="B6" s="6" t="s">
        <v>76</v>
      </c>
      <c r="C6" s="6" t="s">
        <v>77</v>
      </c>
      <c r="D6" s="6" t="s">
        <v>78</v>
      </c>
      <c r="E6" s="6" t="s">
        <v>79</v>
      </c>
      <c r="F6" s="6" t="n">
        <f aca="false">COUNTIF(Tandas!$B:$B,B6)</f>
        <v>9</v>
      </c>
      <c r="G6" s="7"/>
      <c r="H6" s="7"/>
      <c r="I6" s="7"/>
      <c r="J6" s="7"/>
      <c r="K6" s="7"/>
    </row>
    <row r="7" customFormat="false" ht="22.35" hidden="false" customHeight="false" outlineLevel="0" collapsed="false">
      <c r="A7" s="8" t="s">
        <v>31</v>
      </c>
      <c r="B7" s="6" t="s">
        <v>80</v>
      </c>
      <c r="C7" s="6" t="s">
        <v>81</v>
      </c>
      <c r="D7" s="6" t="s">
        <v>82</v>
      </c>
      <c r="E7" s="6" t="s">
        <v>83</v>
      </c>
      <c r="F7" s="6" t="n">
        <f aca="false">COUNTIF(Tandas!$B:$B,B7)</f>
        <v>5</v>
      </c>
      <c r="G7" s="7"/>
      <c r="H7" s="7"/>
      <c r="I7" s="7"/>
      <c r="J7" s="7"/>
      <c r="K7" s="7"/>
    </row>
    <row r="8" customFormat="false" ht="22.35" hidden="false" customHeight="false" outlineLevel="0" collapsed="false">
      <c r="A8" s="8" t="s">
        <v>31</v>
      </c>
      <c r="B8" s="6" t="s">
        <v>84</v>
      </c>
      <c r="C8" s="6" t="s">
        <v>85</v>
      </c>
      <c r="D8" s="6" t="s">
        <v>86</v>
      </c>
      <c r="E8" s="6" t="s">
        <v>87</v>
      </c>
      <c r="F8" s="6" t="n">
        <f aca="false">COUNTIF(Tandas!$B:$B,B8)</f>
        <v>4</v>
      </c>
      <c r="G8" s="7"/>
      <c r="H8" s="7"/>
      <c r="I8" s="7"/>
      <c r="J8" s="7"/>
      <c r="K8" s="7"/>
    </row>
    <row r="9" customFormat="false" ht="15" hidden="false" customHeight="false" outlineLevel="0" collapsed="false">
      <c r="A9" s="9" t="s">
        <v>37</v>
      </c>
      <c r="B9" s="6" t="s">
        <v>37</v>
      </c>
      <c r="C9" s="6" t="s">
        <v>38</v>
      </c>
      <c r="D9" s="6" t="s">
        <v>88</v>
      </c>
      <c r="E9" s="6" t="s">
        <v>89</v>
      </c>
      <c r="F9" s="6" t="n">
        <f aca="false">COUNTIF(Tandas!$B:$B,B9)</f>
        <v>8</v>
      </c>
      <c r="G9" s="7"/>
      <c r="H9" s="7"/>
      <c r="I9" s="7"/>
      <c r="J9" s="7"/>
      <c r="K9" s="7"/>
    </row>
    <row r="10" customFormat="false" ht="15" hidden="false" customHeight="false" outlineLevel="0" collapsed="false">
      <c r="A10" s="10" t="s">
        <v>43</v>
      </c>
      <c r="B10" s="6" t="s">
        <v>43</v>
      </c>
      <c r="C10" s="6" t="s">
        <v>90</v>
      </c>
      <c r="D10" s="6" t="s">
        <v>91</v>
      </c>
      <c r="E10" s="6" t="s">
        <v>92</v>
      </c>
      <c r="F10" s="6" t="n">
        <f aca="false">COUNTIF(Tandas!$B:$B,B10)</f>
        <v>3</v>
      </c>
      <c r="G10" s="7"/>
      <c r="H10" s="7"/>
      <c r="I10" s="7"/>
      <c r="J10" s="7"/>
      <c r="K10" s="7"/>
    </row>
    <row r="11" customFormat="false" ht="15" hidden="false" customHeight="false" outlineLevel="0" collapsed="false">
      <c r="A11" s="11" t="s">
        <v>48</v>
      </c>
      <c r="B11" s="6" t="s">
        <v>48</v>
      </c>
      <c r="C11" s="6" t="s">
        <v>49</v>
      </c>
      <c r="D11" s="6" t="s">
        <v>93</v>
      </c>
      <c r="E11" s="6" t="s">
        <v>94</v>
      </c>
      <c r="F11" s="6" t="n">
        <f aca="false">COUNTIF(Tandas!$B:$B,B11)</f>
        <v>5</v>
      </c>
      <c r="G11" s="7"/>
      <c r="H11" s="7"/>
      <c r="I11" s="7"/>
      <c r="J11" s="7"/>
      <c r="K11" s="7"/>
    </row>
    <row r="12" customFormat="false" ht="15" hidden="false" customHeight="false" outlineLevel="0" collapsed="false">
      <c r="A12" s="11" t="s">
        <v>53</v>
      </c>
      <c r="B12" s="6" t="s">
        <v>53</v>
      </c>
      <c r="C12" s="6" t="s">
        <v>54</v>
      </c>
      <c r="D12" s="6" t="s">
        <v>55</v>
      </c>
      <c r="E12" s="6" t="s">
        <v>95</v>
      </c>
      <c r="F12" s="6" t="n">
        <f aca="false">COUNTIF(Tandas!$B:$B,B12)</f>
        <v>2</v>
      </c>
      <c r="G12" s="7"/>
      <c r="H12" s="7"/>
      <c r="I12" s="7"/>
      <c r="J12" s="7"/>
      <c r="K12" s="7"/>
    </row>
  </sheetData>
  <conditionalFormatting sqref="G2:G12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"Con cambios"</formula>
    </cfRule>
    <cfRule type="cellIs" priority="5" operator="equal" aboveAverage="0" equalAverage="0" bottom="0" percent="0" rank="0" text="" dxfId="2">
      <formula>"Duda"</formula>
    </cfRule>
  </conditionalFormatting>
  <dataValidations count="2">
    <dataValidation allowBlank="true" errorStyle="stop" operator="between" showDropDown="false" showErrorMessage="false" showInputMessage="false" sqref="G2:G12" type="list">
      <formula1>"Sí,No,Con cambios,Duda"</formula1>
      <formula2>0</formula2>
    </dataValidation>
    <dataValidation allowBlank="true" errorStyle="stop" operator="between" showDropDown="false" showErrorMessage="false" showInputMessage="false" sqref="I2:I12" type="list">
      <formula1>"Sube,Se mantiene,Baja,Fuera"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60"/>
    <col collapsed="false" customWidth="true" hidden="false" outlineLevel="0" max="7" min="6" style="0" width="24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40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4" t="s">
        <v>14</v>
      </c>
      <c r="B1" s="4" t="s">
        <v>58</v>
      </c>
      <c r="C1" s="4" t="s">
        <v>96</v>
      </c>
      <c r="D1" s="4" t="s">
        <v>15</v>
      </c>
      <c r="E1" s="4" t="s">
        <v>60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20</v>
      </c>
      <c r="L1" s="4" t="s">
        <v>21</v>
      </c>
      <c r="M1" s="4" t="s">
        <v>22</v>
      </c>
      <c r="N1" s="4" t="s">
        <v>102</v>
      </c>
      <c r="O1" s="4" t="s">
        <v>23</v>
      </c>
      <c r="P1" s="4" t="s">
        <v>24</v>
      </c>
    </row>
    <row r="2" customFormat="false" ht="64.15" hidden="false" customHeight="false" outlineLevel="0" collapsed="false">
      <c r="A2" s="5" t="s">
        <v>25</v>
      </c>
      <c r="B2" s="6" t="s">
        <v>25</v>
      </c>
      <c r="C2" s="6" t="s">
        <v>103</v>
      </c>
      <c r="D2" s="6" t="s">
        <v>104</v>
      </c>
      <c r="E2" s="6" t="s">
        <v>105</v>
      </c>
      <c r="F2" s="6" t="s">
        <v>106</v>
      </c>
      <c r="G2" s="6" t="s">
        <v>107</v>
      </c>
      <c r="H2" s="6" t="s">
        <v>40</v>
      </c>
      <c r="I2" s="6" t="s">
        <v>108</v>
      </c>
      <c r="J2" s="6" t="s">
        <v>109</v>
      </c>
      <c r="K2" s="7"/>
      <c r="L2" s="7"/>
      <c r="M2" s="7"/>
      <c r="N2" s="7"/>
      <c r="O2" s="7"/>
      <c r="P2" s="7"/>
    </row>
    <row r="3" customFormat="false" ht="43.25" hidden="false" customHeight="false" outlineLevel="0" collapsed="false">
      <c r="A3" s="5" t="s">
        <v>25</v>
      </c>
      <c r="B3" s="6" t="s">
        <v>25</v>
      </c>
      <c r="C3" s="6" t="s">
        <v>110</v>
      </c>
      <c r="D3" s="6" t="s">
        <v>111</v>
      </c>
      <c r="E3" s="6" t="s">
        <v>112</v>
      </c>
      <c r="F3" s="6" t="s">
        <v>40</v>
      </c>
      <c r="G3" s="6" t="s">
        <v>113</v>
      </c>
      <c r="H3" s="6" t="s">
        <v>40</v>
      </c>
      <c r="I3" s="6" t="s">
        <v>114</v>
      </c>
      <c r="J3" s="6" t="s">
        <v>109</v>
      </c>
      <c r="K3" s="7"/>
      <c r="L3" s="7"/>
      <c r="M3" s="7"/>
      <c r="N3" s="7"/>
      <c r="O3" s="7"/>
      <c r="P3" s="7"/>
    </row>
    <row r="4" customFormat="false" ht="43.25" hidden="false" customHeight="false" outlineLevel="0" collapsed="false">
      <c r="A4" s="5" t="s">
        <v>25</v>
      </c>
      <c r="B4" s="6" t="s">
        <v>25</v>
      </c>
      <c r="C4" s="6" t="s">
        <v>115</v>
      </c>
      <c r="D4" s="6" t="s">
        <v>116</v>
      </c>
      <c r="E4" s="6" t="s">
        <v>117</v>
      </c>
      <c r="F4" s="6" t="s">
        <v>106</v>
      </c>
      <c r="G4" s="6" t="s">
        <v>118</v>
      </c>
      <c r="H4" s="6" t="s">
        <v>103</v>
      </c>
      <c r="I4" s="6" t="s">
        <v>119</v>
      </c>
      <c r="J4" s="6" t="s">
        <v>66</v>
      </c>
      <c r="K4" s="7"/>
      <c r="L4" s="7"/>
      <c r="M4" s="7"/>
      <c r="N4" s="7"/>
      <c r="O4" s="7"/>
      <c r="P4" s="7"/>
    </row>
    <row r="5" customFormat="false" ht="22.35" hidden="false" customHeight="false" outlineLevel="0" collapsed="false">
      <c r="A5" s="5" t="s">
        <v>25</v>
      </c>
      <c r="B5" s="6" t="s">
        <v>25</v>
      </c>
      <c r="C5" s="6" t="s">
        <v>120</v>
      </c>
      <c r="D5" s="6" t="s">
        <v>121</v>
      </c>
      <c r="E5" s="6" t="s">
        <v>122</v>
      </c>
      <c r="F5" s="6" t="s">
        <v>40</v>
      </c>
      <c r="G5" s="6" t="s">
        <v>123</v>
      </c>
      <c r="H5" s="6" t="s">
        <v>40</v>
      </c>
      <c r="I5" s="6" t="s">
        <v>114</v>
      </c>
      <c r="J5" s="6" t="s">
        <v>109</v>
      </c>
      <c r="K5" s="7"/>
      <c r="L5" s="7"/>
      <c r="M5" s="7"/>
      <c r="N5" s="7"/>
      <c r="O5" s="7"/>
      <c r="P5" s="7"/>
    </row>
    <row r="6" customFormat="false" ht="22.35" hidden="false" customHeight="false" outlineLevel="0" collapsed="false">
      <c r="A6" s="5" t="s">
        <v>25</v>
      </c>
      <c r="B6" s="6" t="s">
        <v>25</v>
      </c>
      <c r="C6" s="6" t="s">
        <v>124</v>
      </c>
      <c r="D6" s="6" t="s">
        <v>125</v>
      </c>
      <c r="E6" s="6" t="s">
        <v>126</v>
      </c>
      <c r="F6" s="6" t="s">
        <v>127</v>
      </c>
      <c r="G6" s="6" t="s">
        <v>128</v>
      </c>
      <c r="H6" s="6" t="s">
        <v>40</v>
      </c>
      <c r="I6" s="6" t="s">
        <v>108</v>
      </c>
      <c r="J6" s="6" t="s">
        <v>66</v>
      </c>
      <c r="K6" s="7"/>
      <c r="L6" s="7"/>
      <c r="M6" s="7"/>
      <c r="N6" s="7"/>
      <c r="O6" s="7"/>
      <c r="P6" s="7"/>
    </row>
    <row r="7" customFormat="false" ht="22.35" hidden="false" customHeight="false" outlineLevel="0" collapsed="false">
      <c r="A7" s="8" t="s">
        <v>31</v>
      </c>
      <c r="B7" s="6" t="s">
        <v>64</v>
      </c>
      <c r="C7" s="6" t="s">
        <v>129</v>
      </c>
      <c r="D7" s="6" t="s">
        <v>130</v>
      </c>
      <c r="E7" s="6" t="s">
        <v>131</v>
      </c>
      <c r="F7" s="6" t="s">
        <v>127</v>
      </c>
      <c r="G7" s="6" t="s">
        <v>132</v>
      </c>
      <c r="H7" s="6" t="s">
        <v>133</v>
      </c>
      <c r="I7" s="6" t="s">
        <v>134</v>
      </c>
      <c r="J7" s="6" t="s">
        <v>66</v>
      </c>
      <c r="K7" s="7"/>
      <c r="L7" s="7"/>
      <c r="M7" s="7"/>
      <c r="N7" s="7"/>
      <c r="O7" s="7"/>
      <c r="P7" s="7"/>
    </row>
    <row r="8" customFormat="false" ht="22.35" hidden="false" customHeight="false" outlineLevel="0" collapsed="false">
      <c r="A8" s="8" t="s">
        <v>31</v>
      </c>
      <c r="B8" s="6" t="s">
        <v>64</v>
      </c>
      <c r="C8" s="6" t="s">
        <v>135</v>
      </c>
      <c r="D8" s="6" t="s">
        <v>136</v>
      </c>
      <c r="E8" s="6" t="s">
        <v>137</v>
      </c>
      <c r="F8" s="6" t="s">
        <v>138</v>
      </c>
      <c r="G8" s="6" t="s">
        <v>139</v>
      </c>
      <c r="H8" s="6" t="s">
        <v>133</v>
      </c>
      <c r="I8" s="6" t="s">
        <v>114</v>
      </c>
      <c r="J8" s="6" t="s">
        <v>66</v>
      </c>
      <c r="K8" s="7"/>
      <c r="L8" s="7"/>
      <c r="M8" s="7"/>
      <c r="N8" s="7"/>
      <c r="O8" s="7"/>
      <c r="P8" s="7"/>
    </row>
    <row r="9" customFormat="false" ht="22.35" hidden="false" customHeight="false" outlineLevel="0" collapsed="false">
      <c r="A9" s="8" t="s">
        <v>31</v>
      </c>
      <c r="B9" s="6" t="s">
        <v>64</v>
      </c>
      <c r="C9" s="6" t="s">
        <v>140</v>
      </c>
      <c r="D9" s="6" t="s">
        <v>141</v>
      </c>
      <c r="E9" s="6" t="s">
        <v>142</v>
      </c>
      <c r="F9" s="6" t="s">
        <v>143</v>
      </c>
      <c r="G9" s="6" t="s">
        <v>144</v>
      </c>
      <c r="H9" s="6" t="s">
        <v>133</v>
      </c>
      <c r="I9" s="6" t="s">
        <v>114</v>
      </c>
      <c r="J9" s="6" t="s">
        <v>66</v>
      </c>
      <c r="K9" s="7"/>
      <c r="L9" s="7"/>
      <c r="M9" s="7"/>
      <c r="N9" s="7"/>
      <c r="O9" s="7"/>
      <c r="P9" s="7"/>
    </row>
    <row r="10" customFormat="false" ht="22.35" hidden="false" customHeight="false" outlineLevel="0" collapsed="false">
      <c r="A10" s="8" t="s">
        <v>31</v>
      </c>
      <c r="B10" s="6" t="s">
        <v>64</v>
      </c>
      <c r="C10" s="6" t="s">
        <v>145</v>
      </c>
      <c r="D10" s="6" t="s">
        <v>146</v>
      </c>
      <c r="E10" s="6" t="s">
        <v>147</v>
      </c>
      <c r="F10" s="6" t="s">
        <v>148</v>
      </c>
      <c r="G10" s="6" t="s">
        <v>149</v>
      </c>
      <c r="H10" s="6" t="s">
        <v>150</v>
      </c>
      <c r="I10" s="6" t="s">
        <v>114</v>
      </c>
      <c r="J10" s="6" t="s">
        <v>66</v>
      </c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8" t="s">
        <v>31</v>
      </c>
      <c r="B11" s="6" t="s">
        <v>64</v>
      </c>
      <c r="C11" s="6" t="s">
        <v>151</v>
      </c>
      <c r="D11" s="6" t="s">
        <v>152</v>
      </c>
      <c r="E11" s="6" t="s">
        <v>153</v>
      </c>
      <c r="F11" s="6" t="s">
        <v>40</v>
      </c>
      <c r="G11" s="6" t="s">
        <v>154</v>
      </c>
      <c r="H11" s="6" t="s">
        <v>40</v>
      </c>
      <c r="I11" s="6" t="s">
        <v>114</v>
      </c>
      <c r="J11" s="6" t="s">
        <v>66</v>
      </c>
      <c r="K11" s="7"/>
      <c r="L11" s="7"/>
      <c r="M11" s="7"/>
      <c r="N11" s="7"/>
      <c r="O11" s="7"/>
      <c r="P11" s="7"/>
    </row>
    <row r="12" customFormat="false" ht="22.35" hidden="false" customHeight="false" outlineLevel="0" collapsed="false">
      <c r="A12" s="8" t="s">
        <v>31</v>
      </c>
      <c r="B12" s="6" t="s">
        <v>68</v>
      </c>
      <c r="C12" s="6" t="s">
        <v>155</v>
      </c>
      <c r="D12" s="6" t="s">
        <v>156</v>
      </c>
      <c r="E12" s="6" t="s">
        <v>157</v>
      </c>
      <c r="F12" s="6" t="s">
        <v>158</v>
      </c>
      <c r="G12" s="6" t="s">
        <v>159</v>
      </c>
      <c r="H12" s="6" t="s">
        <v>133</v>
      </c>
      <c r="I12" s="6" t="s">
        <v>108</v>
      </c>
      <c r="J12" s="6" t="s">
        <v>160</v>
      </c>
      <c r="K12" s="7"/>
      <c r="L12" s="7"/>
      <c r="M12" s="7"/>
      <c r="N12" s="7"/>
      <c r="O12" s="7"/>
      <c r="P12" s="7"/>
    </row>
    <row r="13" customFormat="false" ht="32.8" hidden="false" customHeight="false" outlineLevel="0" collapsed="false">
      <c r="A13" s="8" t="s">
        <v>31</v>
      </c>
      <c r="B13" s="6" t="s">
        <v>68</v>
      </c>
      <c r="C13" s="6" t="s">
        <v>161</v>
      </c>
      <c r="D13" s="6" t="s">
        <v>162</v>
      </c>
      <c r="E13" s="6" t="s">
        <v>163</v>
      </c>
      <c r="F13" s="6" t="s">
        <v>164</v>
      </c>
      <c r="G13" s="6" t="s">
        <v>165</v>
      </c>
      <c r="H13" s="6" t="s">
        <v>166</v>
      </c>
      <c r="I13" s="6" t="s">
        <v>108</v>
      </c>
      <c r="J13" s="6" t="s">
        <v>160</v>
      </c>
      <c r="K13" s="7"/>
      <c r="L13" s="7"/>
      <c r="M13" s="7"/>
      <c r="N13" s="7"/>
      <c r="O13" s="7"/>
      <c r="P13" s="7"/>
    </row>
    <row r="14" customFormat="false" ht="32.8" hidden="false" customHeight="false" outlineLevel="0" collapsed="false">
      <c r="A14" s="8" t="s">
        <v>31</v>
      </c>
      <c r="B14" s="6" t="s">
        <v>68</v>
      </c>
      <c r="C14" s="6" t="s">
        <v>167</v>
      </c>
      <c r="D14" s="6" t="s">
        <v>168</v>
      </c>
      <c r="E14" s="6" t="s">
        <v>169</v>
      </c>
      <c r="F14" s="6" t="s">
        <v>170</v>
      </c>
      <c r="G14" s="6" t="s">
        <v>171</v>
      </c>
      <c r="H14" s="6" t="s">
        <v>172</v>
      </c>
      <c r="I14" s="6" t="s">
        <v>108</v>
      </c>
      <c r="J14" s="6" t="s">
        <v>173</v>
      </c>
      <c r="K14" s="7"/>
      <c r="L14" s="7"/>
      <c r="M14" s="7"/>
      <c r="N14" s="7"/>
      <c r="O14" s="7"/>
      <c r="P14" s="7"/>
    </row>
    <row r="15" customFormat="false" ht="22.35" hidden="false" customHeight="false" outlineLevel="0" collapsed="false">
      <c r="A15" s="8" t="s">
        <v>31</v>
      </c>
      <c r="B15" s="6" t="s">
        <v>68</v>
      </c>
      <c r="C15" s="6" t="s">
        <v>174</v>
      </c>
      <c r="D15" s="6" t="s">
        <v>175</v>
      </c>
      <c r="E15" s="6" t="s">
        <v>176</v>
      </c>
      <c r="F15" s="6" t="s">
        <v>177</v>
      </c>
      <c r="G15" s="6" t="s">
        <v>178</v>
      </c>
      <c r="H15" s="6" t="s">
        <v>133</v>
      </c>
      <c r="I15" s="6" t="s">
        <v>119</v>
      </c>
      <c r="J15" s="6" t="s">
        <v>173</v>
      </c>
      <c r="K15" s="7"/>
      <c r="L15" s="7"/>
      <c r="M15" s="7"/>
      <c r="N15" s="7"/>
      <c r="O15" s="7"/>
      <c r="P15" s="7"/>
    </row>
    <row r="16" customFormat="false" ht="32.8" hidden="false" customHeight="false" outlineLevel="0" collapsed="false">
      <c r="A16" s="8" t="s">
        <v>31</v>
      </c>
      <c r="B16" s="6" t="s">
        <v>68</v>
      </c>
      <c r="C16" s="6" t="s">
        <v>179</v>
      </c>
      <c r="D16" s="6" t="s">
        <v>180</v>
      </c>
      <c r="E16" s="6" t="s">
        <v>181</v>
      </c>
      <c r="F16" s="6" t="s">
        <v>182</v>
      </c>
      <c r="G16" s="6" t="s">
        <v>183</v>
      </c>
      <c r="H16" s="6" t="s">
        <v>133</v>
      </c>
      <c r="I16" s="6" t="s">
        <v>108</v>
      </c>
      <c r="J16" s="6" t="s">
        <v>184</v>
      </c>
      <c r="K16" s="7"/>
      <c r="L16" s="7"/>
      <c r="M16" s="7"/>
      <c r="N16" s="7"/>
      <c r="O16" s="7"/>
      <c r="P16" s="7"/>
    </row>
    <row r="17" customFormat="false" ht="22.35" hidden="false" customHeight="false" outlineLevel="0" collapsed="false">
      <c r="A17" s="8" t="s">
        <v>31</v>
      </c>
      <c r="B17" s="6" t="s">
        <v>68</v>
      </c>
      <c r="C17" s="6" t="s">
        <v>185</v>
      </c>
      <c r="D17" s="6" t="s">
        <v>186</v>
      </c>
      <c r="E17" s="6" t="s">
        <v>187</v>
      </c>
      <c r="F17" s="6" t="s">
        <v>188</v>
      </c>
      <c r="G17" s="6" t="s">
        <v>189</v>
      </c>
      <c r="H17" s="6" t="s">
        <v>190</v>
      </c>
      <c r="I17" s="6" t="s">
        <v>119</v>
      </c>
      <c r="J17" s="6" t="s">
        <v>191</v>
      </c>
      <c r="K17" s="7"/>
      <c r="L17" s="7"/>
      <c r="M17" s="7"/>
      <c r="N17" s="7"/>
      <c r="O17" s="7"/>
      <c r="P17" s="7"/>
    </row>
    <row r="18" customFormat="false" ht="22.35" hidden="false" customHeight="false" outlineLevel="0" collapsed="false">
      <c r="A18" s="8" t="s">
        <v>31</v>
      </c>
      <c r="B18" s="6" t="s">
        <v>68</v>
      </c>
      <c r="C18" s="6" t="s">
        <v>192</v>
      </c>
      <c r="D18" s="6" t="s">
        <v>193</v>
      </c>
      <c r="E18" s="6" t="s">
        <v>194</v>
      </c>
      <c r="F18" s="6" t="s">
        <v>195</v>
      </c>
      <c r="G18" s="6" t="s">
        <v>196</v>
      </c>
      <c r="H18" s="6" t="s">
        <v>197</v>
      </c>
      <c r="I18" s="6" t="s">
        <v>114</v>
      </c>
      <c r="J18" s="6" t="s">
        <v>198</v>
      </c>
      <c r="K18" s="7"/>
      <c r="L18" s="7"/>
      <c r="M18" s="7"/>
      <c r="N18" s="7"/>
      <c r="O18" s="7"/>
      <c r="P18" s="7"/>
    </row>
    <row r="19" customFormat="false" ht="22.35" hidden="false" customHeight="false" outlineLevel="0" collapsed="false">
      <c r="A19" s="8" t="s">
        <v>31</v>
      </c>
      <c r="B19" s="6" t="s">
        <v>68</v>
      </c>
      <c r="C19" s="6" t="s">
        <v>199</v>
      </c>
      <c r="D19" s="6" t="s">
        <v>200</v>
      </c>
      <c r="E19" s="6" t="s">
        <v>201</v>
      </c>
      <c r="F19" s="6" t="s">
        <v>158</v>
      </c>
      <c r="G19" s="6" t="s">
        <v>202</v>
      </c>
      <c r="H19" s="6" t="s">
        <v>203</v>
      </c>
      <c r="I19" s="6" t="s">
        <v>108</v>
      </c>
      <c r="J19" s="6" t="s">
        <v>204</v>
      </c>
      <c r="K19" s="7"/>
      <c r="L19" s="7"/>
      <c r="M19" s="7"/>
      <c r="N19" s="7"/>
      <c r="O19" s="7"/>
      <c r="P19" s="7"/>
    </row>
    <row r="20" customFormat="false" ht="15" hidden="false" customHeight="false" outlineLevel="0" collapsed="false">
      <c r="A20" s="8" t="s">
        <v>31</v>
      </c>
      <c r="B20" s="6" t="s">
        <v>68</v>
      </c>
      <c r="C20" s="6" t="s">
        <v>205</v>
      </c>
      <c r="D20" s="6" t="s">
        <v>206</v>
      </c>
      <c r="E20" s="6" t="s">
        <v>207</v>
      </c>
      <c r="F20" s="6" t="s">
        <v>40</v>
      </c>
      <c r="G20" s="6" t="s">
        <v>154</v>
      </c>
      <c r="H20" s="6" t="s">
        <v>40</v>
      </c>
      <c r="I20" s="6" t="s">
        <v>114</v>
      </c>
      <c r="J20" s="6" t="s">
        <v>204</v>
      </c>
      <c r="K20" s="7"/>
      <c r="L20" s="7"/>
      <c r="M20" s="7"/>
      <c r="N20" s="7"/>
      <c r="O20" s="7"/>
      <c r="P20" s="7"/>
    </row>
    <row r="21" customFormat="false" ht="22.35" hidden="false" customHeight="false" outlineLevel="0" collapsed="false">
      <c r="A21" s="8" t="s">
        <v>31</v>
      </c>
      <c r="B21" s="6" t="s">
        <v>72</v>
      </c>
      <c r="C21" s="6" t="s">
        <v>208</v>
      </c>
      <c r="D21" s="6" t="s">
        <v>209</v>
      </c>
      <c r="E21" s="6" t="s">
        <v>210</v>
      </c>
      <c r="F21" s="6" t="s">
        <v>211</v>
      </c>
      <c r="G21" s="6" t="s">
        <v>212</v>
      </c>
      <c r="H21" s="6" t="s">
        <v>213</v>
      </c>
      <c r="I21" s="6" t="s">
        <v>108</v>
      </c>
      <c r="J21" s="6" t="s">
        <v>214</v>
      </c>
      <c r="K21" s="7"/>
      <c r="L21" s="7"/>
      <c r="M21" s="7"/>
      <c r="N21" s="7"/>
      <c r="O21" s="7"/>
      <c r="P21" s="7"/>
    </row>
    <row r="22" customFormat="false" ht="22.35" hidden="false" customHeight="false" outlineLevel="0" collapsed="false">
      <c r="A22" s="8" t="s">
        <v>31</v>
      </c>
      <c r="B22" s="6" t="s">
        <v>72</v>
      </c>
      <c r="C22" s="6" t="s">
        <v>215</v>
      </c>
      <c r="D22" s="6" t="s">
        <v>216</v>
      </c>
      <c r="E22" s="6" t="s">
        <v>217</v>
      </c>
      <c r="F22" s="6" t="s">
        <v>127</v>
      </c>
      <c r="G22" s="6" t="s">
        <v>218</v>
      </c>
      <c r="H22" s="6" t="s">
        <v>219</v>
      </c>
      <c r="I22" s="6" t="s">
        <v>108</v>
      </c>
      <c r="J22" s="6" t="s">
        <v>220</v>
      </c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8" t="s">
        <v>31</v>
      </c>
      <c r="B23" s="6" t="s">
        <v>72</v>
      </c>
      <c r="C23" s="6" t="s">
        <v>221</v>
      </c>
      <c r="D23" s="6" t="s">
        <v>222</v>
      </c>
      <c r="E23" s="6" t="s">
        <v>223</v>
      </c>
      <c r="F23" s="6" t="s">
        <v>127</v>
      </c>
      <c r="G23" s="6" t="s">
        <v>224</v>
      </c>
      <c r="H23" s="6" t="s">
        <v>225</v>
      </c>
      <c r="I23" s="6" t="s">
        <v>108</v>
      </c>
      <c r="J23" s="6" t="s">
        <v>226</v>
      </c>
      <c r="K23" s="7"/>
      <c r="L23" s="7"/>
      <c r="M23" s="7"/>
      <c r="N23" s="7"/>
      <c r="O23" s="7"/>
      <c r="P23" s="7"/>
    </row>
    <row r="24" customFormat="false" ht="22.35" hidden="false" customHeight="false" outlineLevel="0" collapsed="false">
      <c r="A24" s="8" t="s">
        <v>31</v>
      </c>
      <c r="B24" s="6" t="s">
        <v>72</v>
      </c>
      <c r="C24" s="6" t="s">
        <v>227</v>
      </c>
      <c r="D24" s="6" t="s">
        <v>228</v>
      </c>
      <c r="E24" s="6" t="s">
        <v>229</v>
      </c>
      <c r="F24" s="6" t="s">
        <v>127</v>
      </c>
      <c r="G24" s="6" t="s">
        <v>230</v>
      </c>
      <c r="H24" s="6" t="s">
        <v>231</v>
      </c>
      <c r="I24" s="6" t="s">
        <v>114</v>
      </c>
      <c r="J24" s="6" t="s">
        <v>232</v>
      </c>
      <c r="K24" s="7"/>
      <c r="L24" s="7"/>
      <c r="M24" s="7"/>
      <c r="N24" s="7"/>
      <c r="O24" s="7"/>
      <c r="P24" s="7"/>
    </row>
    <row r="25" customFormat="false" ht="22.35" hidden="false" customHeight="false" outlineLevel="0" collapsed="false">
      <c r="A25" s="8" t="s">
        <v>31</v>
      </c>
      <c r="B25" s="6" t="s">
        <v>72</v>
      </c>
      <c r="C25" s="6" t="s">
        <v>233</v>
      </c>
      <c r="D25" s="6" t="s">
        <v>234</v>
      </c>
      <c r="E25" s="6" t="s">
        <v>235</v>
      </c>
      <c r="F25" s="6" t="s">
        <v>236</v>
      </c>
      <c r="G25" s="6" t="s">
        <v>237</v>
      </c>
      <c r="H25" s="6" t="s">
        <v>238</v>
      </c>
      <c r="I25" s="6" t="s">
        <v>108</v>
      </c>
      <c r="J25" s="6" t="s">
        <v>232</v>
      </c>
      <c r="K25" s="7"/>
      <c r="L25" s="7"/>
      <c r="M25" s="7"/>
      <c r="N25" s="7"/>
      <c r="O25" s="7"/>
      <c r="P25" s="7"/>
    </row>
    <row r="26" customFormat="false" ht="15" hidden="false" customHeight="false" outlineLevel="0" collapsed="false">
      <c r="A26" s="8" t="s">
        <v>31</v>
      </c>
      <c r="B26" s="6" t="s">
        <v>72</v>
      </c>
      <c r="C26" s="6" t="s">
        <v>239</v>
      </c>
      <c r="D26" s="6" t="s">
        <v>240</v>
      </c>
      <c r="E26" s="6" t="s">
        <v>241</v>
      </c>
      <c r="F26" s="6" t="s">
        <v>148</v>
      </c>
      <c r="G26" s="6" t="s">
        <v>242</v>
      </c>
      <c r="H26" s="6" t="s">
        <v>243</v>
      </c>
      <c r="I26" s="6" t="s">
        <v>108</v>
      </c>
      <c r="J26" s="6" t="s">
        <v>244</v>
      </c>
      <c r="K26" s="7"/>
      <c r="L26" s="7"/>
      <c r="M26" s="7"/>
      <c r="N26" s="7"/>
      <c r="O26" s="7"/>
      <c r="P26" s="7"/>
    </row>
    <row r="27" customFormat="false" ht="22.35" hidden="false" customHeight="false" outlineLevel="0" collapsed="false">
      <c r="A27" s="8" t="s">
        <v>31</v>
      </c>
      <c r="B27" s="6" t="s">
        <v>72</v>
      </c>
      <c r="C27" s="6" t="s">
        <v>245</v>
      </c>
      <c r="D27" s="6" t="s">
        <v>246</v>
      </c>
      <c r="E27" s="6" t="s">
        <v>247</v>
      </c>
      <c r="F27" s="6" t="s">
        <v>127</v>
      </c>
      <c r="G27" s="6" t="s">
        <v>248</v>
      </c>
      <c r="H27" s="6" t="s">
        <v>249</v>
      </c>
      <c r="I27" s="6" t="s">
        <v>108</v>
      </c>
      <c r="J27" s="6" t="s">
        <v>250</v>
      </c>
      <c r="K27" s="7"/>
      <c r="L27" s="7"/>
      <c r="M27" s="7"/>
      <c r="N27" s="7"/>
      <c r="O27" s="7"/>
      <c r="P27" s="7"/>
    </row>
    <row r="28" customFormat="false" ht="15" hidden="false" customHeight="false" outlineLevel="0" collapsed="false">
      <c r="A28" s="8" t="s">
        <v>31</v>
      </c>
      <c r="B28" s="6" t="s">
        <v>72</v>
      </c>
      <c r="C28" s="6" t="s">
        <v>251</v>
      </c>
      <c r="D28" s="6" t="s">
        <v>252</v>
      </c>
      <c r="E28" s="6" t="s">
        <v>253</v>
      </c>
      <c r="F28" s="6" t="s">
        <v>127</v>
      </c>
      <c r="G28" s="6" t="s">
        <v>254</v>
      </c>
      <c r="H28" s="6" t="s">
        <v>255</v>
      </c>
      <c r="I28" s="6" t="s">
        <v>114</v>
      </c>
      <c r="J28" s="6" t="s">
        <v>256</v>
      </c>
      <c r="K28" s="7"/>
      <c r="L28" s="7"/>
      <c r="M28" s="7"/>
      <c r="N28" s="7"/>
      <c r="O28" s="7"/>
      <c r="P28" s="7"/>
    </row>
    <row r="29" customFormat="false" ht="32.8" hidden="false" customHeight="false" outlineLevel="0" collapsed="false">
      <c r="A29" s="8" t="s">
        <v>31</v>
      </c>
      <c r="B29" s="6" t="s">
        <v>76</v>
      </c>
      <c r="C29" s="6" t="s">
        <v>257</v>
      </c>
      <c r="D29" s="6" t="s">
        <v>258</v>
      </c>
      <c r="E29" s="6" t="s">
        <v>259</v>
      </c>
      <c r="F29" s="6" t="s">
        <v>260</v>
      </c>
      <c r="G29" s="6" t="s">
        <v>261</v>
      </c>
      <c r="H29" s="6" t="s">
        <v>262</v>
      </c>
      <c r="I29" s="6" t="s">
        <v>108</v>
      </c>
      <c r="J29" s="6" t="s">
        <v>191</v>
      </c>
      <c r="K29" s="7"/>
      <c r="L29" s="7"/>
      <c r="M29" s="7"/>
      <c r="N29" s="7"/>
      <c r="O29" s="7"/>
      <c r="P29" s="7"/>
    </row>
    <row r="30" customFormat="false" ht="22.35" hidden="false" customHeight="false" outlineLevel="0" collapsed="false">
      <c r="A30" s="8" t="s">
        <v>31</v>
      </c>
      <c r="B30" s="6" t="s">
        <v>76</v>
      </c>
      <c r="C30" s="6" t="s">
        <v>263</v>
      </c>
      <c r="D30" s="6" t="s">
        <v>264</v>
      </c>
      <c r="E30" s="6" t="s">
        <v>265</v>
      </c>
      <c r="F30" s="6" t="s">
        <v>260</v>
      </c>
      <c r="G30" s="6" t="s">
        <v>266</v>
      </c>
      <c r="H30" s="6" t="s">
        <v>267</v>
      </c>
      <c r="I30" s="6" t="s">
        <v>108</v>
      </c>
      <c r="J30" s="6" t="s">
        <v>198</v>
      </c>
      <c r="K30" s="7"/>
      <c r="L30" s="7"/>
      <c r="M30" s="7"/>
      <c r="N30" s="7"/>
      <c r="O30" s="7"/>
      <c r="P30" s="7"/>
    </row>
    <row r="31" customFormat="false" ht="43.25" hidden="false" customHeight="false" outlineLevel="0" collapsed="false">
      <c r="A31" s="8" t="s">
        <v>31</v>
      </c>
      <c r="B31" s="6" t="s">
        <v>76</v>
      </c>
      <c r="C31" s="6" t="s">
        <v>268</v>
      </c>
      <c r="D31" s="6" t="s">
        <v>269</v>
      </c>
      <c r="E31" s="6" t="s">
        <v>270</v>
      </c>
      <c r="F31" s="6" t="s">
        <v>271</v>
      </c>
      <c r="G31" s="6" t="s">
        <v>272</v>
      </c>
      <c r="H31" s="6" t="s">
        <v>273</v>
      </c>
      <c r="I31" s="6" t="s">
        <v>108</v>
      </c>
      <c r="J31" s="6" t="s">
        <v>204</v>
      </c>
      <c r="K31" s="7"/>
      <c r="L31" s="7"/>
      <c r="M31" s="7"/>
      <c r="N31" s="7"/>
      <c r="O31" s="7"/>
      <c r="P31" s="7"/>
    </row>
    <row r="32" customFormat="false" ht="22.35" hidden="false" customHeight="false" outlineLevel="0" collapsed="false">
      <c r="A32" s="8" t="s">
        <v>31</v>
      </c>
      <c r="B32" s="6" t="s">
        <v>76</v>
      </c>
      <c r="C32" s="6" t="s">
        <v>274</v>
      </c>
      <c r="D32" s="6" t="s">
        <v>275</v>
      </c>
      <c r="E32" s="6" t="s">
        <v>276</v>
      </c>
      <c r="F32" s="6" t="s">
        <v>260</v>
      </c>
      <c r="G32" s="6" t="s">
        <v>277</v>
      </c>
      <c r="H32" s="6" t="s">
        <v>133</v>
      </c>
      <c r="I32" s="6" t="s">
        <v>119</v>
      </c>
      <c r="J32" s="6" t="s">
        <v>278</v>
      </c>
      <c r="K32" s="7"/>
      <c r="L32" s="7"/>
      <c r="M32" s="7"/>
      <c r="N32" s="7"/>
      <c r="O32" s="7"/>
      <c r="P32" s="7"/>
    </row>
    <row r="33" customFormat="false" ht="22.35" hidden="false" customHeight="false" outlineLevel="0" collapsed="false">
      <c r="A33" s="8" t="s">
        <v>31</v>
      </c>
      <c r="B33" s="6" t="s">
        <v>76</v>
      </c>
      <c r="C33" s="6" t="s">
        <v>279</v>
      </c>
      <c r="D33" s="6" t="s">
        <v>280</v>
      </c>
      <c r="E33" s="6" t="s">
        <v>281</v>
      </c>
      <c r="F33" s="6" t="s">
        <v>260</v>
      </c>
      <c r="G33" s="6" t="s">
        <v>282</v>
      </c>
      <c r="H33" s="6" t="s">
        <v>133</v>
      </c>
      <c r="I33" s="6" t="s">
        <v>108</v>
      </c>
      <c r="J33" s="6" t="s">
        <v>283</v>
      </c>
      <c r="K33" s="7"/>
      <c r="L33" s="7"/>
      <c r="M33" s="7"/>
      <c r="N33" s="7"/>
      <c r="O33" s="7"/>
      <c r="P33" s="7"/>
    </row>
    <row r="34" customFormat="false" ht="32.8" hidden="false" customHeight="false" outlineLevel="0" collapsed="false">
      <c r="A34" s="8" t="s">
        <v>31</v>
      </c>
      <c r="B34" s="6" t="s">
        <v>76</v>
      </c>
      <c r="C34" s="6" t="s">
        <v>284</v>
      </c>
      <c r="D34" s="6" t="s">
        <v>285</v>
      </c>
      <c r="E34" s="6" t="s">
        <v>286</v>
      </c>
      <c r="F34" s="6" t="s">
        <v>287</v>
      </c>
      <c r="G34" s="6" t="s">
        <v>288</v>
      </c>
      <c r="H34" s="6" t="s">
        <v>133</v>
      </c>
      <c r="I34" s="6" t="s">
        <v>108</v>
      </c>
      <c r="J34" s="6" t="s">
        <v>283</v>
      </c>
      <c r="K34" s="7"/>
      <c r="L34" s="7"/>
      <c r="M34" s="7"/>
      <c r="N34" s="7"/>
      <c r="O34" s="7"/>
      <c r="P34" s="7"/>
    </row>
    <row r="35" customFormat="false" ht="22.35" hidden="false" customHeight="false" outlineLevel="0" collapsed="false">
      <c r="A35" s="8" t="s">
        <v>31</v>
      </c>
      <c r="B35" s="6" t="s">
        <v>76</v>
      </c>
      <c r="C35" s="6" t="s">
        <v>289</v>
      </c>
      <c r="D35" s="6" t="s">
        <v>290</v>
      </c>
      <c r="E35" s="6" t="s">
        <v>291</v>
      </c>
      <c r="F35" s="6" t="s">
        <v>260</v>
      </c>
      <c r="G35" s="6" t="s">
        <v>292</v>
      </c>
      <c r="H35" s="6" t="s">
        <v>293</v>
      </c>
      <c r="I35" s="6" t="s">
        <v>114</v>
      </c>
      <c r="J35" s="6" t="s">
        <v>294</v>
      </c>
      <c r="K35" s="7"/>
      <c r="L35" s="7"/>
      <c r="M35" s="7"/>
      <c r="N35" s="7"/>
      <c r="O35" s="7"/>
      <c r="P35" s="7"/>
    </row>
    <row r="36" customFormat="false" ht="22.35" hidden="false" customHeight="false" outlineLevel="0" collapsed="false">
      <c r="A36" s="8" t="s">
        <v>31</v>
      </c>
      <c r="B36" s="6" t="s">
        <v>76</v>
      </c>
      <c r="C36" s="6" t="s">
        <v>295</v>
      </c>
      <c r="D36" s="6" t="s">
        <v>296</v>
      </c>
      <c r="E36" s="6" t="s">
        <v>297</v>
      </c>
      <c r="F36" s="6" t="s">
        <v>260</v>
      </c>
      <c r="G36" s="6" t="s">
        <v>298</v>
      </c>
      <c r="H36" s="6" t="s">
        <v>299</v>
      </c>
      <c r="I36" s="6" t="s">
        <v>114</v>
      </c>
      <c r="J36" s="6" t="s">
        <v>294</v>
      </c>
      <c r="K36" s="7"/>
      <c r="L36" s="7"/>
      <c r="M36" s="7"/>
      <c r="N36" s="7"/>
      <c r="O36" s="7"/>
      <c r="P36" s="7"/>
    </row>
    <row r="37" customFormat="false" ht="15" hidden="false" customHeight="false" outlineLevel="0" collapsed="false">
      <c r="A37" s="8" t="s">
        <v>31</v>
      </c>
      <c r="B37" s="6" t="s">
        <v>76</v>
      </c>
      <c r="C37" s="6" t="s">
        <v>300</v>
      </c>
      <c r="D37" s="6" t="s">
        <v>301</v>
      </c>
      <c r="E37" s="6" t="s">
        <v>302</v>
      </c>
      <c r="F37" s="6" t="s">
        <v>40</v>
      </c>
      <c r="G37" s="6" t="s">
        <v>154</v>
      </c>
      <c r="H37" s="6" t="s">
        <v>40</v>
      </c>
      <c r="I37" s="6" t="s">
        <v>114</v>
      </c>
      <c r="J37" s="6" t="s">
        <v>294</v>
      </c>
      <c r="K37" s="7"/>
      <c r="L37" s="7"/>
      <c r="M37" s="7"/>
      <c r="N37" s="7"/>
      <c r="O37" s="7"/>
      <c r="P37" s="7"/>
    </row>
    <row r="38" customFormat="false" ht="22.35" hidden="false" customHeight="false" outlineLevel="0" collapsed="false">
      <c r="A38" s="8" t="s">
        <v>31</v>
      </c>
      <c r="B38" s="6" t="s">
        <v>80</v>
      </c>
      <c r="C38" s="6" t="s">
        <v>303</v>
      </c>
      <c r="D38" s="6" t="s">
        <v>304</v>
      </c>
      <c r="E38" s="6" t="s">
        <v>305</v>
      </c>
      <c r="F38" s="6" t="s">
        <v>306</v>
      </c>
      <c r="G38" s="6" t="s">
        <v>307</v>
      </c>
      <c r="H38" s="6" t="s">
        <v>308</v>
      </c>
      <c r="I38" s="6" t="s">
        <v>108</v>
      </c>
      <c r="J38" s="6" t="s">
        <v>283</v>
      </c>
      <c r="K38" s="7"/>
      <c r="L38" s="7"/>
      <c r="M38" s="7"/>
      <c r="N38" s="7"/>
      <c r="O38" s="7"/>
      <c r="P38" s="7"/>
    </row>
    <row r="39" customFormat="false" ht="22.35" hidden="false" customHeight="false" outlineLevel="0" collapsed="false">
      <c r="A39" s="8" t="s">
        <v>31</v>
      </c>
      <c r="B39" s="6" t="s">
        <v>80</v>
      </c>
      <c r="C39" s="6" t="s">
        <v>309</v>
      </c>
      <c r="D39" s="6" t="s">
        <v>310</v>
      </c>
      <c r="E39" s="6" t="s">
        <v>311</v>
      </c>
      <c r="F39" s="6" t="s">
        <v>306</v>
      </c>
      <c r="G39" s="6" t="s">
        <v>312</v>
      </c>
      <c r="H39" s="6" t="s">
        <v>133</v>
      </c>
      <c r="I39" s="6" t="s">
        <v>108</v>
      </c>
      <c r="J39" s="6" t="s">
        <v>294</v>
      </c>
      <c r="K39" s="7"/>
      <c r="L39" s="7"/>
      <c r="M39" s="7"/>
      <c r="N39" s="7"/>
      <c r="O39" s="7"/>
      <c r="P39" s="7"/>
    </row>
    <row r="40" customFormat="false" ht="22.35" hidden="false" customHeight="false" outlineLevel="0" collapsed="false">
      <c r="A40" s="8" t="s">
        <v>31</v>
      </c>
      <c r="B40" s="6" t="s">
        <v>80</v>
      </c>
      <c r="C40" s="6" t="s">
        <v>313</v>
      </c>
      <c r="D40" s="6" t="s">
        <v>314</v>
      </c>
      <c r="E40" s="6" t="s">
        <v>315</v>
      </c>
      <c r="F40" s="6" t="s">
        <v>306</v>
      </c>
      <c r="G40" s="6" t="s">
        <v>316</v>
      </c>
      <c r="H40" s="6" t="s">
        <v>317</v>
      </c>
      <c r="I40" s="6" t="s">
        <v>108</v>
      </c>
      <c r="J40" s="6" t="s">
        <v>318</v>
      </c>
      <c r="K40" s="7"/>
      <c r="L40" s="7"/>
      <c r="M40" s="7"/>
      <c r="N40" s="7"/>
      <c r="O40" s="7"/>
      <c r="P40" s="7"/>
    </row>
    <row r="41" customFormat="false" ht="22.35" hidden="false" customHeight="false" outlineLevel="0" collapsed="false">
      <c r="A41" s="8" t="s">
        <v>31</v>
      </c>
      <c r="B41" s="6" t="s">
        <v>80</v>
      </c>
      <c r="C41" s="6" t="s">
        <v>319</v>
      </c>
      <c r="D41" s="6" t="s">
        <v>320</v>
      </c>
      <c r="E41" s="6" t="s">
        <v>321</v>
      </c>
      <c r="F41" s="6" t="s">
        <v>322</v>
      </c>
      <c r="G41" s="6" t="s">
        <v>323</v>
      </c>
      <c r="H41" s="6" t="s">
        <v>324</v>
      </c>
      <c r="I41" s="6" t="s">
        <v>108</v>
      </c>
      <c r="J41" s="6" t="s">
        <v>325</v>
      </c>
      <c r="K41" s="7"/>
      <c r="L41" s="7"/>
      <c r="M41" s="7"/>
      <c r="N41" s="7"/>
      <c r="O41" s="7"/>
      <c r="P41" s="7"/>
    </row>
    <row r="42" customFormat="false" ht="15" hidden="false" customHeight="false" outlineLevel="0" collapsed="false">
      <c r="A42" s="8" t="s">
        <v>31</v>
      </c>
      <c r="B42" s="6" t="s">
        <v>80</v>
      </c>
      <c r="C42" s="6" t="s">
        <v>326</v>
      </c>
      <c r="D42" s="6" t="s">
        <v>327</v>
      </c>
      <c r="E42" s="6" t="s">
        <v>328</v>
      </c>
      <c r="F42" s="6" t="s">
        <v>40</v>
      </c>
      <c r="G42" s="6" t="s">
        <v>329</v>
      </c>
      <c r="H42" s="6" t="s">
        <v>40</v>
      </c>
      <c r="I42" s="6" t="s">
        <v>330</v>
      </c>
      <c r="J42" s="6" t="s">
        <v>331</v>
      </c>
      <c r="K42" s="7"/>
      <c r="L42" s="7"/>
      <c r="M42" s="7"/>
      <c r="N42" s="7"/>
      <c r="O42" s="7"/>
      <c r="P42" s="7"/>
    </row>
    <row r="43" customFormat="false" ht="15" hidden="false" customHeight="false" outlineLevel="0" collapsed="false">
      <c r="A43" s="8" t="s">
        <v>31</v>
      </c>
      <c r="B43" s="6" t="s">
        <v>84</v>
      </c>
      <c r="C43" s="6" t="s">
        <v>332</v>
      </c>
      <c r="D43" s="6" t="s">
        <v>333</v>
      </c>
      <c r="E43" s="6" t="s">
        <v>334</v>
      </c>
      <c r="F43" s="6" t="s">
        <v>335</v>
      </c>
      <c r="G43" s="6" t="s">
        <v>40</v>
      </c>
      <c r="H43" s="6" t="s">
        <v>336</v>
      </c>
      <c r="I43" s="6" t="s">
        <v>108</v>
      </c>
      <c r="J43" s="6" t="s">
        <v>331</v>
      </c>
      <c r="K43" s="7"/>
      <c r="L43" s="7"/>
      <c r="M43" s="7"/>
      <c r="N43" s="7"/>
      <c r="O43" s="7"/>
      <c r="P43" s="7"/>
    </row>
    <row r="44" customFormat="false" ht="22.35" hidden="false" customHeight="false" outlineLevel="0" collapsed="false">
      <c r="A44" s="8" t="s">
        <v>31</v>
      </c>
      <c r="B44" s="6" t="s">
        <v>84</v>
      </c>
      <c r="C44" s="6" t="s">
        <v>337</v>
      </c>
      <c r="D44" s="6" t="s">
        <v>338</v>
      </c>
      <c r="E44" s="6" t="s">
        <v>339</v>
      </c>
      <c r="F44" s="6" t="s">
        <v>40</v>
      </c>
      <c r="G44" s="6" t="s">
        <v>340</v>
      </c>
      <c r="H44" s="6" t="s">
        <v>341</v>
      </c>
      <c r="I44" s="6" t="s">
        <v>108</v>
      </c>
      <c r="J44" s="6" t="s">
        <v>342</v>
      </c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8" t="s">
        <v>31</v>
      </c>
      <c r="B45" s="6" t="s">
        <v>84</v>
      </c>
      <c r="C45" s="6" t="s">
        <v>343</v>
      </c>
      <c r="D45" s="6" t="s">
        <v>344</v>
      </c>
      <c r="E45" s="6" t="s">
        <v>345</v>
      </c>
      <c r="F45" s="6" t="s">
        <v>40</v>
      </c>
      <c r="G45" s="6" t="s">
        <v>346</v>
      </c>
      <c r="H45" s="6" t="s">
        <v>40</v>
      </c>
      <c r="I45" s="6" t="s">
        <v>40</v>
      </c>
      <c r="J45" s="6" t="s">
        <v>347</v>
      </c>
      <c r="K45" s="7"/>
      <c r="L45" s="7"/>
      <c r="M45" s="7"/>
      <c r="N45" s="7"/>
      <c r="O45" s="7"/>
      <c r="P45" s="7"/>
    </row>
    <row r="46" customFormat="false" ht="15" hidden="false" customHeight="false" outlineLevel="0" collapsed="false">
      <c r="A46" s="8" t="s">
        <v>31</v>
      </c>
      <c r="B46" s="6" t="s">
        <v>84</v>
      </c>
      <c r="C46" s="6" t="s">
        <v>348</v>
      </c>
      <c r="D46" s="6" t="s">
        <v>349</v>
      </c>
      <c r="E46" s="6" t="s">
        <v>350</v>
      </c>
      <c r="F46" s="6" t="s">
        <v>40</v>
      </c>
      <c r="G46" s="6" t="s">
        <v>40</v>
      </c>
      <c r="H46" s="6" t="s">
        <v>40</v>
      </c>
      <c r="I46" s="6" t="s">
        <v>40</v>
      </c>
      <c r="J46" s="6" t="s">
        <v>351</v>
      </c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9" t="s">
        <v>37</v>
      </c>
      <c r="B47" s="6" t="s">
        <v>37</v>
      </c>
      <c r="C47" s="6" t="s">
        <v>352</v>
      </c>
      <c r="D47" s="6" t="s">
        <v>353</v>
      </c>
      <c r="E47" s="6" t="s">
        <v>354</v>
      </c>
      <c r="F47" s="6" t="s">
        <v>355</v>
      </c>
      <c r="G47" s="6" t="s">
        <v>356</v>
      </c>
      <c r="H47" s="6" t="s">
        <v>357</v>
      </c>
      <c r="I47" s="6" t="s">
        <v>108</v>
      </c>
      <c r="J47" s="6" t="s">
        <v>88</v>
      </c>
      <c r="K47" s="7"/>
      <c r="L47" s="7"/>
      <c r="M47" s="7"/>
      <c r="N47" s="7"/>
      <c r="O47" s="7"/>
      <c r="P47" s="7"/>
    </row>
    <row r="48" customFormat="false" ht="15" hidden="false" customHeight="false" outlineLevel="0" collapsed="false">
      <c r="A48" s="9" t="s">
        <v>37</v>
      </c>
      <c r="B48" s="6" t="s">
        <v>37</v>
      </c>
      <c r="C48" s="6" t="s">
        <v>358</v>
      </c>
      <c r="D48" s="6" t="s">
        <v>359</v>
      </c>
      <c r="E48" s="6" t="s">
        <v>360</v>
      </c>
      <c r="F48" s="6" t="s">
        <v>355</v>
      </c>
      <c r="G48" s="6" t="s">
        <v>361</v>
      </c>
      <c r="H48" s="6" t="s">
        <v>362</v>
      </c>
      <c r="I48" s="6" t="s">
        <v>108</v>
      </c>
      <c r="J48" s="6" t="s">
        <v>88</v>
      </c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9" t="s">
        <v>37</v>
      </c>
      <c r="B49" s="6" t="s">
        <v>37</v>
      </c>
      <c r="C49" s="6" t="s">
        <v>363</v>
      </c>
      <c r="D49" s="6" t="s">
        <v>364</v>
      </c>
      <c r="E49" s="6" t="s">
        <v>365</v>
      </c>
      <c r="F49" s="6" t="s">
        <v>366</v>
      </c>
      <c r="G49" s="6" t="s">
        <v>367</v>
      </c>
      <c r="H49" s="6" t="s">
        <v>368</v>
      </c>
      <c r="I49" s="6" t="s">
        <v>108</v>
      </c>
      <c r="J49" s="6" t="s">
        <v>88</v>
      </c>
      <c r="K49" s="7"/>
      <c r="L49" s="7"/>
      <c r="M49" s="7"/>
      <c r="N49" s="7"/>
      <c r="O49" s="7"/>
      <c r="P49" s="7"/>
    </row>
    <row r="50" customFormat="false" ht="15" hidden="false" customHeight="false" outlineLevel="0" collapsed="false">
      <c r="A50" s="9" t="s">
        <v>37</v>
      </c>
      <c r="B50" s="6" t="s">
        <v>37</v>
      </c>
      <c r="C50" s="6" t="s">
        <v>369</v>
      </c>
      <c r="D50" s="6" t="s">
        <v>370</v>
      </c>
      <c r="E50" s="6" t="s">
        <v>371</v>
      </c>
      <c r="F50" s="6" t="s">
        <v>372</v>
      </c>
      <c r="G50" s="6" t="s">
        <v>373</v>
      </c>
      <c r="H50" s="6" t="s">
        <v>374</v>
      </c>
      <c r="I50" s="6" t="s">
        <v>108</v>
      </c>
      <c r="J50" s="6" t="s">
        <v>88</v>
      </c>
      <c r="K50" s="7"/>
      <c r="L50" s="7"/>
      <c r="M50" s="7"/>
      <c r="N50" s="7"/>
      <c r="O50" s="7"/>
      <c r="P50" s="7"/>
    </row>
    <row r="51" customFormat="false" ht="22.35" hidden="false" customHeight="false" outlineLevel="0" collapsed="false">
      <c r="A51" s="9" t="s">
        <v>37</v>
      </c>
      <c r="B51" s="6" t="s">
        <v>37</v>
      </c>
      <c r="C51" s="6" t="s">
        <v>375</v>
      </c>
      <c r="D51" s="6" t="s">
        <v>376</v>
      </c>
      <c r="E51" s="6" t="s">
        <v>377</v>
      </c>
      <c r="F51" s="6" t="s">
        <v>127</v>
      </c>
      <c r="G51" s="6" t="s">
        <v>378</v>
      </c>
      <c r="H51" s="6" t="s">
        <v>40</v>
      </c>
      <c r="I51" s="6" t="s">
        <v>108</v>
      </c>
      <c r="J51" s="6" t="s">
        <v>88</v>
      </c>
      <c r="K51" s="7"/>
      <c r="L51" s="7"/>
      <c r="M51" s="7"/>
      <c r="N51" s="7"/>
      <c r="O51" s="7"/>
      <c r="P51" s="7"/>
    </row>
    <row r="52" customFormat="false" ht="15" hidden="false" customHeight="false" outlineLevel="0" collapsed="false">
      <c r="A52" s="9" t="s">
        <v>37</v>
      </c>
      <c r="B52" s="6" t="s">
        <v>37</v>
      </c>
      <c r="C52" s="6" t="s">
        <v>379</v>
      </c>
      <c r="D52" s="6" t="s">
        <v>380</v>
      </c>
      <c r="E52" s="6" t="s">
        <v>381</v>
      </c>
      <c r="F52" s="6" t="s">
        <v>260</v>
      </c>
      <c r="G52" s="6" t="s">
        <v>382</v>
      </c>
      <c r="H52" s="6" t="s">
        <v>40</v>
      </c>
      <c r="I52" s="6" t="s">
        <v>119</v>
      </c>
      <c r="J52" s="6" t="s">
        <v>88</v>
      </c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9" t="s">
        <v>37</v>
      </c>
      <c r="B53" s="6" t="s">
        <v>37</v>
      </c>
      <c r="C53" s="6" t="s">
        <v>383</v>
      </c>
      <c r="D53" s="6" t="s">
        <v>384</v>
      </c>
      <c r="E53" s="6" t="s">
        <v>385</v>
      </c>
      <c r="F53" s="6" t="s">
        <v>164</v>
      </c>
      <c r="G53" s="6" t="s">
        <v>386</v>
      </c>
      <c r="H53" s="6" t="s">
        <v>387</v>
      </c>
      <c r="I53" s="6" t="s">
        <v>119</v>
      </c>
      <c r="J53" s="6" t="s">
        <v>88</v>
      </c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9" t="s">
        <v>37</v>
      </c>
      <c r="B54" s="6" t="s">
        <v>37</v>
      </c>
      <c r="C54" s="6" t="s">
        <v>388</v>
      </c>
      <c r="D54" s="6" t="s">
        <v>389</v>
      </c>
      <c r="E54" s="6" t="s">
        <v>390</v>
      </c>
      <c r="F54" s="6" t="s">
        <v>355</v>
      </c>
      <c r="G54" s="6" t="s">
        <v>391</v>
      </c>
      <c r="H54" s="6" t="s">
        <v>40</v>
      </c>
      <c r="I54" s="6" t="s">
        <v>114</v>
      </c>
      <c r="J54" s="6" t="s">
        <v>88</v>
      </c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10" t="s">
        <v>43</v>
      </c>
      <c r="B55" s="6" t="s">
        <v>43</v>
      </c>
      <c r="C55" s="6" t="s">
        <v>392</v>
      </c>
      <c r="D55" s="6" t="s">
        <v>393</v>
      </c>
      <c r="E55" s="6" t="s">
        <v>394</v>
      </c>
      <c r="F55" s="6" t="s">
        <v>395</v>
      </c>
      <c r="G55" s="6" t="s">
        <v>396</v>
      </c>
      <c r="H55" s="6" t="s">
        <v>40</v>
      </c>
      <c r="I55" s="6" t="s">
        <v>114</v>
      </c>
      <c r="J55" s="6" t="s">
        <v>91</v>
      </c>
      <c r="K55" s="7"/>
      <c r="L55" s="7"/>
      <c r="M55" s="7"/>
      <c r="N55" s="7"/>
      <c r="O55" s="7"/>
      <c r="P55" s="7"/>
    </row>
    <row r="56" customFormat="false" ht="22.35" hidden="false" customHeight="false" outlineLevel="0" collapsed="false">
      <c r="A56" s="10" t="s">
        <v>43</v>
      </c>
      <c r="B56" s="6" t="s">
        <v>43</v>
      </c>
      <c r="C56" s="6" t="s">
        <v>397</v>
      </c>
      <c r="D56" s="6" t="s">
        <v>398</v>
      </c>
      <c r="E56" s="6" t="s">
        <v>399</v>
      </c>
      <c r="F56" s="6" t="s">
        <v>395</v>
      </c>
      <c r="G56" s="6" t="s">
        <v>400</v>
      </c>
      <c r="H56" s="6" t="s">
        <v>401</v>
      </c>
      <c r="I56" s="6" t="s">
        <v>119</v>
      </c>
      <c r="J56" s="6" t="s">
        <v>91</v>
      </c>
      <c r="K56" s="7"/>
      <c r="L56" s="7"/>
      <c r="M56" s="7"/>
      <c r="N56" s="7"/>
      <c r="O56" s="7"/>
      <c r="P56" s="7"/>
    </row>
    <row r="57" customFormat="false" ht="32.8" hidden="false" customHeight="false" outlineLevel="0" collapsed="false">
      <c r="A57" s="10" t="s">
        <v>43</v>
      </c>
      <c r="B57" s="6" t="s">
        <v>43</v>
      </c>
      <c r="C57" s="6" t="s">
        <v>402</v>
      </c>
      <c r="D57" s="6" t="s">
        <v>403</v>
      </c>
      <c r="E57" s="6" t="s">
        <v>404</v>
      </c>
      <c r="F57" s="6" t="s">
        <v>405</v>
      </c>
      <c r="G57" s="6" t="s">
        <v>406</v>
      </c>
      <c r="H57" s="6" t="s">
        <v>387</v>
      </c>
      <c r="I57" s="6" t="s">
        <v>119</v>
      </c>
      <c r="J57" s="6" t="s">
        <v>91</v>
      </c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11" t="s">
        <v>48</v>
      </c>
      <c r="B58" s="6" t="s">
        <v>48</v>
      </c>
      <c r="C58" s="6" t="s">
        <v>407</v>
      </c>
      <c r="D58" s="6" t="s">
        <v>408</v>
      </c>
      <c r="E58" s="6" t="s">
        <v>409</v>
      </c>
      <c r="F58" s="6" t="s">
        <v>366</v>
      </c>
      <c r="G58" s="6" t="s">
        <v>410</v>
      </c>
      <c r="H58" s="6" t="s">
        <v>40</v>
      </c>
      <c r="I58" s="6" t="s">
        <v>119</v>
      </c>
      <c r="J58" s="6" t="s">
        <v>93</v>
      </c>
      <c r="K58" s="7"/>
      <c r="L58" s="7"/>
      <c r="M58" s="7"/>
      <c r="N58" s="7"/>
      <c r="O58" s="7"/>
      <c r="P58" s="7"/>
    </row>
    <row r="59" customFormat="false" ht="15" hidden="false" customHeight="false" outlineLevel="0" collapsed="false">
      <c r="A59" s="11" t="s">
        <v>48</v>
      </c>
      <c r="B59" s="6" t="s">
        <v>48</v>
      </c>
      <c r="C59" s="6" t="s">
        <v>411</v>
      </c>
      <c r="D59" s="6" t="s">
        <v>412</v>
      </c>
      <c r="E59" s="6" t="s">
        <v>413</v>
      </c>
      <c r="F59" s="6" t="s">
        <v>414</v>
      </c>
      <c r="G59" s="6" t="s">
        <v>415</v>
      </c>
      <c r="H59" s="6" t="s">
        <v>40</v>
      </c>
      <c r="I59" s="6" t="s">
        <v>119</v>
      </c>
      <c r="J59" s="6" t="s">
        <v>93</v>
      </c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11" t="s">
        <v>48</v>
      </c>
      <c r="B60" s="6" t="s">
        <v>48</v>
      </c>
      <c r="C60" s="6" t="s">
        <v>416</v>
      </c>
      <c r="D60" s="6" t="s">
        <v>417</v>
      </c>
      <c r="E60" s="6" t="s">
        <v>418</v>
      </c>
      <c r="F60" s="6" t="s">
        <v>355</v>
      </c>
      <c r="G60" s="6" t="s">
        <v>419</v>
      </c>
      <c r="H60" s="6" t="s">
        <v>40</v>
      </c>
      <c r="I60" s="6" t="s">
        <v>108</v>
      </c>
      <c r="J60" s="6" t="s">
        <v>93</v>
      </c>
      <c r="K60" s="7"/>
      <c r="L60" s="7"/>
      <c r="M60" s="7"/>
      <c r="N60" s="7"/>
      <c r="O60" s="7"/>
      <c r="P60" s="7"/>
    </row>
    <row r="61" customFormat="false" ht="22.35" hidden="false" customHeight="false" outlineLevel="0" collapsed="false">
      <c r="A61" s="11" t="s">
        <v>48</v>
      </c>
      <c r="B61" s="6" t="s">
        <v>48</v>
      </c>
      <c r="C61" s="6" t="s">
        <v>420</v>
      </c>
      <c r="D61" s="6" t="s">
        <v>421</v>
      </c>
      <c r="E61" s="6" t="s">
        <v>422</v>
      </c>
      <c r="F61" s="6" t="s">
        <v>423</v>
      </c>
      <c r="G61" s="6" t="s">
        <v>424</v>
      </c>
      <c r="H61" s="6" t="s">
        <v>425</v>
      </c>
      <c r="I61" s="6" t="s">
        <v>119</v>
      </c>
      <c r="J61" s="6" t="s">
        <v>93</v>
      </c>
      <c r="K61" s="7"/>
      <c r="L61" s="7"/>
      <c r="M61" s="7"/>
      <c r="N61" s="7"/>
      <c r="O61" s="7"/>
      <c r="P61" s="7"/>
    </row>
    <row r="62" customFormat="false" ht="15" hidden="false" customHeight="false" outlineLevel="0" collapsed="false">
      <c r="A62" s="11" t="s">
        <v>48</v>
      </c>
      <c r="B62" s="6" t="s">
        <v>48</v>
      </c>
      <c r="C62" s="6" t="s">
        <v>426</v>
      </c>
      <c r="D62" s="6" t="s">
        <v>427</v>
      </c>
      <c r="E62" s="6" t="s">
        <v>428</v>
      </c>
      <c r="F62" s="6" t="s">
        <v>429</v>
      </c>
      <c r="G62" s="6" t="s">
        <v>430</v>
      </c>
      <c r="H62" s="6" t="s">
        <v>431</v>
      </c>
      <c r="I62" s="6" t="s">
        <v>119</v>
      </c>
      <c r="J62" s="6" t="s">
        <v>93</v>
      </c>
      <c r="K62" s="7"/>
      <c r="L62" s="7"/>
      <c r="M62" s="7"/>
      <c r="N62" s="7"/>
      <c r="O62" s="7"/>
      <c r="P62" s="7"/>
    </row>
    <row r="63" customFormat="false" ht="15" hidden="false" customHeight="false" outlineLevel="0" collapsed="false">
      <c r="A63" s="11" t="s">
        <v>53</v>
      </c>
      <c r="B63" s="6" t="s">
        <v>53</v>
      </c>
      <c r="C63" s="6" t="s">
        <v>432</v>
      </c>
      <c r="D63" s="6" t="s">
        <v>433</v>
      </c>
      <c r="E63" s="6" t="s">
        <v>434</v>
      </c>
      <c r="F63" s="6" t="s">
        <v>435</v>
      </c>
      <c r="G63" s="6" t="s">
        <v>436</v>
      </c>
      <c r="H63" s="6" t="s">
        <v>40</v>
      </c>
      <c r="I63" s="6" t="s">
        <v>119</v>
      </c>
      <c r="J63" s="6" t="s">
        <v>55</v>
      </c>
      <c r="K63" s="7"/>
      <c r="L63" s="7"/>
      <c r="M63" s="7"/>
      <c r="N63" s="7"/>
      <c r="O63" s="7"/>
      <c r="P63" s="7"/>
    </row>
    <row r="64" customFormat="false" ht="22.35" hidden="false" customHeight="false" outlineLevel="0" collapsed="false">
      <c r="A64" s="11" t="s">
        <v>53</v>
      </c>
      <c r="B64" s="6" t="s">
        <v>53</v>
      </c>
      <c r="C64" s="6" t="s">
        <v>437</v>
      </c>
      <c r="D64" s="6" t="s">
        <v>438</v>
      </c>
      <c r="E64" s="6" t="s">
        <v>439</v>
      </c>
      <c r="F64" s="6" t="s">
        <v>440</v>
      </c>
      <c r="G64" s="6" t="s">
        <v>441</v>
      </c>
      <c r="H64" s="6" t="s">
        <v>40</v>
      </c>
      <c r="I64" s="6" t="s">
        <v>119</v>
      </c>
      <c r="J64" s="6" t="s">
        <v>55</v>
      </c>
      <c r="K64" s="7"/>
      <c r="L64" s="7"/>
      <c r="M64" s="7"/>
      <c r="N64" s="7"/>
      <c r="O64" s="7"/>
      <c r="P64" s="7"/>
    </row>
    <row r="66" customFormat="false" ht="15" hidden="false" customHeight="false" outlineLevel="0" collapsed="false">
      <c r="A66" s="12" t="s">
        <v>442</v>
      </c>
    </row>
  </sheetData>
  <autoFilter ref="A1:P64"/>
  <conditionalFormatting sqref="K2:K64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"Con cambios"</formula>
    </cfRule>
    <cfRule type="cellIs" priority="5" operator="equal" aboveAverage="0" equalAverage="0" bottom="0" percent="0" rank="0" text="" dxfId="2">
      <formula>"Duda"</formula>
    </cfRule>
  </conditionalFormatting>
  <dataValidations count="2">
    <dataValidation allowBlank="true" errorStyle="stop" operator="between" showDropDown="false" showErrorMessage="false" showInputMessage="false" sqref="K2:K64" type="list">
      <formula1>"Sí,No,Con cambios,Duda"</formula1>
      <formula2>0</formula2>
    </dataValidation>
    <dataValidation allowBlank="true" errorStyle="stop" operator="between" showDropDown="false" showErrorMessage="false" showInputMessage="false" sqref="M2:M64" type="list">
      <formula1>"Sube,Se mantiene,Baja,Fuera"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4" t="s">
        <v>443</v>
      </c>
      <c r="B1" s="4" t="s">
        <v>444</v>
      </c>
      <c r="C1" s="4" t="s">
        <v>445</v>
      </c>
      <c r="D1" s="4" t="s">
        <v>446</v>
      </c>
      <c r="E1" s="4" t="s">
        <v>447</v>
      </c>
      <c r="F1" s="4" t="s">
        <v>448</v>
      </c>
      <c r="G1" s="4" t="s">
        <v>449</v>
      </c>
      <c r="H1" s="4" t="s">
        <v>450</v>
      </c>
      <c r="I1" s="4" t="s">
        <v>451</v>
      </c>
    </row>
    <row r="2" customFormat="false" ht="15" hidden="false" customHeight="false" outlineLevel="0" collapsed="false">
      <c r="A2" s="6" t="s">
        <v>172</v>
      </c>
      <c r="B2" s="6" t="s">
        <v>452</v>
      </c>
      <c r="C2" s="6" t="s">
        <v>167</v>
      </c>
      <c r="D2" s="6" t="s">
        <v>453</v>
      </c>
      <c r="E2" s="7" t="s">
        <v>454</v>
      </c>
      <c r="F2" s="7"/>
      <c r="G2" s="7"/>
      <c r="H2" s="7"/>
      <c r="I2" s="7"/>
    </row>
    <row r="3" customFormat="false" ht="22.35" hidden="false" customHeight="false" outlineLevel="0" collapsed="false">
      <c r="A3" s="6" t="s">
        <v>455</v>
      </c>
      <c r="B3" s="6" t="s">
        <v>456</v>
      </c>
      <c r="C3" s="6" t="s">
        <v>161</v>
      </c>
      <c r="D3" s="6" t="s">
        <v>453</v>
      </c>
      <c r="E3" s="7" t="s">
        <v>454</v>
      </c>
      <c r="F3" s="7"/>
      <c r="G3" s="7"/>
      <c r="H3" s="7"/>
      <c r="I3" s="7"/>
    </row>
    <row r="4" customFormat="false" ht="15" hidden="false" customHeight="false" outlineLevel="0" collapsed="false">
      <c r="A4" s="6" t="s">
        <v>457</v>
      </c>
      <c r="B4" s="6" t="s">
        <v>458</v>
      </c>
      <c r="C4" s="6" t="s">
        <v>268</v>
      </c>
      <c r="D4" s="6" t="s">
        <v>459</v>
      </c>
      <c r="E4" s="7" t="s">
        <v>454</v>
      </c>
      <c r="F4" s="7"/>
      <c r="G4" s="7"/>
      <c r="H4" s="7"/>
      <c r="I4" s="7"/>
    </row>
    <row r="5" customFormat="false" ht="15" hidden="false" customHeight="false" outlineLevel="0" collapsed="false">
      <c r="A5" s="6" t="s">
        <v>190</v>
      </c>
      <c r="B5" s="6" t="s">
        <v>460</v>
      </c>
      <c r="C5" s="6" t="s">
        <v>185</v>
      </c>
      <c r="D5" s="6" t="s">
        <v>453</v>
      </c>
      <c r="E5" s="7" t="s">
        <v>454</v>
      </c>
      <c r="F5" s="7"/>
      <c r="G5" s="7"/>
      <c r="H5" s="7"/>
      <c r="I5" s="7"/>
    </row>
    <row r="6" customFormat="false" ht="15" hidden="false" customHeight="false" outlineLevel="0" collapsed="false">
      <c r="A6" s="6" t="s">
        <v>197</v>
      </c>
      <c r="B6" s="6" t="s">
        <v>461</v>
      </c>
      <c r="C6" s="6" t="s">
        <v>192</v>
      </c>
      <c r="D6" s="6" t="s">
        <v>453</v>
      </c>
      <c r="E6" s="7" t="s">
        <v>454</v>
      </c>
      <c r="F6" s="7"/>
      <c r="G6" s="7"/>
      <c r="H6" s="7"/>
      <c r="I6" s="7"/>
    </row>
    <row r="7" customFormat="false" ht="15" hidden="false" customHeight="false" outlineLevel="0" collapsed="false">
      <c r="A7" s="6" t="s">
        <v>308</v>
      </c>
      <c r="B7" s="6" t="s">
        <v>462</v>
      </c>
      <c r="C7" s="6" t="s">
        <v>303</v>
      </c>
      <c r="D7" s="6" t="s">
        <v>453</v>
      </c>
      <c r="E7" s="7" t="s">
        <v>454</v>
      </c>
      <c r="F7" s="7"/>
      <c r="G7" s="7"/>
      <c r="H7" s="7"/>
      <c r="I7" s="7"/>
    </row>
    <row r="8" customFormat="false" ht="15" hidden="false" customHeight="false" outlineLevel="0" collapsed="false">
      <c r="A8" s="6" t="s">
        <v>213</v>
      </c>
      <c r="B8" s="6" t="s">
        <v>463</v>
      </c>
      <c r="C8" s="6" t="s">
        <v>464</v>
      </c>
      <c r="D8" s="6" t="s">
        <v>465</v>
      </c>
      <c r="E8" s="7" t="s">
        <v>454</v>
      </c>
      <c r="F8" s="7"/>
      <c r="G8" s="7"/>
      <c r="H8" s="7"/>
      <c r="I8" s="7"/>
    </row>
    <row r="9" customFormat="false" ht="15" hidden="false" customHeight="false" outlineLevel="0" collapsed="false">
      <c r="A9" s="6" t="s">
        <v>219</v>
      </c>
      <c r="B9" s="6" t="s">
        <v>466</v>
      </c>
      <c r="C9" s="6" t="s">
        <v>215</v>
      </c>
      <c r="D9" s="6" t="s">
        <v>467</v>
      </c>
      <c r="E9" s="7" t="s">
        <v>454</v>
      </c>
      <c r="F9" s="7"/>
      <c r="G9" s="7"/>
      <c r="H9" s="7"/>
      <c r="I9" s="7"/>
    </row>
    <row r="10" customFormat="false" ht="15" hidden="false" customHeight="false" outlineLevel="0" collapsed="false">
      <c r="A10" s="6" t="s">
        <v>225</v>
      </c>
      <c r="B10" s="6" t="s">
        <v>468</v>
      </c>
      <c r="C10" s="6" t="s">
        <v>221</v>
      </c>
      <c r="D10" s="6" t="s">
        <v>467</v>
      </c>
      <c r="E10" s="7" t="s">
        <v>454</v>
      </c>
      <c r="F10" s="7"/>
      <c r="G10" s="7"/>
      <c r="H10" s="7"/>
      <c r="I10" s="7"/>
    </row>
    <row r="11" customFormat="false" ht="15" hidden="false" customHeight="false" outlineLevel="0" collapsed="false">
      <c r="A11" s="6" t="s">
        <v>231</v>
      </c>
      <c r="B11" s="6" t="s">
        <v>469</v>
      </c>
      <c r="C11" s="6" t="s">
        <v>227</v>
      </c>
      <c r="D11" s="6" t="s">
        <v>467</v>
      </c>
      <c r="E11" s="7" t="s">
        <v>454</v>
      </c>
      <c r="F11" s="7"/>
      <c r="G11" s="7"/>
      <c r="H11" s="7"/>
      <c r="I11" s="7"/>
    </row>
    <row r="12" customFormat="false" ht="15" hidden="false" customHeight="false" outlineLevel="0" collapsed="false">
      <c r="A12" s="6" t="s">
        <v>238</v>
      </c>
      <c r="B12" s="6" t="s">
        <v>470</v>
      </c>
      <c r="C12" s="6" t="s">
        <v>233</v>
      </c>
      <c r="D12" s="6" t="s">
        <v>471</v>
      </c>
      <c r="E12" s="7" t="s">
        <v>454</v>
      </c>
      <c r="F12" s="7"/>
      <c r="G12" s="7"/>
      <c r="H12" s="7"/>
      <c r="I12" s="7"/>
    </row>
    <row r="13" customFormat="false" ht="15" hidden="false" customHeight="false" outlineLevel="0" collapsed="false">
      <c r="A13" s="6" t="s">
        <v>243</v>
      </c>
      <c r="B13" s="6" t="s">
        <v>472</v>
      </c>
      <c r="C13" s="6" t="s">
        <v>239</v>
      </c>
      <c r="D13" s="6" t="s">
        <v>471</v>
      </c>
      <c r="E13" s="7" t="s">
        <v>454</v>
      </c>
      <c r="F13" s="7"/>
      <c r="G13" s="7"/>
      <c r="H13" s="7"/>
      <c r="I13" s="7"/>
    </row>
    <row r="14" customFormat="false" ht="15" hidden="false" customHeight="false" outlineLevel="0" collapsed="false">
      <c r="A14" s="6" t="s">
        <v>249</v>
      </c>
      <c r="B14" s="6" t="s">
        <v>473</v>
      </c>
      <c r="C14" s="6" t="s">
        <v>245</v>
      </c>
      <c r="D14" s="6" t="s">
        <v>474</v>
      </c>
      <c r="E14" s="7" t="s">
        <v>454</v>
      </c>
      <c r="F14" s="7"/>
      <c r="G14" s="7"/>
      <c r="H14" s="7"/>
      <c r="I14" s="7"/>
    </row>
    <row r="15" customFormat="false" ht="15" hidden="false" customHeight="false" outlineLevel="0" collapsed="false">
      <c r="A15" s="6" t="s">
        <v>255</v>
      </c>
      <c r="B15" s="6" t="s">
        <v>252</v>
      </c>
      <c r="C15" s="6" t="s">
        <v>251</v>
      </c>
      <c r="D15" s="6" t="s">
        <v>474</v>
      </c>
      <c r="E15" s="7" t="s">
        <v>454</v>
      </c>
      <c r="F15" s="7"/>
      <c r="G15" s="7"/>
      <c r="H15" s="7"/>
      <c r="I15" s="7"/>
    </row>
    <row r="16" customFormat="false" ht="15" hidden="false" customHeight="false" outlineLevel="0" collapsed="false">
      <c r="A16" s="6" t="s">
        <v>475</v>
      </c>
      <c r="B16" s="6" t="s">
        <v>476</v>
      </c>
      <c r="C16" s="6" t="s">
        <v>289</v>
      </c>
      <c r="D16" s="6" t="s">
        <v>477</v>
      </c>
      <c r="E16" s="7" t="s">
        <v>454</v>
      </c>
      <c r="F16" s="7"/>
      <c r="G16" s="7"/>
      <c r="H16" s="7"/>
      <c r="I16" s="7"/>
    </row>
    <row r="17" customFormat="false" ht="15" hidden="false" customHeight="false" outlineLevel="0" collapsed="false">
      <c r="A17" s="6" t="s">
        <v>324</v>
      </c>
      <c r="B17" s="6" t="s">
        <v>478</v>
      </c>
      <c r="C17" s="6" t="s">
        <v>319</v>
      </c>
      <c r="D17" s="6" t="s">
        <v>474</v>
      </c>
      <c r="E17" s="7" t="s">
        <v>454</v>
      </c>
      <c r="F17" s="7"/>
      <c r="G17" s="7"/>
      <c r="H17" s="7"/>
      <c r="I17" s="7"/>
    </row>
    <row r="18" customFormat="false" ht="15" hidden="false" customHeight="false" outlineLevel="0" collapsed="false">
      <c r="A18" s="6" t="s">
        <v>203</v>
      </c>
      <c r="B18" s="6" t="s">
        <v>479</v>
      </c>
      <c r="C18" s="6" t="s">
        <v>199</v>
      </c>
      <c r="D18" s="6" t="s">
        <v>474</v>
      </c>
      <c r="E18" s="7" t="s">
        <v>454</v>
      </c>
      <c r="F18" s="7"/>
      <c r="G18" s="7"/>
      <c r="H18" s="7"/>
      <c r="I18" s="7"/>
    </row>
    <row r="19" customFormat="false" ht="15" hidden="false" customHeight="false" outlineLevel="0" collapsed="false">
      <c r="A19" s="6" t="s">
        <v>341</v>
      </c>
      <c r="B19" s="6" t="s">
        <v>480</v>
      </c>
      <c r="C19" s="6" t="s">
        <v>337</v>
      </c>
      <c r="D19" s="6" t="s">
        <v>481</v>
      </c>
      <c r="E19" s="7" t="s">
        <v>454</v>
      </c>
      <c r="F19" s="7"/>
      <c r="G19" s="7"/>
      <c r="H19" s="7"/>
      <c r="I19" s="7"/>
    </row>
    <row r="20" customFormat="false" ht="15" hidden="false" customHeight="false" outlineLevel="0" collapsed="false">
      <c r="A20" s="6" t="s">
        <v>336</v>
      </c>
      <c r="B20" s="6" t="s">
        <v>482</v>
      </c>
      <c r="C20" s="6" t="s">
        <v>332</v>
      </c>
      <c r="D20" s="6" t="s">
        <v>483</v>
      </c>
      <c r="E20" s="7" t="s">
        <v>454</v>
      </c>
      <c r="F20" s="7"/>
      <c r="G20" s="7"/>
      <c r="H20" s="7"/>
      <c r="I20" s="7"/>
    </row>
  </sheetData>
  <conditionalFormatting sqref="E2:E20">
    <cfRule type="cellIs" priority="2" operator="equal" aboveAverage="0" equalAverage="0" bottom="0" percent="0" rank="0" text="" dxfId="0">
      <formula>"Decidida"</formula>
    </cfRule>
    <cfRule type="cellIs" priority="3" operator="equal" aboveAverage="0" equalAverage="0" bottom="0" percent="0" rank="0" text="" dxfId="2">
      <formula>"Pendiente"</formula>
    </cfRule>
  </conditionalFormatting>
  <dataValidations count="1">
    <dataValidation allowBlank="true" errorStyle="stop" operator="between" showDropDown="false" showErrorMessage="false" showInputMessage="false" sqref="E2:E20" type="list">
      <formula1>"Pendiente,Decidida,Aplazada,No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40"/>
  </cols>
  <sheetData>
    <row r="1" customFormat="false" ht="31.5" hidden="false" customHeight="true" outlineLevel="0" collapsed="false">
      <c r="A1" s="4" t="s">
        <v>101</v>
      </c>
      <c r="B1" s="4" t="s">
        <v>484</v>
      </c>
      <c r="C1" s="4" t="s">
        <v>485</v>
      </c>
      <c r="D1" s="4" t="s">
        <v>486</v>
      </c>
      <c r="E1" s="4" t="s">
        <v>487</v>
      </c>
      <c r="F1" s="4" t="s">
        <v>488</v>
      </c>
      <c r="G1" s="4" t="s">
        <v>489</v>
      </c>
      <c r="H1" s="4" t="s">
        <v>490</v>
      </c>
      <c r="I1" s="4" t="s">
        <v>491</v>
      </c>
    </row>
    <row r="2" customFormat="false" ht="15" hidden="false" customHeight="false" outlineLevel="0" collapsed="false">
      <c r="A2" s="6" t="s">
        <v>109</v>
      </c>
      <c r="B2" s="6" t="s">
        <v>492</v>
      </c>
      <c r="C2" s="6" t="s">
        <v>493</v>
      </c>
      <c r="D2" s="6"/>
      <c r="E2" s="6"/>
      <c r="F2" s="6"/>
      <c r="G2" s="6"/>
      <c r="H2" s="6"/>
      <c r="I2" s="7"/>
    </row>
    <row r="3" customFormat="false" ht="15" hidden="false" customHeight="false" outlineLevel="0" collapsed="false">
      <c r="A3" s="6" t="s">
        <v>66</v>
      </c>
      <c r="B3" s="6" t="s">
        <v>494</v>
      </c>
      <c r="C3" s="6" t="s">
        <v>495</v>
      </c>
      <c r="D3" s="6"/>
      <c r="E3" s="6"/>
      <c r="F3" s="6"/>
      <c r="G3" s="6"/>
      <c r="H3" s="6"/>
      <c r="I3" s="7"/>
    </row>
    <row r="4" customFormat="false" ht="15" hidden="false" customHeight="false" outlineLevel="0" collapsed="false">
      <c r="A4" s="6" t="s">
        <v>160</v>
      </c>
      <c r="B4" s="6" t="s">
        <v>496</v>
      </c>
      <c r="C4" s="6"/>
      <c r="D4" s="6" t="s">
        <v>497</v>
      </c>
      <c r="E4" s="6"/>
      <c r="F4" s="6"/>
      <c r="G4" s="6"/>
      <c r="H4" s="6"/>
      <c r="I4" s="7"/>
    </row>
    <row r="5" customFormat="false" ht="15" hidden="false" customHeight="false" outlineLevel="0" collapsed="false">
      <c r="A5" s="6" t="s">
        <v>173</v>
      </c>
      <c r="B5" s="6" t="s">
        <v>498</v>
      </c>
      <c r="C5" s="6"/>
      <c r="D5" s="6" t="s">
        <v>499</v>
      </c>
      <c r="E5" s="6" t="s">
        <v>500</v>
      </c>
      <c r="F5" s="6"/>
      <c r="G5" s="6"/>
      <c r="H5" s="6"/>
      <c r="I5" s="7"/>
    </row>
    <row r="6" customFormat="false" ht="15" hidden="false" customHeight="false" outlineLevel="0" collapsed="false">
      <c r="A6" s="6" t="s">
        <v>184</v>
      </c>
      <c r="B6" s="6" t="s">
        <v>501</v>
      </c>
      <c r="C6" s="6"/>
      <c r="D6" s="6" t="s">
        <v>179</v>
      </c>
      <c r="E6" s="6" t="s">
        <v>502</v>
      </c>
      <c r="F6" s="6"/>
      <c r="G6" s="6"/>
      <c r="H6" s="6"/>
      <c r="I6" s="7"/>
    </row>
    <row r="7" customFormat="false" ht="15" hidden="false" customHeight="false" outlineLevel="0" collapsed="false">
      <c r="A7" s="6" t="s">
        <v>191</v>
      </c>
      <c r="B7" s="6" t="s">
        <v>503</v>
      </c>
      <c r="C7" s="6"/>
      <c r="D7" s="6" t="s">
        <v>185</v>
      </c>
      <c r="E7" s="6"/>
      <c r="F7" s="6" t="s">
        <v>257</v>
      </c>
      <c r="G7" s="6"/>
      <c r="H7" s="6"/>
      <c r="I7" s="7"/>
    </row>
    <row r="8" customFormat="false" ht="15" hidden="false" customHeight="false" outlineLevel="0" collapsed="false">
      <c r="A8" s="6" t="s">
        <v>198</v>
      </c>
      <c r="B8" s="6" t="s">
        <v>504</v>
      </c>
      <c r="C8" s="6"/>
      <c r="D8" s="6" t="s">
        <v>192</v>
      </c>
      <c r="E8" s="6" t="s">
        <v>505</v>
      </c>
      <c r="F8" s="6" t="s">
        <v>263</v>
      </c>
      <c r="G8" s="6"/>
      <c r="H8" s="6"/>
      <c r="I8" s="7"/>
    </row>
    <row r="9" customFormat="false" ht="15" hidden="false" customHeight="false" outlineLevel="0" collapsed="false">
      <c r="A9" s="6" t="s">
        <v>204</v>
      </c>
      <c r="B9" s="6" t="s">
        <v>506</v>
      </c>
      <c r="C9" s="6"/>
      <c r="D9" s="6" t="s">
        <v>507</v>
      </c>
      <c r="E9" s="6" t="s">
        <v>508</v>
      </c>
      <c r="F9" s="6" t="s">
        <v>268</v>
      </c>
      <c r="G9" s="6"/>
      <c r="H9" s="6"/>
      <c r="I9" s="7"/>
    </row>
    <row r="10" customFormat="false" ht="15" hidden="false" customHeight="false" outlineLevel="0" collapsed="false">
      <c r="A10" s="6" t="s">
        <v>278</v>
      </c>
      <c r="B10" s="6" t="s">
        <v>509</v>
      </c>
      <c r="C10" s="6"/>
      <c r="D10" s="6"/>
      <c r="E10" s="6"/>
      <c r="F10" s="6" t="s">
        <v>274</v>
      </c>
      <c r="G10" s="6"/>
      <c r="H10" s="6"/>
      <c r="I10" s="7"/>
    </row>
    <row r="11" customFormat="false" ht="15" hidden="false" customHeight="false" outlineLevel="0" collapsed="false">
      <c r="A11" s="6" t="s">
        <v>283</v>
      </c>
      <c r="B11" s="6" t="s">
        <v>510</v>
      </c>
      <c r="C11" s="6"/>
      <c r="D11" s="6"/>
      <c r="E11" s="6" t="s">
        <v>511</v>
      </c>
      <c r="F11" s="6" t="s">
        <v>512</v>
      </c>
      <c r="G11" s="6" t="s">
        <v>303</v>
      </c>
      <c r="H11" s="6"/>
      <c r="I11" s="7"/>
    </row>
    <row r="12" customFormat="false" ht="15" hidden="false" customHeight="false" outlineLevel="0" collapsed="false">
      <c r="A12" s="6" t="s">
        <v>294</v>
      </c>
      <c r="B12" s="6" t="s">
        <v>513</v>
      </c>
      <c r="C12" s="6"/>
      <c r="D12" s="6"/>
      <c r="E12" s="6" t="s">
        <v>514</v>
      </c>
      <c r="F12" s="6" t="s">
        <v>515</v>
      </c>
      <c r="G12" s="6" t="s">
        <v>309</v>
      </c>
      <c r="H12" s="6"/>
      <c r="I12" s="7"/>
    </row>
    <row r="13" customFormat="false" ht="15" hidden="false" customHeight="false" outlineLevel="0" collapsed="false">
      <c r="A13" s="6" t="s">
        <v>318</v>
      </c>
      <c r="B13" s="6" t="s">
        <v>516</v>
      </c>
      <c r="C13" s="6"/>
      <c r="D13" s="6"/>
      <c r="E13" s="6" t="s">
        <v>252</v>
      </c>
      <c r="F13" s="6"/>
      <c r="G13" s="6" t="s">
        <v>313</v>
      </c>
      <c r="H13" s="6"/>
      <c r="I13" s="7"/>
    </row>
    <row r="14" customFormat="false" ht="15" hidden="false" customHeight="false" outlineLevel="0" collapsed="false">
      <c r="A14" s="6" t="s">
        <v>325</v>
      </c>
      <c r="B14" s="6" t="s">
        <v>517</v>
      </c>
      <c r="C14" s="6"/>
      <c r="D14" s="6"/>
      <c r="E14" s="6"/>
      <c r="F14" s="6"/>
      <c r="G14" s="6" t="s">
        <v>319</v>
      </c>
      <c r="H14" s="6"/>
      <c r="I14" s="7"/>
    </row>
    <row r="15" customFormat="false" ht="15" hidden="false" customHeight="false" outlineLevel="0" collapsed="false">
      <c r="A15" s="6" t="s">
        <v>331</v>
      </c>
      <c r="B15" s="6" t="s">
        <v>518</v>
      </c>
      <c r="C15" s="6"/>
      <c r="D15" s="6"/>
      <c r="E15" s="6"/>
      <c r="F15" s="6"/>
      <c r="G15" s="6" t="s">
        <v>326</v>
      </c>
      <c r="H15" s="6" t="s">
        <v>332</v>
      </c>
      <c r="I15" s="7"/>
    </row>
    <row r="16" customFormat="false" ht="15" hidden="false" customHeight="false" outlineLevel="0" collapsed="false">
      <c r="A16" s="6" t="s">
        <v>342</v>
      </c>
      <c r="B16" s="6" t="s">
        <v>519</v>
      </c>
      <c r="C16" s="6"/>
      <c r="D16" s="6"/>
      <c r="E16" s="6"/>
      <c r="F16" s="6"/>
      <c r="G16" s="6"/>
      <c r="H16" s="6" t="s">
        <v>520</v>
      </c>
      <c r="I16" s="7"/>
    </row>
    <row r="17" customFormat="false" ht="15" hidden="false" customHeight="false" outlineLevel="0" collapsed="false">
      <c r="A17" s="6" t="s">
        <v>521</v>
      </c>
      <c r="B17" s="6" t="s">
        <v>522</v>
      </c>
      <c r="C17" s="6"/>
      <c r="D17" s="6"/>
      <c r="E17" s="6"/>
      <c r="F17" s="6"/>
      <c r="G17" s="6"/>
      <c r="H17" s="6" t="s">
        <v>523</v>
      </c>
      <c r="I17" s="7"/>
    </row>
    <row r="18" customFormat="false" ht="15" hidden="false" customHeight="false" outlineLevel="0" collapsed="false">
      <c r="A18" s="6" t="s">
        <v>351</v>
      </c>
      <c r="B18" s="6" t="s">
        <v>524</v>
      </c>
      <c r="C18" s="6"/>
      <c r="D18" s="6"/>
      <c r="E18" s="6"/>
      <c r="F18" s="6"/>
      <c r="G18" s="6"/>
      <c r="H18" s="6" t="s">
        <v>525</v>
      </c>
      <c r="I18" s="7"/>
    </row>
    <row r="20" customFormat="false" ht="48" hidden="false" customHeight="true" outlineLevel="0" collapsed="false">
      <c r="A20" s="13" t="s">
        <v>526</v>
      </c>
      <c r="B20" s="13"/>
      <c r="C20" s="13"/>
      <c r="D20" s="13"/>
      <c r="E20" s="13"/>
      <c r="F20" s="13"/>
      <c r="G20" s="13"/>
      <c r="H20" s="13"/>
      <c r="I20" s="13"/>
    </row>
  </sheetData>
  <mergeCells count="1"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8" min="7" style="0" width="8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31.5" hidden="false" customHeight="true" outlineLevel="0" collapsed="false">
      <c r="A1" s="4" t="s">
        <v>58</v>
      </c>
      <c r="B1" s="4" t="s">
        <v>15</v>
      </c>
      <c r="C1" s="4" t="s">
        <v>527</v>
      </c>
      <c r="D1" s="4" t="s">
        <v>528</v>
      </c>
      <c r="E1" s="4" t="s">
        <v>529</v>
      </c>
      <c r="F1" s="4" t="s">
        <v>530</v>
      </c>
      <c r="G1" s="4" t="s">
        <v>531</v>
      </c>
      <c r="H1" s="4" t="s">
        <v>532</v>
      </c>
      <c r="I1" s="4" t="s">
        <v>533</v>
      </c>
      <c r="J1" s="4" t="s">
        <v>534</v>
      </c>
    </row>
    <row r="2" customFormat="false" ht="15" hidden="false" customHeight="false" outlineLevel="0" collapsed="false">
      <c r="A2" s="6" t="s">
        <v>25</v>
      </c>
      <c r="B2" s="6" t="s">
        <v>26</v>
      </c>
      <c r="C2" s="6" t="n">
        <f aca="false">COUNTIF(Tandas!$B:$B,A2)</f>
        <v>5</v>
      </c>
      <c r="D2" s="6" t="n">
        <f aca="false">COUNTIFS(Tandas!$B:$B,A2,Tandas!$K:$K,"&lt;&gt;")</f>
        <v>0</v>
      </c>
      <c r="E2" s="6" t="n">
        <f aca="false">COUNTIFS(Tandas!$B:$B,A2,Tandas!$K:$K,"Sí")</f>
        <v>0</v>
      </c>
      <c r="F2" s="6" t="n">
        <f aca="false">COUNTIFS(Tandas!$B:$B,A2,Tandas!$K:$K,"Con cambios")+COUNTIFS(Tandas!$B:$B,A2,Tandas!$K:$K,"Duda")</f>
        <v>0</v>
      </c>
      <c r="G2" s="6" t="n">
        <f aca="false">COUNTIFS(Tandas!$B:$B,A2,Tandas!$K:$K,"No")</f>
        <v>0</v>
      </c>
      <c r="H2" s="6" t="n">
        <f aca="false">COUNTIFS(Tandas!$B:$B,A2,Tandas!$M:$M,"Sube")</f>
        <v>0</v>
      </c>
      <c r="I2" s="6" t="n">
        <f aca="false">COUNTIFS(Tandas!$B:$B,A2,Tandas!$M:$M,"Baja")+COUNTIFS(Tandas!$B:$B,A2,Tandas!$M:$M,"Fuera")</f>
        <v>0</v>
      </c>
      <c r="J2" s="14" t="n">
        <f aca="false">IF(C2=0,0,D2/C2)</f>
        <v>0</v>
      </c>
    </row>
    <row r="3" customFormat="false" ht="15" hidden="false" customHeight="false" outlineLevel="0" collapsed="false">
      <c r="A3" s="6" t="s">
        <v>64</v>
      </c>
      <c r="B3" s="6" t="s">
        <v>65</v>
      </c>
      <c r="C3" s="6" t="n">
        <f aca="false">COUNTIF(Tandas!$B:$B,A3)</f>
        <v>5</v>
      </c>
      <c r="D3" s="6" t="n">
        <f aca="false">COUNTIFS(Tandas!$B:$B,A3,Tandas!$K:$K,"&lt;&gt;")</f>
        <v>0</v>
      </c>
      <c r="E3" s="6" t="n">
        <f aca="false">COUNTIFS(Tandas!$B:$B,A3,Tandas!$K:$K,"Sí")</f>
        <v>0</v>
      </c>
      <c r="F3" s="6" t="n">
        <f aca="false">COUNTIFS(Tandas!$B:$B,A3,Tandas!$K:$K,"Con cambios")+COUNTIFS(Tandas!$B:$B,A3,Tandas!$K:$K,"Duda")</f>
        <v>0</v>
      </c>
      <c r="G3" s="6" t="n">
        <f aca="false">COUNTIFS(Tandas!$B:$B,A3,Tandas!$K:$K,"No")</f>
        <v>0</v>
      </c>
      <c r="H3" s="6" t="n">
        <f aca="false">COUNTIFS(Tandas!$B:$B,A3,Tandas!$M:$M,"Sube")</f>
        <v>0</v>
      </c>
      <c r="I3" s="6" t="n">
        <f aca="false">COUNTIFS(Tandas!$B:$B,A3,Tandas!$M:$M,"Baja")+COUNTIFS(Tandas!$B:$B,A3,Tandas!$M:$M,"Fuera")</f>
        <v>0</v>
      </c>
      <c r="J3" s="14" t="n">
        <f aca="false">IF(C3=0,0,D3/C3)</f>
        <v>0</v>
      </c>
    </row>
    <row r="4" customFormat="false" ht="15" hidden="false" customHeight="false" outlineLevel="0" collapsed="false">
      <c r="A4" s="6" t="s">
        <v>68</v>
      </c>
      <c r="B4" s="6" t="s">
        <v>69</v>
      </c>
      <c r="C4" s="6" t="n">
        <f aca="false">COUNTIF(Tandas!$B:$B,A4)</f>
        <v>9</v>
      </c>
      <c r="D4" s="6" t="n">
        <f aca="false">COUNTIFS(Tandas!$B:$B,A4,Tandas!$K:$K,"&lt;&gt;")</f>
        <v>0</v>
      </c>
      <c r="E4" s="6" t="n">
        <f aca="false">COUNTIFS(Tandas!$B:$B,A4,Tandas!$K:$K,"Sí")</f>
        <v>0</v>
      </c>
      <c r="F4" s="6" t="n">
        <f aca="false">COUNTIFS(Tandas!$B:$B,A4,Tandas!$K:$K,"Con cambios")+COUNTIFS(Tandas!$B:$B,A4,Tandas!$K:$K,"Duda")</f>
        <v>0</v>
      </c>
      <c r="G4" s="6" t="n">
        <f aca="false">COUNTIFS(Tandas!$B:$B,A4,Tandas!$K:$K,"No")</f>
        <v>0</v>
      </c>
      <c r="H4" s="6" t="n">
        <f aca="false">COUNTIFS(Tandas!$B:$B,A4,Tandas!$M:$M,"Sube")</f>
        <v>0</v>
      </c>
      <c r="I4" s="6" t="n">
        <f aca="false">COUNTIFS(Tandas!$B:$B,A4,Tandas!$M:$M,"Baja")+COUNTIFS(Tandas!$B:$B,A4,Tandas!$M:$M,"Fuera")</f>
        <v>0</v>
      </c>
      <c r="J4" s="14" t="n">
        <f aca="false">IF(C4=0,0,D4/C4)</f>
        <v>0</v>
      </c>
    </row>
    <row r="5" customFormat="false" ht="15" hidden="false" customHeight="false" outlineLevel="0" collapsed="false">
      <c r="A5" s="6" t="s">
        <v>72</v>
      </c>
      <c r="B5" s="6" t="s">
        <v>73</v>
      </c>
      <c r="C5" s="6" t="n">
        <f aca="false">COUNTIF(Tandas!$B:$B,A5)</f>
        <v>8</v>
      </c>
      <c r="D5" s="6" t="n">
        <f aca="false">COUNTIFS(Tandas!$B:$B,A5,Tandas!$K:$K,"&lt;&gt;")</f>
        <v>0</v>
      </c>
      <c r="E5" s="6" t="n">
        <f aca="false">COUNTIFS(Tandas!$B:$B,A5,Tandas!$K:$K,"Sí")</f>
        <v>0</v>
      </c>
      <c r="F5" s="6" t="n">
        <f aca="false">COUNTIFS(Tandas!$B:$B,A5,Tandas!$K:$K,"Con cambios")+COUNTIFS(Tandas!$B:$B,A5,Tandas!$K:$K,"Duda")</f>
        <v>0</v>
      </c>
      <c r="G5" s="6" t="n">
        <f aca="false">COUNTIFS(Tandas!$B:$B,A5,Tandas!$K:$K,"No")</f>
        <v>0</v>
      </c>
      <c r="H5" s="6" t="n">
        <f aca="false">COUNTIFS(Tandas!$B:$B,A5,Tandas!$M:$M,"Sube")</f>
        <v>0</v>
      </c>
      <c r="I5" s="6" t="n">
        <f aca="false">COUNTIFS(Tandas!$B:$B,A5,Tandas!$M:$M,"Baja")+COUNTIFS(Tandas!$B:$B,A5,Tandas!$M:$M,"Fuera")</f>
        <v>0</v>
      </c>
      <c r="J5" s="14" t="n">
        <f aca="false">IF(C5=0,0,D5/C5)</f>
        <v>0</v>
      </c>
    </row>
    <row r="6" customFormat="false" ht="15" hidden="false" customHeight="false" outlineLevel="0" collapsed="false">
      <c r="A6" s="6" t="s">
        <v>76</v>
      </c>
      <c r="B6" s="6" t="s">
        <v>77</v>
      </c>
      <c r="C6" s="6" t="n">
        <f aca="false">COUNTIF(Tandas!$B:$B,A6)</f>
        <v>9</v>
      </c>
      <c r="D6" s="6" t="n">
        <f aca="false">COUNTIFS(Tandas!$B:$B,A6,Tandas!$K:$K,"&lt;&gt;")</f>
        <v>0</v>
      </c>
      <c r="E6" s="6" t="n">
        <f aca="false">COUNTIFS(Tandas!$B:$B,A6,Tandas!$K:$K,"Sí")</f>
        <v>0</v>
      </c>
      <c r="F6" s="6" t="n">
        <f aca="false">COUNTIFS(Tandas!$B:$B,A6,Tandas!$K:$K,"Con cambios")+COUNTIFS(Tandas!$B:$B,A6,Tandas!$K:$K,"Duda")</f>
        <v>0</v>
      </c>
      <c r="G6" s="6" t="n">
        <f aca="false">COUNTIFS(Tandas!$B:$B,A6,Tandas!$K:$K,"No")</f>
        <v>0</v>
      </c>
      <c r="H6" s="6" t="n">
        <f aca="false">COUNTIFS(Tandas!$B:$B,A6,Tandas!$M:$M,"Sube")</f>
        <v>0</v>
      </c>
      <c r="I6" s="6" t="n">
        <f aca="false">COUNTIFS(Tandas!$B:$B,A6,Tandas!$M:$M,"Baja")+COUNTIFS(Tandas!$B:$B,A6,Tandas!$M:$M,"Fuera")</f>
        <v>0</v>
      </c>
      <c r="J6" s="14" t="n">
        <f aca="false">IF(C6=0,0,D6/C6)</f>
        <v>0</v>
      </c>
    </row>
    <row r="7" customFormat="false" ht="15" hidden="false" customHeight="false" outlineLevel="0" collapsed="false">
      <c r="A7" s="6" t="s">
        <v>80</v>
      </c>
      <c r="B7" s="6" t="s">
        <v>81</v>
      </c>
      <c r="C7" s="6" t="n">
        <f aca="false">COUNTIF(Tandas!$B:$B,A7)</f>
        <v>5</v>
      </c>
      <c r="D7" s="6" t="n">
        <f aca="false">COUNTIFS(Tandas!$B:$B,A7,Tandas!$K:$K,"&lt;&gt;")</f>
        <v>0</v>
      </c>
      <c r="E7" s="6" t="n">
        <f aca="false">COUNTIFS(Tandas!$B:$B,A7,Tandas!$K:$K,"Sí")</f>
        <v>0</v>
      </c>
      <c r="F7" s="6" t="n">
        <f aca="false">COUNTIFS(Tandas!$B:$B,A7,Tandas!$K:$K,"Con cambios")+COUNTIFS(Tandas!$B:$B,A7,Tandas!$K:$K,"Duda")</f>
        <v>0</v>
      </c>
      <c r="G7" s="6" t="n">
        <f aca="false">COUNTIFS(Tandas!$B:$B,A7,Tandas!$K:$K,"No")</f>
        <v>0</v>
      </c>
      <c r="H7" s="6" t="n">
        <f aca="false">COUNTIFS(Tandas!$B:$B,A7,Tandas!$M:$M,"Sube")</f>
        <v>0</v>
      </c>
      <c r="I7" s="6" t="n">
        <f aca="false">COUNTIFS(Tandas!$B:$B,A7,Tandas!$M:$M,"Baja")+COUNTIFS(Tandas!$B:$B,A7,Tandas!$M:$M,"Fuera")</f>
        <v>0</v>
      </c>
      <c r="J7" s="14" t="n">
        <f aca="false">IF(C7=0,0,D7/C7)</f>
        <v>0</v>
      </c>
    </row>
    <row r="8" customFormat="false" ht="15" hidden="false" customHeight="false" outlineLevel="0" collapsed="false">
      <c r="A8" s="6" t="s">
        <v>84</v>
      </c>
      <c r="B8" s="6" t="s">
        <v>85</v>
      </c>
      <c r="C8" s="6" t="n">
        <f aca="false">COUNTIF(Tandas!$B:$B,A8)</f>
        <v>4</v>
      </c>
      <c r="D8" s="6" t="n">
        <f aca="false">COUNTIFS(Tandas!$B:$B,A8,Tandas!$K:$K,"&lt;&gt;")</f>
        <v>0</v>
      </c>
      <c r="E8" s="6" t="n">
        <f aca="false">COUNTIFS(Tandas!$B:$B,A8,Tandas!$K:$K,"Sí")</f>
        <v>0</v>
      </c>
      <c r="F8" s="6" t="n">
        <f aca="false">COUNTIFS(Tandas!$B:$B,A8,Tandas!$K:$K,"Con cambios")+COUNTIFS(Tandas!$B:$B,A8,Tandas!$K:$K,"Duda")</f>
        <v>0</v>
      </c>
      <c r="G8" s="6" t="n">
        <f aca="false">COUNTIFS(Tandas!$B:$B,A8,Tandas!$K:$K,"No")</f>
        <v>0</v>
      </c>
      <c r="H8" s="6" t="n">
        <f aca="false">COUNTIFS(Tandas!$B:$B,A8,Tandas!$M:$M,"Sube")</f>
        <v>0</v>
      </c>
      <c r="I8" s="6" t="n">
        <f aca="false">COUNTIFS(Tandas!$B:$B,A8,Tandas!$M:$M,"Baja")+COUNTIFS(Tandas!$B:$B,A8,Tandas!$M:$M,"Fuera")</f>
        <v>0</v>
      </c>
      <c r="J8" s="14" t="n">
        <f aca="false">IF(C8=0,0,D8/C8)</f>
        <v>0</v>
      </c>
    </row>
    <row r="9" customFormat="false" ht="15" hidden="false" customHeight="false" outlineLevel="0" collapsed="false">
      <c r="A9" s="6" t="s">
        <v>37</v>
      </c>
      <c r="B9" s="6" t="s">
        <v>38</v>
      </c>
      <c r="C9" s="6" t="n">
        <f aca="false">COUNTIF(Tandas!$B:$B,A9)</f>
        <v>8</v>
      </c>
      <c r="D9" s="6" t="n">
        <f aca="false">COUNTIFS(Tandas!$B:$B,A9,Tandas!$K:$K,"&lt;&gt;")</f>
        <v>0</v>
      </c>
      <c r="E9" s="6" t="n">
        <f aca="false">COUNTIFS(Tandas!$B:$B,A9,Tandas!$K:$K,"Sí")</f>
        <v>0</v>
      </c>
      <c r="F9" s="6" t="n">
        <f aca="false">COUNTIFS(Tandas!$B:$B,A9,Tandas!$K:$K,"Con cambios")+COUNTIFS(Tandas!$B:$B,A9,Tandas!$K:$K,"Duda")</f>
        <v>0</v>
      </c>
      <c r="G9" s="6" t="n">
        <f aca="false">COUNTIFS(Tandas!$B:$B,A9,Tandas!$K:$K,"No")</f>
        <v>0</v>
      </c>
      <c r="H9" s="6" t="n">
        <f aca="false">COUNTIFS(Tandas!$B:$B,A9,Tandas!$M:$M,"Sube")</f>
        <v>0</v>
      </c>
      <c r="I9" s="6" t="n">
        <f aca="false">COUNTIFS(Tandas!$B:$B,A9,Tandas!$M:$M,"Baja")+COUNTIFS(Tandas!$B:$B,A9,Tandas!$M:$M,"Fuera")</f>
        <v>0</v>
      </c>
      <c r="J9" s="14" t="n">
        <f aca="false">IF(C9=0,0,D9/C9)</f>
        <v>0</v>
      </c>
    </row>
    <row r="10" customFormat="false" ht="15" hidden="false" customHeight="false" outlineLevel="0" collapsed="false">
      <c r="A10" s="6" t="s">
        <v>43</v>
      </c>
      <c r="B10" s="6" t="s">
        <v>90</v>
      </c>
      <c r="C10" s="6" t="n">
        <f aca="false">COUNTIF(Tandas!$B:$B,A10)</f>
        <v>3</v>
      </c>
      <c r="D10" s="6" t="n">
        <f aca="false">COUNTIFS(Tandas!$B:$B,A10,Tandas!$K:$K,"&lt;&gt;")</f>
        <v>0</v>
      </c>
      <c r="E10" s="6" t="n">
        <f aca="false">COUNTIFS(Tandas!$B:$B,A10,Tandas!$K:$K,"Sí")</f>
        <v>0</v>
      </c>
      <c r="F10" s="6" t="n">
        <f aca="false">COUNTIFS(Tandas!$B:$B,A10,Tandas!$K:$K,"Con cambios")+COUNTIFS(Tandas!$B:$B,A10,Tandas!$K:$K,"Duda")</f>
        <v>0</v>
      </c>
      <c r="G10" s="6" t="n">
        <f aca="false">COUNTIFS(Tandas!$B:$B,A10,Tandas!$K:$K,"No")</f>
        <v>0</v>
      </c>
      <c r="H10" s="6" t="n">
        <f aca="false">COUNTIFS(Tandas!$B:$B,A10,Tandas!$M:$M,"Sube")</f>
        <v>0</v>
      </c>
      <c r="I10" s="6" t="n">
        <f aca="false">COUNTIFS(Tandas!$B:$B,A10,Tandas!$M:$M,"Baja")+COUNTIFS(Tandas!$B:$B,A10,Tandas!$M:$M,"Fuera")</f>
        <v>0</v>
      </c>
      <c r="J10" s="14" t="n">
        <f aca="false">IF(C10=0,0,D10/C10)</f>
        <v>0</v>
      </c>
    </row>
    <row r="11" customFormat="false" ht="15" hidden="false" customHeight="false" outlineLevel="0" collapsed="false">
      <c r="A11" s="6" t="s">
        <v>48</v>
      </c>
      <c r="B11" s="6" t="s">
        <v>49</v>
      </c>
      <c r="C11" s="6" t="n">
        <f aca="false">COUNTIF(Tandas!$B:$B,A11)</f>
        <v>5</v>
      </c>
      <c r="D11" s="6" t="n">
        <f aca="false">COUNTIFS(Tandas!$B:$B,A11,Tandas!$K:$K,"&lt;&gt;")</f>
        <v>0</v>
      </c>
      <c r="E11" s="6" t="n">
        <f aca="false">COUNTIFS(Tandas!$B:$B,A11,Tandas!$K:$K,"Sí")</f>
        <v>0</v>
      </c>
      <c r="F11" s="6" t="n">
        <f aca="false">COUNTIFS(Tandas!$B:$B,A11,Tandas!$K:$K,"Con cambios")+COUNTIFS(Tandas!$B:$B,A11,Tandas!$K:$K,"Duda")</f>
        <v>0</v>
      </c>
      <c r="G11" s="6" t="n">
        <f aca="false">COUNTIFS(Tandas!$B:$B,A11,Tandas!$K:$K,"No")</f>
        <v>0</v>
      </c>
      <c r="H11" s="6" t="n">
        <f aca="false">COUNTIFS(Tandas!$B:$B,A11,Tandas!$M:$M,"Sube")</f>
        <v>0</v>
      </c>
      <c r="I11" s="6" t="n">
        <f aca="false">COUNTIFS(Tandas!$B:$B,A11,Tandas!$M:$M,"Baja")+COUNTIFS(Tandas!$B:$B,A11,Tandas!$M:$M,"Fuera")</f>
        <v>0</v>
      </c>
      <c r="J11" s="14" t="n">
        <f aca="false">IF(C11=0,0,D11/C11)</f>
        <v>0</v>
      </c>
    </row>
    <row r="12" customFormat="false" ht="15" hidden="false" customHeight="false" outlineLevel="0" collapsed="false">
      <c r="A12" s="6" t="s">
        <v>53</v>
      </c>
      <c r="B12" s="6" t="s">
        <v>54</v>
      </c>
      <c r="C12" s="6" t="n">
        <f aca="false">COUNTIF(Tandas!$B:$B,A12)</f>
        <v>2</v>
      </c>
      <c r="D12" s="6" t="n">
        <f aca="false">COUNTIFS(Tandas!$B:$B,A12,Tandas!$K:$K,"&lt;&gt;")</f>
        <v>0</v>
      </c>
      <c r="E12" s="6" t="n">
        <f aca="false">COUNTIFS(Tandas!$B:$B,A12,Tandas!$K:$K,"Sí")</f>
        <v>0</v>
      </c>
      <c r="F12" s="6" t="n">
        <f aca="false">COUNTIFS(Tandas!$B:$B,A12,Tandas!$K:$K,"Con cambios")+COUNTIFS(Tandas!$B:$B,A12,Tandas!$K:$K,"Duda")</f>
        <v>0</v>
      </c>
      <c r="G12" s="6" t="n">
        <f aca="false">COUNTIFS(Tandas!$B:$B,A12,Tandas!$K:$K,"No")</f>
        <v>0</v>
      </c>
      <c r="H12" s="6" t="n">
        <f aca="false">COUNTIFS(Tandas!$B:$B,A12,Tandas!$M:$M,"Sube")</f>
        <v>0</v>
      </c>
      <c r="I12" s="6" t="n">
        <f aca="false">COUNTIFS(Tandas!$B:$B,A12,Tandas!$M:$M,"Baja")+COUNTIFS(Tandas!$B:$B,A12,Tandas!$M:$M,"Fuera")</f>
        <v>0</v>
      </c>
      <c r="J12" s="14" t="n">
        <f aca="false">IF(C12=0,0,D12/C12)</f>
        <v>0</v>
      </c>
    </row>
    <row r="13" customFormat="false" ht="15" hidden="false" customHeight="false" outlineLevel="0" collapsed="false">
      <c r="A13" s="15" t="s">
        <v>535</v>
      </c>
      <c r="B13" s="15"/>
      <c r="C13" s="15" t="n">
        <f aca="false">SUM(C2:C12)</f>
        <v>63</v>
      </c>
      <c r="D13" s="15" t="n">
        <f aca="false">SUM(D2:D12)</f>
        <v>0</v>
      </c>
      <c r="E13" s="15" t="n">
        <f aca="false">SUM(E2:E12)</f>
        <v>0</v>
      </c>
      <c r="F13" s="15" t="n">
        <f aca="false">SUM(F2:F12)</f>
        <v>0</v>
      </c>
      <c r="G13" s="15" t="n">
        <f aca="false">SUM(G2:G12)</f>
        <v>0</v>
      </c>
      <c r="H13" s="15" t="n">
        <f aca="false">SUM(H2:H12)</f>
        <v>0</v>
      </c>
      <c r="I13" s="15" t="n">
        <f aca="false">SUM(I2:I12)</f>
        <v>0</v>
      </c>
      <c r="J13" s="16" t="n">
        <f aca="false">IF(C13=0,0,D13/C13)</f>
        <v>0</v>
      </c>
    </row>
    <row r="15" customFormat="false" ht="15" hidden="false" customHeight="false" outlineLevel="0" collapsed="false">
      <c r="A15" s="17" t="s">
        <v>536</v>
      </c>
      <c r="B15" s="12" t="s">
        <v>537</v>
      </c>
      <c r="C15" s="18" t="n">
        <f aca="false">COUNTIF(Gates!$E:$E,"Decidida")</f>
        <v>0</v>
      </c>
      <c r="D15" s="18" t="n">
        <f aca="false">COUNTA(Gates!$A:$A)-1</f>
        <v>19</v>
      </c>
    </row>
    <row r="16" customFormat="false" ht="15" hidden="false" customHeight="false" outlineLevel="0" collapsed="false">
      <c r="A16" s="12" t="s">
        <v>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2026-09-07T23:43:15Z</dcterms:created>
  <dc:creator>openpyxl</dc:creator>
  <dc:description/>
  <dc:language>en-US</dc:language>
  <cp:lastModifiedBy/>
  <dcterms:modified xsi:type="dcterms:W3CDTF">2026-09-07T23:43:15Z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