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entarios" sheetId="1" r:id="rId5"/>
    <sheet state="visible" name="accesorios" sheetId="2" r:id="rId6"/>
    <sheet state="visible" name="equipos_clientes" sheetId="3" r:id="rId7"/>
    <sheet state="visible" name="datos_clientes" sheetId="4" r:id="rId8"/>
    <sheet state="visible" name="remisiones_entrada" sheetId="5" r:id="rId9"/>
    <sheet state="visible" name="remisiones_salida" sheetId="6" r:id="rId10"/>
  </sheets>
  <definedNames>
    <definedName hidden="1" localSheetId="4" name="_xlnm._FilterDatabase">remisiones_entrada!$A$1:$AB$32</definedName>
  </definedNames>
  <calcPr/>
</workbook>
</file>

<file path=xl/sharedStrings.xml><?xml version="1.0" encoding="utf-8"?>
<sst xmlns="http://schemas.openxmlformats.org/spreadsheetml/2006/main" count="4275" uniqueCount="996">
  <si>
    <t xml:space="preserve">Empresa </t>
  </si>
  <si>
    <t>Nombre cliente</t>
  </si>
  <si>
    <t>Marca</t>
  </si>
  <si>
    <t>Persona de contacto</t>
  </si>
  <si>
    <t>Dirección</t>
  </si>
  <si>
    <t>Teléfono</t>
  </si>
  <si>
    <t>NIT</t>
  </si>
  <si>
    <t>Email</t>
  </si>
  <si>
    <t>Modelo</t>
  </si>
  <si>
    <t>Airlab Consulting S.A.S.</t>
  </si>
  <si>
    <t>Jesús Hernández</t>
  </si>
  <si>
    <t>Km 19 Troncal de Occidente Parque Industrial San Jorge Manzana T2 Bodega 37, Mosquera, Cundinamarca, Colombia</t>
  </si>
  <si>
    <t>Equipo</t>
  </si>
  <si>
    <t>301 797 9012</t>
  </si>
  <si>
    <t>Numero serie</t>
  </si>
  <si>
    <t>Creado por</t>
  </si>
  <si>
    <t>Accesorios vinculados</t>
  </si>
  <si>
    <t>jesus.hernandez@airlab.com.co</t>
  </si>
  <si>
    <t>Asistencia y Monitoreo Ambiental Planeta Azul Ltda.</t>
  </si>
  <si>
    <t>Sebastián Sánchez</t>
  </si>
  <si>
    <t>Carrera 9 A #28 60, Sogamoso, Cundinamarca, Colombia</t>
  </si>
  <si>
    <t>(608) 7713157</t>
  </si>
  <si>
    <t>laboratorio1@aimaplanetaazul.com</t>
  </si>
  <si>
    <t>AGQ Colombia S.A.S</t>
  </si>
  <si>
    <t>Mauricio Esterling</t>
  </si>
  <si>
    <t>Calle 153 A #7 H 72, Bogotá D.C., Bogotá D.C., Colombia</t>
  </si>
  <si>
    <t>(601) 6715110</t>
  </si>
  <si>
    <t>mauricio.esterling@agqlabs.com</t>
  </si>
  <si>
    <t>Abkai Sensor &amp; Electronics</t>
  </si>
  <si>
    <t>Kijumars Abkai</t>
  </si>
  <si>
    <t>Sachsenstr. 109, 68309 Mannheim, Germany</t>
  </si>
  <si>
    <t>Grimm</t>
  </si>
  <si>
    <t>49-621-43719573</t>
  </si>
  <si>
    <t>INTERNATIONAL</t>
  </si>
  <si>
    <t xml:space="preserve">kijumars.abkai@abkai.de </t>
  </si>
  <si>
    <t>EDM180C</t>
  </si>
  <si>
    <t>Ada &amp; Compañía S.A.S.</t>
  </si>
  <si>
    <t>Nathalia Jaramillo Laiton</t>
  </si>
  <si>
    <t>Calle 22 N° 42 C – 19, Bogotá D.C., Bogotá D.C., Colombia</t>
  </si>
  <si>
    <t>18A21058</t>
  </si>
  <si>
    <t>(601) 2699800</t>
  </si>
  <si>
    <t>Servicio Técnico</t>
  </si>
  <si>
    <t>administrativo@ada.net.co</t>
  </si>
  <si>
    <t>Ambienciq Ingenieros S.A.S.</t>
  </si>
  <si>
    <t>Benoit Lukasz</t>
  </si>
  <si>
    <t>Carrera 28 #75 37, Bogotá D.C., Bogotá D.C., Colombia</t>
  </si>
  <si>
    <t>(601) 2310500</t>
  </si>
  <si>
    <t>EDM180</t>
  </si>
  <si>
    <t>gerenciatecnica@ambienciq.com</t>
  </si>
  <si>
    <t>Analquim Ltda.</t>
  </si>
  <si>
    <t>Viviana Parra Gamboa</t>
  </si>
  <si>
    <t>Carrera 27 No. 73-77, Bogotá D.C., Bogotá D.C., Colombia</t>
  </si>
  <si>
    <t>(601) 6309945</t>
  </si>
  <si>
    <t>Adaptador de voltaje 12V DC</t>
  </si>
  <si>
    <t>gerencia.proyectos@analquim.com</t>
  </si>
  <si>
    <t>Agrosoluciones Ambientales S.A.S. - ASOAM</t>
  </si>
  <si>
    <t>18A19035</t>
  </si>
  <si>
    <t>Sr. Juan Camargo</t>
  </si>
  <si>
    <t>Calle 132 A #58 C 67 Piso 3, Bogotá D.C., Bogotá D.C., Colombia</t>
  </si>
  <si>
    <t>(601) 6313034</t>
  </si>
  <si>
    <t>Fecha</t>
  </si>
  <si>
    <t>jcamargo@asoam.co</t>
  </si>
  <si>
    <t>Camposol Colombia S.A.S.</t>
  </si>
  <si>
    <t>Alejandra Amador Murillo</t>
  </si>
  <si>
    <t>Cra 15 No 12 – 37 Of 901/902 Edificio Torre Núcleo, Pereira, Risaralda, Colombia</t>
  </si>
  <si>
    <t>310 829 5262</t>
  </si>
  <si>
    <t>aamador@camposol.com</t>
  </si>
  <si>
    <t xml:space="preserve">Centro De Investigación De La Caña De Azúcar De Colombia - CENICAÑA </t>
  </si>
  <si>
    <t>Julián Eduardo Antía Castaño</t>
  </si>
  <si>
    <t>El kilómetro 26 vía Cali – Florida, Cali, Valle del Cauca, Colombia</t>
  </si>
  <si>
    <t>(602) 6876611-2607853</t>
  </si>
  <si>
    <t>jeantia@cenicana.org</t>
  </si>
  <si>
    <t>Chemical Laboratory S.A.S. - CHEMILAB S.A.S.</t>
  </si>
  <si>
    <t>Adriana Carolina Navarro Venecia</t>
  </si>
  <si>
    <t>Cra. 21 #195 - 50, Bogotá D.C., Bogotá D.C., Colombia</t>
  </si>
  <si>
    <t>ID</t>
  </si>
  <si>
    <t>(601) 670 2853</t>
  </si>
  <si>
    <t>auxcalidad@chemilab.com.co</t>
  </si>
  <si>
    <t>Cabezal de muestra</t>
  </si>
  <si>
    <t>CMA Laboratorio y Tecnología S.A.S.</t>
  </si>
  <si>
    <t>18A18101</t>
  </si>
  <si>
    <t>Alejandro Ceballos</t>
  </si>
  <si>
    <t>Calle 70 # 52 - 19, Bogotá D.C., Bogotá D.C., Colombia</t>
  </si>
  <si>
    <t>Cabezal TSP</t>
  </si>
  <si>
    <t>Comentarios</t>
  </si>
  <si>
    <t>alejoceballos9024@gmail.com</t>
  </si>
  <si>
    <t>Compañía de Proyectos Ambientales e Ingeniería S.A.S. - CPA Ingenieria S.A.S.</t>
  </si>
  <si>
    <t>Cable 158-EE 3,5 m</t>
  </si>
  <si>
    <t>Jenny Carolina Dueñas Muñoz</t>
  </si>
  <si>
    <t>Calle 106 #59-21, Bogotá D.C., Bogotá D.C., Colombia</t>
  </si>
  <si>
    <t>Sentimiento según IA</t>
  </si>
  <si>
    <t>(601) 2265544</t>
  </si>
  <si>
    <t>jenny.duenas@cpaingenieria.com</t>
  </si>
  <si>
    <t>Cable de poder</t>
  </si>
  <si>
    <t>Categoría de IA</t>
  </si>
  <si>
    <t>Consultora Endémica S.A.S.</t>
  </si>
  <si>
    <t>Sara Zapata</t>
  </si>
  <si>
    <t>Carrera 4 Calle 25 Sur Km 12 Vía el Escobero Interior 12, Envigado, Antioquia, Colombia</t>
  </si>
  <si>
    <t>Cable RJ45</t>
  </si>
  <si>
    <t xml:space="preserve">sarazapata@consultoraendemica.com
</t>
  </si>
  <si>
    <t>Corola Ambiental S.A.S.</t>
  </si>
  <si>
    <t>Cable RS232</t>
  </si>
  <si>
    <t>Luis Ferney Olaya Santamaría</t>
  </si>
  <si>
    <t>Carrera 52 #45 A 28, Bogotá D.C., Bogotá D.C., Colombia</t>
  </si>
  <si>
    <t>(601) 3584365</t>
  </si>
  <si>
    <t>Cable RS232 + conversor USB-RS232</t>
  </si>
  <si>
    <t xml:space="preserve">corola.ambiental@gmail.com </t>
  </si>
  <si>
    <t>Corporación Integral de Medio Ambiente CIMA</t>
  </si>
  <si>
    <t>18A18102</t>
  </si>
  <si>
    <t>Daniel García</t>
  </si>
  <si>
    <t>Caja de transporte</t>
  </si>
  <si>
    <t>Carrera 35A # 1C – 29, Bogotá D.C., Bogotá D.C., Colombia</t>
  </si>
  <si>
    <t>compras@laboratoriocima.com</t>
  </si>
  <si>
    <t>Datalogger</t>
  </si>
  <si>
    <t>Cristalería Peldar S.A</t>
  </si>
  <si>
    <t xml:space="preserve">En el proceso de remision de slida equipo del cliente CIMA 18A16065,  sale lista de accesorios, pero el equipo ingreso sin elementos adicionales y asi se genero la remision de entrada, observando el registro de remisiones de entrada el serial esta varias veces, lo que indica que no esta tomando el ultimo registro, se requiere optimizar este error </t>
  </si>
  <si>
    <t>Boris Hernández</t>
  </si>
  <si>
    <t>Carrera 48 #32 B Sur - 139 P 11, Envigado, Antioquia, Colombia</t>
  </si>
  <si>
    <t>Documentación de calibración</t>
  </si>
  <si>
    <t>(604) 3788994</t>
  </si>
  <si>
    <t xml:space="preserve">boris.hernandez@o-i.com
</t>
  </si>
  <si>
    <t>Escudo de radiación para 1158-TRH</t>
  </si>
  <si>
    <t>Gecelca S.A. E.S.P.</t>
  </si>
  <si>
    <t>Sebastián Laguna</t>
  </si>
  <si>
    <t>Carrera 55 #72-109 Piso 9, Barranquilla, Atlántico, Colombia</t>
  </si>
  <si>
    <t>Kit montaje (pletinas + tornillos)</t>
  </si>
  <si>
    <t>301 529 7268</t>
  </si>
  <si>
    <t>slaguna@gecelca.com.co</t>
  </si>
  <si>
    <t>Manuales</t>
  </si>
  <si>
    <t>Geoambiental Consultores S.A.S.</t>
  </si>
  <si>
    <t>Yesith Guluma</t>
  </si>
  <si>
    <t>Centro Comercial Arkacentro Módulo T Oficina B16, Ibagué, Tolima, Colombia</t>
  </si>
  <si>
    <t>(608) 2651165</t>
  </si>
  <si>
    <t>Pletinas (par)</t>
  </si>
  <si>
    <t>gerenciageoambiental@gmail.com</t>
  </si>
  <si>
    <t>Gestión y Servicios Ambientales S.A.S. - GSA S.A.S.</t>
  </si>
  <si>
    <t>Repuestos reemplazados</t>
  </si>
  <si>
    <t>Jaime Cardona Martínez</t>
  </si>
  <si>
    <t>Calle 33 A #71 03, Medellín, Antioquia, Colombia</t>
  </si>
  <si>
    <t>(604) 4165511</t>
  </si>
  <si>
    <t>18A18103</t>
  </si>
  <si>
    <t>Sensor 1158-TRH</t>
  </si>
  <si>
    <t xml:space="preserve">gerencia@gsasas.com </t>
  </si>
  <si>
    <t>Global Bild S.A.S.</t>
  </si>
  <si>
    <t>Joe Otero</t>
  </si>
  <si>
    <t>Sensor 1158-TRH + escudo radiación</t>
  </si>
  <si>
    <t>Calle 90 No. 53-34 Centro Empresarial Casa Blanca, Barranquilla, Atlántico, Colombia</t>
  </si>
  <si>
    <t>312 619 6551</t>
  </si>
  <si>
    <t>joe.otero@globalbild.com</t>
  </si>
  <si>
    <t>Sensor Meteorológico 159L</t>
  </si>
  <si>
    <t>Grupo Sierra Alta S.A.S</t>
  </si>
  <si>
    <t>Andrés Ramírez</t>
  </si>
  <si>
    <t>Calle 141 # 47 - 43, Bogotá D.C., Bogotá D.C., Colombia</t>
  </si>
  <si>
    <t>Sensor Meteorológico 159L + accesorios</t>
  </si>
  <si>
    <t>320 308 6936</t>
  </si>
  <si>
    <t>andres.ramirez@sierraalta.com.co</t>
  </si>
  <si>
    <t>Tarjeta PCMCIA</t>
  </si>
  <si>
    <t>Induanálisis S.A.S. - IA S.A.S.</t>
  </si>
  <si>
    <t>Erika Trejos</t>
  </si>
  <si>
    <t>Calle 62 #17 E 69, Bucaramanga, Santander, Colombia</t>
  </si>
  <si>
    <t>(607) 6953799</t>
  </si>
  <si>
    <t>Trampa de agua</t>
  </si>
  <si>
    <t>coord.operaciones@induanalisis.com</t>
  </si>
  <si>
    <t>Instituto de Higiene Ambiental S.A.S.</t>
  </si>
  <si>
    <t>Trampa de agua + manguera</t>
  </si>
  <si>
    <t>Angie Serrato</t>
  </si>
  <si>
    <t>18A20086</t>
  </si>
  <si>
    <t>Calle 25 F #84 B 47, Bogotá D.C., Bogotá D.C., Colombia</t>
  </si>
  <si>
    <t>(310) 507-2967</t>
  </si>
  <si>
    <t>Tubo de muestreo 1,5 m</t>
  </si>
  <si>
    <t>bodega2@ihaltda.com</t>
  </si>
  <si>
    <t>MAHT Monitoreos Ambientales High Technology Ltda.</t>
  </si>
  <si>
    <t>Maria Fernanda Caipa</t>
  </si>
  <si>
    <t>Diagonal 53 C # 26 – 13, Bogotá D.C., Bogotá D.C., Colombia</t>
  </si>
  <si>
    <t>(601) 8053444</t>
  </si>
  <si>
    <t xml:space="preserve">El el proceso de remisión no es posible confirmar el cliente y el contacto asociado al serial hasta que se completa el proceso de ingreso, se presento una novedad con el equipo A0P2CL49, enviado a diagnostico por el cliente serambiente pero dentro del sistema esta registrado con el cliente Ser AS, se solicita una vista preliminar del cliente y el contacto y de ser posible con opcion de edición de estos datos durante el proceso </t>
  </si>
  <si>
    <t>direcciondeproyectos@mahtsas.net</t>
  </si>
  <si>
    <t>MCS Consultoría y Monitoreo Ambiental S.A.S.</t>
  </si>
  <si>
    <t>Milena Castro</t>
  </si>
  <si>
    <t>Carrera 17 #166 72, Bogotá D.C., Bogotá D.C., Colombia</t>
  </si>
  <si>
    <t>Tubo de muestreo 1,5 m + Cable 1158-EE 3,5 m</t>
  </si>
  <si>
    <t>(601) 6797855</t>
  </si>
  <si>
    <t>EDM 280</t>
  </si>
  <si>
    <t>milenacastro@mcsconsultoria.com</t>
  </si>
  <si>
    <t>Palermo Sociedad Portuaria S.A. - Grupo Coremar</t>
  </si>
  <si>
    <t>Horiba</t>
  </si>
  <si>
    <t>APNA-370</t>
  </si>
  <si>
    <t>Fernando Pertuz Payarés</t>
  </si>
  <si>
    <t>8NB2RRLS</t>
  </si>
  <si>
    <t>Km 1.5 Vía Barranquilla – Ciénaga, Corregimiento de Palermo
Municipio de Sitionuevo, Magdalena, Colombia</t>
  </si>
  <si>
    <t>(605) 3177400</t>
  </si>
  <si>
    <t>fernando.pertuz@coremar.com</t>
  </si>
  <si>
    <t>PSL Proanalisis S.A.S. BIC</t>
  </si>
  <si>
    <t>David León</t>
  </si>
  <si>
    <t>Calle 200 # 10 - 77, Floridablanca, Santander, Colombia</t>
  </si>
  <si>
    <t>(607) 6415176 / 6414625</t>
  </si>
  <si>
    <t>david.leon@pslproanalisis.com</t>
  </si>
  <si>
    <t>Servicios de Ingeniería y Ambiente S.A.S. - SERAMBIENTE S.A.S.</t>
  </si>
  <si>
    <t>Edgar Barrera</t>
  </si>
  <si>
    <t>Cable meteorologia</t>
  </si>
  <si>
    <t>Carrera 41 #73B 72, Barranquilla, Atlántico, Colombia</t>
  </si>
  <si>
    <t xml:space="preserve">falla del sistema al generar la remision de salida IHA, se adjunta imagen </t>
  </si>
  <si>
    <t>(605) 3858220 Ext.100</t>
  </si>
  <si>
    <t>edgar.barrera@alsglobal.com</t>
  </si>
  <si>
    <t>P7P8MW1M</t>
  </si>
  <si>
    <t>Ser As S.A.S.</t>
  </si>
  <si>
    <t>Carlos Silva Grimaldo</t>
  </si>
  <si>
    <t>Cable RS 232</t>
  </si>
  <si>
    <t>San Roque Distrito Local, Cajicá-Chía / RN45A-04
CDA - Sabana Park Health &amp; Business Local 23, Cajicá, Cundinamarca, Colombia</t>
  </si>
  <si>
    <t>311 814 0717</t>
  </si>
  <si>
    <t>carlosgrimaldo@gmail.com</t>
  </si>
  <si>
    <t>Servicios Geológicos Integrados S.A.S. - SGI S.A.S.</t>
  </si>
  <si>
    <t xml:space="preserve">Maycol Vásquez
</t>
  </si>
  <si>
    <t>Carrera 32B # 22B 29, Bogotá D.C., Bogotá D.C., Colombia</t>
  </si>
  <si>
    <t>Cable USB</t>
  </si>
  <si>
    <t>(601) 7423371</t>
  </si>
  <si>
    <t>director.operaciones@sgiltda.com</t>
  </si>
  <si>
    <t>SGS Colombia S.A.S.</t>
  </si>
  <si>
    <t>Jaime Chavarro Gómez</t>
  </si>
  <si>
    <t>Carrera 100 #25 C 11 Bodega 1, Bogotá D.C., Bogotá D.C., Colombia</t>
  </si>
  <si>
    <t xml:space="preserve">300 376 2604
</t>
  </si>
  <si>
    <t>jaime.chavarro@sgs.com</t>
  </si>
  <si>
    <t>Servicios de Consultoría, Ingeniería Ambiental y Sanitaria S.A.S. - SIAM INGENIERÍA S.A.S.</t>
  </si>
  <si>
    <t>PA41SRTN</t>
  </si>
  <si>
    <t>Julio César Guerra Moreno</t>
  </si>
  <si>
    <t>Calle 87 No. 24-36, Barrio Diamante II, Bucaramanga, Santander, Colombia</t>
  </si>
  <si>
    <t xml:space="preserve">Cuando un usuario este realizando una remisión y aborte el proceso o  deje la interfaz sin atender el sistema cierre la solicitud despues de un tiempo de inactividad </t>
  </si>
  <si>
    <t>(607) 6941068</t>
  </si>
  <si>
    <t>proyectos@siamingenieria.com</t>
  </si>
  <si>
    <t>Soluciones Ambientales - Ingeniería S.A.S. – SOLAM LABORATORIO AMBIENTAL</t>
  </si>
  <si>
    <t>Alejandro Acedo</t>
  </si>
  <si>
    <t>Carrera 23A No. 37-129, Yopal, Casanare, Colombia</t>
  </si>
  <si>
    <t>(608) 6333209</t>
  </si>
  <si>
    <t>solucionesambientales.eu@gmail.com</t>
  </si>
  <si>
    <t>Tecsaam Ltda.</t>
  </si>
  <si>
    <t>Ingrid Yulieth Herrera Garnica</t>
  </si>
  <si>
    <t>Carrera 47 No. 134 A – 82, Bogotá D.C., Bogotá D.C., Colombia</t>
  </si>
  <si>
    <t>Memoria USB</t>
  </si>
  <si>
    <t>(601) 7568214</t>
  </si>
  <si>
    <t>calidad.lass@gmail.com</t>
  </si>
  <si>
    <t>Universidad Nacional de Colombia</t>
  </si>
  <si>
    <t xml:space="preserve">Carmen Helena Zapata Sánchez </t>
  </si>
  <si>
    <t>Carrera 80 No. 65-223 Bloque M2 of 301, Medellín, Antioquia, Colombia</t>
  </si>
  <si>
    <t>(604) 4255000</t>
  </si>
  <si>
    <t>Sensor Meteorológico 157L</t>
  </si>
  <si>
    <t>7B70WMYP</t>
  </si>
  <si>
    <t xml:space="preserve">cezapata@unal.edu.co </t>
  </si>
  <si>
    <t xml:space="preserve">Cuando se tienen cambios en los contactos de los clientes y/o equipos </t>
  </si>
  <si>
    <t>Universidad del Valle</t>
  </si>
  <si>
    <t>María Fernanda Jaramillo Llorente</t>
  </si>
  <si>
    <t>Sensor Meteorológico 158L</t>
  </si>
  <si>
    <t>Calle 13 No. 100 – 00 Edificio 334, Espacio: 2033, Cali, Valle del Cauca, Colombia</t>
  </si>
  <si>
    <t>(602) 3212100 Ext 7033-7034</t>
  </si>
  <si>
    <t>maria.f.jaramillo@correounivalle.edu.co</t>
  </si>
  <si>
    <t>Sensor Meteorológico 158L + accesorios</t>
  </si>
  <si>
    <t>Universidad Pontificia Bolivariana</t>
  </si>
  <si>
    <t>Santiago Quintero Valencia</t>
  </si>
  <si>
    <t>Circular 1ra No. 70 – 01 Bloque 11 – 226, Medellín, Antioquia, Colombia</t>
  </si>
  <si>
    <t>(604) 3544569 Ext. 14032-14035</t>
  </si>
  <si>
    <t>santiago.quinterov@upb.edu.co</t>
  </si>
  <si>
    <t>Universidad Federico Santa Maria</t>
  </si>
  <si>
    <t>Francisco Cereceda</t>
  </si>
  <si>
    <t>Avenida España 1680, Valparaíso, Chile</t>
  </si>
  <si>
    <t>56 32 2654000</t>
  </si>
  <si>
    <t>francisco.cereceda@usm.cl</t>
  </si>
  <si>
    <t>Zero Span S.A.S.</t>
  </si>
  <si>
    <t>José Luis López Parra</t>
  </si>
  <si>
    <t>APMA-370</t>
  </si>
  <si>
    <t xml:space="preserve">jose.lopez@zerospan.com.co
</t>
  </si>
  <si>
    <t>P7CBDNLC</t>
  </si>
  <si>
    <t>Ambientalia SAS</t>
  </si>
  <si>
    <t>Alfonso García</t>
  </si>
  <si>
    <t>TRV 5C 1234</t>
  </si>
  <si>
    <t>Tubo de muestreo 1,5 m + Cable Met.</t>
  </si>
  <si>
    <t>comercial@ambientalia.com.co</t>
  </si>
  <si>
    <t>Sololucione ambientales - SOLAM</t>
  </si>
  <si>
    <t>Carrera 23A # 37-129</t>
  </si>
  <si>
    <t>CCA Compañía De Consultoria Ambiental Ltda.</t>
  </si>
  <si>
    <t>Liz Salamanca</t>
  </si>
  <si>
    <t>Transversal 22 A No. 53 D – 33, Bogotá D.C</t>
  </si>
  <si>
    <t>APOA-370</t>
  </si>
  <si>
    <t>calidad@cca.com.co</t>
  </si>
  <si>
    <t>K0RFHC7L</t>
  </si>
  <si>
    <t>AP series</t>
  </si>
  <si>
    <t>Brackets</t>
  </si>
  <si>
    <t>APSA-370</t>
  </si>
  <si>
    <t>B45H0D2F</t>
  </si>
  <si>
    <t>Cap Nut</t>
  </si>
  <si>
    <t>Filtro de partículas</t>
  </si>
  <si>
    <t>RRWV1F42</t>
  </si>
  <si>
    <t>Sleeves</t>
  </si>
  <si>
    <t>Slides</t>
  </si>
  <si>
    <t>Tarjeta Compact Flash</t>
  </si>
  <si>
    <t>Tuberia de teflón</t>
  </si>
  <si>
    <t>Environics</t>
  </si>
  <si>
    <t>UPT60U7V</t>
  </si>
  <si>
    <t>Calibrador/ Generador aire cero</t>
  </si>
  <si>
    <t>Conexión en T</t>
  </si>
  <si>
    <t>4P027475</t>
  </si>
  <si>
    <t>Racor + ferula en acero</t>
  </si>
  <si>
    <t>Racor + ferula en bronce</t>
  </si>
  <si>
    <t>Nombre Técnico</t>
  </si>
  <si>
    <t>Racor + ferula en plástico o teflón</t>
  </si>
  <si>
    <t>Fecha Remisión</t>
  </si>
  <si>
    <t>Racor en acero</t>
  </si>
  <si>
    <t>Empresa</t>
  </si>
  <si>
    <t>Racor en bronce</t>
  </si>
  <si>
    <t>Persona Contacto</t>
  </si>
  <si>
    <t>Número de Serie</t>
  </si>
  <si>
    <t>Racor en plastico o teflón</t>
  </si>
  <si>
    <t>Incluye</t>
  </si>
  <si>
    <t>Tipo de servicio</t>
  </si>
  <si>
    <t>Ticket</t>
  </si>
  <si>
    <t>Observaciones</t>
  </si>
  <si>
    <t>Johny Luna</t>
  </si>
  <si>
    <t>Varios</t>
  </si>
  <si>
    <t>SERAMBIENTE S.A.S.</t>
  </si>
  <si>
    <t>GRIMM</t>
  </si>
  <si>
    <t>Otras</t>
  </si>
  <si>
    <t>18A22082</t>
  </si>
  <si>
    <t xml:space="preserve">Cabezal, tubo, cable, sensor, tarjeta, caja </t>
  </si>
  <si>
    <t>Diagnóstico y Calibración</t>
  </si>
  <si>
    <t>NO APLICA</t>
  </si>
  <si>
    <t>Julian Maya</t>
  </si>
  <si>
    <t>EDM180D</t>
  </si>
  <si>
    <t>18A09099</t>
  </si>
  <si>
    <t>SGI S.A.S.</t>
  </si>
  <si>
    <t>Maycol Vásquez</t>
  </si>
  <si>
    <t>Aire acondicionado</t>
  </si>
  <si>
    <t>Tubo de muestra</t>
  </si>
  <si>
    <t>18A20070</t>
  </si>
  <si>
    <t>N/A</t>
  </si>
  <si>
    <t>Accesorio</t>
  </si>
  <si>
    <t>Baterias</t>
  </si>
  <si>
    <t>Sin cable ni tornillos</t>
  </si>
  <si>
    <t>Blower</t>
  </si>
  <si>
    <t>Mario Ávila</t>
  </si>
  <si>
    <t>18A20021</t>
  </si>
  <si>
    <t xml:space="preserve">Cabezal, tarjeta, cable, sensor, platinas, caja </t>
  </si>
  <si>
    <t>Diagnóstico &amp; Calibración</t>
  </si>
  <si>
    <t>18A09100</t>
  </si>
  <si>
    <t>Miguel Gutierrez</t>
  </si>
  <si>
    <t>Lab. CIMA</t>
  </si>
  <si>
    <t>18A16065</t>
  </si>
  <si>
    <t xml:space="preserve">Sensor T/RH, cabezal, tubo, cable poder, platinas </t>
  </si>
  <si>
    <t>Caja en mal estado</t>
  </si>
  <si>
    <t xml:space="preserve">Cabezal, caja, kit montaje, sensor, tarjeta, tubo </t>
  </si>
  <si>
    <t>Capuchón de acero</t>
  </si>
  <si>
    <t>Diagnóstico</t>
  </si>
  <si>
    <t>Remisión de prueba</t>
  </si>
  <si>
    <t>Carbón activado</t>
  </si>
  <si>
    <t>18A10077</t>
  </si>
  <si>
    <t>Johny Luna Roa</t>
  </si>
  <si>
    <t>Extensión de alimentación</t>
  </si>
  <si>
    <t>AGQ Colombia S.A.S.</t>
  </si>
  <si>
    <t>Filtro para carbono</t>
  </si>
  <si>
    <t>18A12045</t>
  </si>
  <si>
    <t>Filtro teflón</t>
  </si>
  <si>
    <t>cabezal, tubo, sensor</t>
  </si>
  <si>
    <t>Gabinete</t>
  </si>
  <si>
    <t>Sin caja de transporte</t>
  </si>
  <si>
    <t>Maletín de transporte</t>
  </si>
  <si>
    <t>18A12048</t>
  </si>
  <si>
    <t>18A10078</t>
  </si>
  <si>
    <t>S 316</t>
  </si>
  <si>
    <t>Sistema de muestreo en acero</t>
  </si>
  <si>
    <t>18A12054</t>
  </si>
  <si>
    <t>Soluciones referencia de PH</t>
  </si>
  <si>
    <t>Estado</t>
  </si>
  <si>
    <t>Soluciones referencia de conductividad</t>
  </si>
  <si>
    <t>SR-305</t>
  </si>
  <si>
    <t>HORIBA</t>
  </si>
  <si>
    <t>APNA</t>
  </si>
  <si>
    <t>VMH2YJP3</t>
  </si>
  <si>
    <t>Tuberia en teflón</t>
  </si>
  <si>
    <t>18A11031</t>
  </si>
  <si>
    <t>Sin embalaje original</t>
  </si>
  <si>
    <t>UPS</t>
  </si>
  <si>
    <t xml:space="preserve">Cabezal, tubo, sensor, tarjeta, caja, , , ,  ,  ,  ,  ,  ,  , , , , , , , , , </t>
  </si>
  <si>
    <t>Calibrado</t>
  </si>
  <si>
    <t>El empaque no es acorde al equipo.</t>
  </si>
  <si>
    <t>APOA</t>
  </si>
  <si>
    <t>BD6K7Y68</t>
  </si>
  <si>
    <t>Memoria CF, brackets</t>
  </si>
  <si>
    <t xml:space="preserve">cabezal, tubo, sensor, , , , , ,  ,  ,  ,  ,  ,  , , , , , , , , , </t>
  </si>
  <si>
    <t>18A11049</t>
  </si>
  <si>
    <t>Gustavo Novoa Guzmán</t>
  </si>
  <si>
    <t>A0P2CL49</t>
  </si>
  <si>
    <t xml:space="preserve">Conexiones, tapones, racores, llaves, cable, caja, , ,  ,  ,  ,  ,  ,  , , , , , , , , , </t>
  </si>
  <si>
    <t>En óptimas condiciones</t>
  </si>
  <si>
    <t xml:space="preserve">Equipo reparado y funcionando </t>
  </si>
  <si>
    <t>Miguel Gutiérrez Arandia</t>
  </si>
  <si>
    <t>APMA</t>
  </si>
  <si>
    <t>W76EGVU9</t>
  </si>
  <si>
    <t xml:space="preserve">Memoria CF, </t>
  </si>
  <si>
    <t>18A12041</t>
  </si>
  <si>
    <t>18A18060</t>
  </si>
  <si>
    <t xml:space="preserve">Cabezal de muestra, Cable de poder, Caja de transporte, Kit montaje (pletinas + tornillos), Sensor 158-TRH + escudo radiación, Tarjeta PCMCIA, Tubo de muestreo 1,5 m + Cable 1158-EE 3,5 m, ,  ,  ,  ,  ,  ,  , , , , , , , , , </t>
  </si>
  <si>
    <t>Equipo en optimas condiciones técnicas 
- Certificado de calibración</t>
  </si>
  <si>
    <t>APSA</t>
  </si>
  <si>
    <t>SWXXM76A</t>
  </si>
  <si>
    <t xml:space="preserve">Memoria CF, brackets, racores </t>
  </si>
  <si>
    <t>18A22084</t>
  </si>
  <si>
    <t xml:space="preserve">Tarjeta PCMCIA, , , , , , , ,  ,  ,  ,  ,  ,  , , , , , , , , , </t>
  </si>
  <si>
    <t>Operativo</t>
  </si>
  <si>
    <t xml:space="preserve">- incluye certificado de calibración </t>
  </si>
  <si>
    <t>U03UYANB</t>
  </si>
  <si>
    <t>18A12043</t>
  </si>
  <si>
    <t>18A18035</t>
  </si>
  <si>
    <t>Grupo Sierra Alta SAS</t>
  </si>
  <si>
    <t>Natalia Suarez</t>
  </si>
  <si>
    <t>El equipo no fue intervenido. Se devuelve por solicitud del cliente.</t>
  </si>
  <si>
    <t>APNA 370</t>
  </si>
  <si>
    <t>YODEODOR</t>
  </si>
  <si>
    <t xml:space="preserve">Tarjeta CF, filtro, racores </t>
  </si>
  <si>
    <t>Centro De Investigación De La Caña De Azúcar De Colombia - CENICAÑA</t>
  </si>
  <si>
    <t>Calibración</t>
  </si>
  <si>
    <t>18A21080</t>
  </si>
  <si>
    <t>Gustavo Novoa</t>
  </si>
  <si>
    <t xml:space="preserve">Cable de poder, Caja de transporte, Kit montaje (pletinas + tornillos), Sensor 158-TRH + escudo radiación, Tarjeta PCMCIA, Tubo de muestreo 1,5 m + Cable 1158-EE 3,5 m, , ,  ,  ,  ,  ,  ,  , , , , , , , , , </t>
  </si>
  <si>
    <t>Equipo incluye documentación de calibración.</t>
  </si>
  <si>
    <t>Julián Maya González</t>
  </si>
  <si>
    <t>18A12046</t>
  </si>
  <si>
    <t>18A12044</t>
  </si>
  <si>
    <t xml:space="preserve">Cabezal, tubos, sensor T/RH </t>
  </si>
  <si>
    <t>Sin empaques ni cables</t>
  </si>
  <si>
    <t xml:space="preserve">Sensor T/RH, cabezal, tubo, cable poder, platinas, , , ,  ,  ,  ,  ,  ,  , , , , , , , , , </t>
  </si>
  <si>
    <t>Erika Alvarado</t>
  </si>
  <si>
    <t>No traía ningún tipo de accesorios.</t>
  </si>
  <si>
    <t>EDM 180C</t>
  </si>
  <si>
    <t>No trae caja ni embalaje</t>
  </si>
  <si>
    <t>18A20037</t>
  </si>
  <si>
    <t>Néstor Martínez</t>
  </si>
  <si>
    <t xml:space="preserve">Se envían las partes que se cambiaron </t>
  </si>
  <si>
    <t>Calibrador dinámico</t>
  </si>
  <si>
    <t xml:space="preserve">Conexiones, tapones, racores, llaves, cable, caja </t>
  </si>
  <si>
    <t>Equipo para reparación</t>
  </si>
  <si>
    <t>Y36XD9LD</t>
  </si>
  <si>
    <t xml:space="preserve">Brackets, Cable de poder, Caja de transporte, , , , , ,  ,  ,  ,  ,  ,  , , , , , , , , , </t>
  </si>
  <si>
    <t xml:space="preserve">APOA-370 </t>
  </si>
  <si>
    <t>Se entregan documentos impresos.</t>
  </si>
  <si>
    <t>P30R13SM</t>
  </si>
  <si>
    <t>Memoria CF</t>
  </si>
  <si>
    <t xml:space="preserve">DIAGNÓSTICO </t>
  </si>
  <si>
    <t>3 equipos sin caja, solo empaque de espuma 2 equipos con empaque en mal estado</t>
  </si>
  <si>
    <t>EU9UDEHC</t>
  </si>
  <si>
    <t xml:space="preserve">Cable de poder, Caja de transporte, Filtro de partículas, Tarjeta Compact Flash, Tuberia de teflón, , , ,  ,  ,  ,  ,  ,  , , , , , , , , , </t>
  </si>
  <si>
    <t>Se entrega test report impreso.</t>
  </si>
  <si>
    <t xml:space="preserve">APNA-370 </t>
  </si>
  <si>
    <t>YM7PXU2K</t>
  </si>
  <si>
    <t>18A12047</t>
  </si>
  <si>
    <t>XEY7K00D</t>
  </si>
  <si>
    <t xml:space="preserve">Caja de transporte, Filtro de partículas, Tarjeta Compact Flash, , , , , ,  ,  ,  ,  ,  ,  , , , , , , , , , </t>
  </si>
  <si>
    <t>HMSBU8BK</t>
  </si>
  <si>
    <t>Equipo calibrado por el cliente.</t>
  </si>
  <si>
    <t>18A18034</t>
  </si>
  <si>
    <t xml:space="preserve">Cabezal de muestra, Caja de transporte, Kit montaje (pletinas + tornillos), Sensor 158-TRH + escudo radiación, Tarjeta PCMCIA, Tubo de muestreo 1,5 m + Cable 1158-EE 3,5 m, , ,  ,  ,  ,  ,  ,  , , , , , , , , , </t>
  </si>
  <si>
    <t>US00XLH0</t>
  </si>
  <si>
    <t>Se entregan certificados impresos.</t>
  </si>
  <si>
    <t>18A21015</t>
  </si>
  <si>
    <t xml:space="preserve">Cabezal de muestra, Cable 158-EE 3,5 m, Cable de poder, Caja de transporte, Sensor 158-TRH + escudo radiación, Tarjeta PCMCIA, Tubo de muestreo 1,5 m, ,  ,  ,  ,  ,  ,  , , , , , , , , , </t>
  </si>
  <si>
    <t>1U67F10J</t>
  </si>
  <si>
    <t>U7D80D0J</t>
  </si>
  <si>
    <t>18A12049</t>
  </si>
  <si>
    <t>PYJC6430</t>
  </si>
  <si>
    <t>Se entrega protocolo de servicio impreso y repuestos cambiados.</t>
  </si>
  <si>
    <t>18A18033</t>
  </si>
  <si>
    <t xml:space="preserve">Cabezal de muestra, Cable de poder, Caja de transporte, Kit montaje (pletinas + tornillos), Sensor 158-TRH + escudo radiación, Tubo de muestreo 1,5 m + Cable 1158-EE 3,5 m, , ,  ,  ,  ,  ,  ,  , , , , , , , , , </t>
  </si>
  <si>
    <t>Se incluye tarjeta de memoria recibida posteriormente.</t>
  </si>
  <si>
    <t>18A12050</t>
  </si>
  <si>
    <t>18A20125</t>
  </si>
  <si>
    <t>Se envía certificados de calibración impresos.</t>
  </si>
  <si>
    <t xml:space="preserve">Cable de poder, Caja de transporte, Kit montaje (pletinas + tornillos), Sensor 158-TRH + escudo radiación, Tarjeta PCMCIA, Tubo de muestreo 1,5 m + Cable 1158-EE 3,5 m, , , , , , , , , , , , , , , , , </t>
  </si>
  <si>
    <t>18A12051</t>
  </si>
  <si>
    <t xml:space="preserve">Cabezal de muestra, Cable de poder, Caja de transporte, Kit montaje (pletinas + tornillos), Sensor 158-TRH + escudo radiación, Tarjeta PCMCIA, , ,  ,  ,  ,  ,  ,  , , , , , , , , , </t>
  </si>
  <si>
    <t>caja de transporte en madera, 1 unidad de cada item</t>
  </si>
  <si>
    <t>Equipo operativo</t>
  </si>
  <si>
    <t>18A20020</t>
  </si>
  <si>
    <t xml:space="preserve">Cabezal de muestra, Cable de poder, Caja de transporte, Kit montaje (pletinas + tornillos), Sensor 158-TRH + escudo radiación, Tarjeta PCMCIA, Trampa de agua  + manguera, Tubo de muestreo 1,5 m + Cable 1158-EE 3,5 m,  ,  ,  ,  ,  ,  , , , , , , , , , </t>
  </si>
  <si>
    <t xml:space="preserve">, , , , , , , , , , , , , , , , , , , , , , </t>
  </si>
  <si>
    <t>Sin accesorios</t>
  </si>
  <si>
    <t xml:space="preserve">Certificado de calibración
Pendiente bisagras de puerta.  </t>
  </si>
  <si>
    <t>18A12052</t>
  </si>
  <si>
    <t>18A20022</t>
  </si>
  <si>
    <t xml:space="preserve">Cabezal de muestra, Cable de poder, Caja de transporte, Kit montaje (pletinas + tornillos), Sensor 158-TRH + escudo radiación, Tarjeta PCMCIA, Trampa de agua, Tubo de muestreo 1,5 m + Cable 1158-EE 3,5 m,  ,  ,  ,  ,  ,  , , , , , , , , , </t>
  </si>
  <si>
    <t xml:space="preserve">Cabezal de muestra, Cable de poder, Caja de transporte, Kit montaje (pletinas + tornillos), Sensor 158-TRH + escudo radiación, Tarjeta PCMCIA, Tubo de muestreo 1,5 m + Cable 1158-EE 3,5 m, , , , , , , , , , , , , , , , </t>
  </si>
  <si>
    <t xml:space="preserve">Documentos de calibración </t>
  </si>
  <si>
    <t>1unidad de CADA uno, caja de transporte en mal estado</t>
  </si>
  <si>
    <t>18A12053</t>
  </si>
  <si>
    <t>18A21042</t>
  </si>
  <si>
    <t xml:space="preserve">Cabezal de muestra, Cable 158-EE 3,5 m, Caja de transporte, Sensor 158-TRH + escudo radiación, Tarjeta PCMCIA, Tubo de muestreo 1,5 m, , ,  ,  ,  ,  ,  ,  , , , , , , , , , </t>
  </si>
  <si>
    <t xml:space="preserve">Equipo operativo y calibrado </t>
  </si>
  <si>
    <t xml:space="preserve">Cabezal de muestra, Caja de transporte, Kit montaje (pletinas + tornillos), Sensor 158-TRH + escudo radiación, Tarjeta PCMCIA, Tubo de muestreo 1,5 m + Cable 1158-EE 3,5 m, , , , , , , , , , , , , , , , , </t>
  </si>
  <si>
    <t>18A19034</t>
  </si>
  <si>
    <t xml:space="preserve">Cable de poder, Caja de transporte, Filtro de partículas, Tarjeta Compact Flash, Tuberia de teflón, , , , , , , , , , , , , , , , , , </t>
  </si>
  <si>
    <t xml:space="preserve">Equipo en opimas condiciones técnicas </t>
  </si>
  <si>
    <t xml:space="preserve">2 Unidades te tubería teflón </t>
  </si>
  <si>
    <t>18A12062</t>
  </si>
  <si>
    <t>18A19036</t>
  </si>
  <si>
    <t xml:space="preserve">Tubería teflón 2 unidades </t>
  </si>
  <si>
    <t>Equipo en Óptimas condiciones técnicas</t>
  </si>
  <si>
    <t xml:space="preserve">Tarjeta PCMCIA, , , , , , , , , , , , , , , , , , , , , , </t>
  </si>
  <si>
    <t>PG-350Z</t>
  </si>
  <si>
    <t>C27PBEA9</t>
  </si>
  <si>
    <t>18A17065</t>
  </si>
  <si>
    <t xml:space="preserve">Equipo en óptimas condiciones técnicas </t>
  </si>
  <si>
    <t>56X1BA8G</t>
  </si>
  <si>
    <t xml:space="preserve">Cable de poder, Caja de transporte, , , , , , , , , , , , , , , , , , , , , </t>
  </si>
  <si>
    <t>18A19042</t>
  </si>
  <si>
    <t>Únicamente trae cable de poder.</t>
  </si>
  <si>
    <t xml:space="preserve">Equipo se entrega sin finalizar servicio, sin alertas en pantalla </t>
  </si>
  <si>
    <t>VA-5001</t>
  </si>
  <si>
    <t>U53PT2E5</t>
  </si>
  <si>
    <t>SEYU0VF5</t>
  </si>
  <si>
    <t xml:space="preserve">Caja de transporte, Tarjeta Compact Flash, , , , , , , , , , , , , , , , , , , , , </t>
  </si>
  <si>
    <t>18A21013</t>
  </si>
  <si>
    <t xml:space="preserve">- Caja de transporte en mal estado. </t>
  </si>
  <si>
    <t>Se entregan certificados impresos y repuestos cambiados.</t>
  </si>
  <si>
    <t>R9N687GA</t>
  </si>
  <si>
    <t xml:space="preserve">Brackets, Caja de transporte, , , , , , , , , , , , , , , , , , , , , </t>
  </si>
  <si>
    <t>G7XN342T</t>
  </si>
  <si>
    <t>RMD2VCH0</t>
  </si>
  <si>
    <t xml:space="preserve">Caja de transporte, Tarjeta Compact Flash, , , , , , ,  ,  ,  ,  ,  ,  , , , , , , , , , </t>
  </si>
  <si>
    <t>LUIDJNM9</t>
  </si>
  <si>
    <t>L81G2DR1</t>
  </si>
  <si>
    <t>Sin accesorios.</t>
  </si>
  <si>
    <t>Serambiente</t>
  </si>
  <si>
    <t>TFGPSY37</t>
  </si>
  <si>
    <t>V811RHXJ</t>
  </si>
  <si>
    <t>18A18059</t>
  </si>
  <si>
    <t xml:space="preserve">Cabezal de muestra, Cabezal TSP, Caja de transporte, Kit montaje (pletinas + tornillos), Sensor 158-TRH + escudo radiación, Tubo de muestreo 1,5 m + Cable 1158-EE 3,5 m, , ,  ,  ,  ,  ,  ,  , , , , , , , , , </t>
  </si>
  <si>
    <t xml:space="preserve">Caja de transporte en mal estado </t>
  </si>
  <si>
    <t xml:space="preserve">Equipo calibrado 
Presenta falla en flujo de la bomba de secado </t>
  </si>
  <si>
    <t>S7DKKEM2</t>
  </si>
  <si>
    <t>Solo trae compact flash.</t>
  </si>
  <si>
    <t xml:space="preserve">Operativo </t>
  </si>
  <si>
    <t>LH9K863Y</t>
  </si>
  <si>
    <t>18A21091</t>
  </si>
  <si>
    <t>Solo incluye memoria PCMCIA.</t>
  </si>
  <si>
    <t>18A21062</t>
  </si>
  <si>
    <t xml:space="preserve">Caja de transporte, Tarjeta PCMCIA, , , , , , ,  ,  ,  ,  ,  ,  , , , , , , , , , </t>
  </si>
  <si>
    <t>De entrega al personal de analquim con accesorios como kit de platinas con tornillos, CC abexzal de muestra toma de muestra con cable y sensor temp RH de equipo analquim 18a19043</t>
  </si>
  <si>
    <t>YKL0WCYP</t>
  </si>
  <si>
    <t>El equipo incluye: 6 scrubbers, 1 memoria SD.</t>
  </si>
  <si>
    <t>18A22055</t>
  </si>
  <si>
    <t xml:space="preserve">Brackets, Cable de poder, Caja de transporte, , , , , , , , , , , , , , , , , , , , </t>
  </si>
  <si>
    <t>Se entrega repuestos cambiados y certificados impresos.</t>
  </si>
  <si>
    <t>18A19043</t>
  </si>
  <si>
    <t xml:space="preserve">Sensor 158-TRH + escudo radiación, Tarjeta PCMCIA, , , , , , ,  ,  ,  ,  ,  ,  , , , , , , , , , </t>
  </si>
  <si>
    <t>T31CM423</t>
  </si>
  <si>
    <t>PM3LU4HJ</t>
  </si>
  <si>
    <t xml:space="preserve">Brackets, Cable de poder, Caja de transporte, Filtro de partículas, , , , , , , , , , , , , , , , , , , </t>
  </si>
  <si>
    <t>Anteriormente ya se había echo entrega de los otros componentes. 
Se realiza entrega de O-ring del cabezal TSP</t>
  </si>
  <si>
    <t>Presenta golpe frontal.</t>
  </si>
  <si>
    <t xml:space="preserve">Cabezal de muestra, Cable de poder, Caja de transporte, Kit montaje (pletinas + tornillos), Tarjeta PCMCIA, Tubo de muestreo 1,5 m + Cable 1158-EE 3,5 m, , ,  ,  ,  ,  ,  ,  , , , , , , , , , </t>
  </si>
  <si>
    <t xml:space="preserve">Cabezal de muestra, Cable de poder, Caja de transporte, Kit montaje (pletinas + tornillos), Sensor 158-TRH + escudo radiación, Tarjeta PCMCIA, , , , , , , , , , , , , , , , , </t>
  </si>
  <si>
    <t xml:space="preserve">Certificado de calibración
Ya se habían entregado anteriormente accesorios del equipo  </t>
  </si>
  <si>
    <t>Empaque en mal estado</t>
  </si>
  <si>
    <t>S7W5F19N</t>
  </si>
  <si>
    <t xml:space="preserve">Certificado de calibración. </t>
  </si>
  <si>
    <t xml:space="preserve">- La caja de transporte son dos espumas. </t>
  </si>
  <si>
    <t>18A22001</t>
  </si>
  <si>
    <t xml:space="preserve">Empaque en mal estado </t>
  </si>
  <si>
    <t>18A24061</t>
  </si>
  <si>
    <t xml:space="preserve">- No incluye ningún accesorio 
- Empaque en muy mal estado </t>
  </si>
  <si>
    <t>Documentación de calibración.</t>
  </si>
  <si>
    <t>18A24062</t>
  </si>
  <si>
    <t xml:space="preserve">empaque es espuma </t>
  </si>
  <si>
    <t>APMC-370</t>
  </si>
  <si>
    <t>18A21078</t>
  </si>
  <si>
    <t xml:space="preserve">Caja de transporte, , , , , , , ,  ,  ,  ,  ,  ,  , , , , , , , , , </t>
  </si>
  <si>
    <t>- El equipo llego en un empaque el cual no es el adecuado.
- Una de sus manijas de sujeción se encuentra dañada
- Trae 10 cm de tubería teflon en mal estado. 
- El equipo llega por medio de empresa de mensajeria</t>
  </si>
  <si>
    <t>El equipo no permite usar memoria PCMCIA.</t>
  </si>
  <si>
    <t>18A21079</t>
  </si>
  <si>
    <t xml:space="preserve">Cabezal de muestra, Cable de poder, Caja de transporte, Kit montaje (pletinas + tornillos), Sensor 158-TRH + escudo radiación, Tubo de muestreo 1,5 m + Cable 1158-EE 3,5 m, , , , , , , , , , , , , , , , , </t>
  </si>
  <si>
    <t xml:space="preserve">- Trae 2 cables de poder.
- Caja de transporte en mal estado.
</t>
  </si>
  <si>
    <t>Tarjeta de memoria x3
- PCMCIA Nueva (Instalada)
- PCMCIA Nueva (Empaque)
- PCMCIA Usada (Empaque)</t>
  </si>
  <si>
    <t xml:space="preserve">Brackets, Tarjeta Compact Flash, , , , , , ,  ,  ,  ,  ,  ,  , , , , , , , , , </t>
  </si>
  <si>
    <t xml:space="preserve">- Manguera trampa de agua. </t>
  </si>
  <si>
    <t>* Accesorios adicionales: 2 capnut con 2 férulas.
Se realiza ajuste cero / span y verificación multipunto, se realizan cambios de componentes, equipo operativo.</t>
  </si>
  <si>
    <t>V0LGWKJV</t>
  </si>
  <si>
    <t xml:space="preserve">Caja de transporte, Filtro de partículas, Tarjeta Compact Flash, , , , , , , , , , , , , , , , , , , , </t>
  </si>
  <si>
    <t>Se entrega protocolo horiba, accesorios: dos férulas con dos racores.</t>
  </si>
  <si>
    <t>Solo incluye memoria CF y filtro de particulas.</t>
  </si>
  <si>
    <t xml:space="preserve">Cable de poder, Caja de transporte, , , , , , ,  ,  ,  ,  ,  ,  , , , , , , , , , </t>
  </si>
  <si>
    <t xml:space="preserve">Cabezal de muestra, Cable 158-EE 3,5 m, Cable de poder, Caja de transporte, Sensor 158-TRH + escudo radiación, Tarjeta PCMCIA, Tubo de muestreo 1,5 m, , , , , , , , , , , , , , , , </t>
  </si>
  <si>
    <t>No Operativo</t>
  </si>
  <si>
    <t>El cliente no acepta el servicio. Queda no operativo.</t>
  </si>
  <si>
    <t>El cable de temperatura humedad viene por fuera del tubo de muestra.</t>
  </si>
  <si>
    <t>RLPGAG8K</t>
  </si>
  <si>
    <t>18A21056</t>
  </si>
  <si>
    <t xml:space="preserve">Cabezal de muestra, Cable 158-EE 3,5 m, Caja de transporte, Sensor 158-TRH + escudo radiación, Tarjeta PCMCIA, Tubo de muestreo 1,5 m, , , , , , , , , , , , , , , , , </t>
  </si>
  <si>
    <t>- Documentación de calibración.</t>
  </si>
  <si>
    <t>18A21093</t>
  </si>
  <si>
    <t>2V0CY0DC</t>
  </si>
  <si>
    <t xml:space="preserve">Cabezal de muestra, Cable de poder, Caja de transporte, Kit montaje (pletinas + tornillos), Sensor 158-TRH + escudo radiación, Tarjeta PCMCIA, Trampa de agua  + manguera, Tubo de muestreo 1,5 m + Cable 1158-EE 3,5 m, , , , , , , , , , , , , , , </t>
  </si>
  <si>
    <t xml:space="preserve">- La puerta del housing se encuentra dañada. </t>
  </si>
  <si>
    <t>Equipo operativo.</t>
  </si>
  <si>
    <t>V440EL8D</t>
  </si>
  <si>
    <t xml:space="preserve">Cabezal de muestra, Cable de poder, Caja de transporte, Kit montaje (pletinas + tornillos), Sensor 158-TRH + escudo radiación, Tarjeta PCMCIA, Trampa de agua, Tubo de muestreo 1,5 m + Cable 1158-EE 3,5 m, , , , , , , , , , , , , , , </t>
  </si>
  <si>
    <t>18A22002</t>
  </si>
  <si>
    <t xml:space="preserve">Cabezal de muestra, Caja de transporte, Tarjeta PCMCIA, , , , , ,  ,  ,  ,  ,  ,  , , , , , , , , , </t>
  </si>
  <si>
    <t>Se adiciona documentación de calibración.</t>
  </si>
  <si>
    <t xml:space="preserve">Cabezal de muestra, Cabezal TSP, Datalogger, Memoria USB, Sensor Meteorológico 157L, Tubo de muestreo 1.5 m + Cable Met., , , , , , , , , , , , , , , , , </t>
  </si>
  <si>
    <t>Mantenimiento</t>
  </si>
  <si>
    <t xml:space="preserve">incluye empaque </t>
  </si>
  <si>
    <t xml:space="preserve">Tarjeta Compact Flash, , , , , , , ,  ,  ,  ,  ,  ,  , , , , , , , , , </t>
  </si>
  <si>
    <t>Accesorios adicionales: 2 ferulas con 2 racores.
Se entrega protocolo impreso.
Sin caja de transporte.</t>
  </si>
  <si>
    <t>NS3YUFSN</t>
  </si>
  <si>
    <t xml:space="preserve">Brackets, , , , , , , ,  ,  ,  ,  ,  ,  , , , , , , , , , </t>
  </si>
  <si>
    <t>Sin caja de transporte. 
Accesorios: 2 brackets, 2 ferulas con 2 racores.
Se entrega protocolo impreso.</t>
  </si>
  <si>
    <t xml:space="preserve">Equipo para calibración y diagnóstico </t>
  </si>
  <si>
    <t>JU3JF0M9</t>
  </si>
  <si>
    <t>Diagnosticado</t>
  </si>
  <si>
    <t>SH9PSSJ0</t>
  </si>
  <si>
    <t>OCMA-550</t>
  </si>
  <si>
    <t>LH83G91P</t>
  </si>
  <si>
    <t xml:space="preserve">Cable de poder, Caja de transporte, Manuales, , , , , , , , , , , , , , , , , , , , </t>
  </si>
  <si>
    <t>Se entrega protocolo horiba impreso.</t>
  </si>
  <si>
    <t>Incluye: - Dosificador - Celda de medición - Aceite de calibración - Test report fabrica y ambientalia</t>
  </si>
  <si>
    <t xml:space="preserve">Caja de transporte, , , , , , , , , , , , , , , , , , , , , , </t>
  </si>
  <si>
    <t>SSVEXSG8</t>
  </si>
  <si>
    <t>El equipo ingresa sin accesorios.</t>
  </si>
  <si>
    <t>PTKUMKS8</t>
  </si>
  <si>
    <t xml:space="preserve">Caja de transporte, Filtro de partículas, Memoria USB, , , , , ,  ,  ,  ,  ,  ,  , , , , , , , , , </t>
  </si>
  <si>
    <t>YJ2NGM38</t>
  </si>
  <si>
    <t xml:space="preserve">Caja de transporte, Tarjeta PCMCIA, , , , , , , , , , , , , , , , , , , , , </t>
  </si>
  <si>
    <t>S2X9CPH3</t>
  </si>
  <si>
    <t xml:space="preserve">Cable de poder, Caja de transporte, Cap Nut, Sleeves, Tarjeta Compact Flash, Tuberia de teflón, , ,  ,  ,  ,  ,  ,  , , , , , , , , , </t>
  </si>
  <si>
    <t>* Documentación de Calibración GRIMM</t>
  </si>
  <si>
    <t>P8K78TFN</t>
  </si>
  <si>
    <t xml:space="preserve">Cable de poder, Caja de transporte, Sensor 158-TRH + escudo radiación, Tarjeta PCMCIA, , , , , , , , , , , , , , , , , </t>
  </si>
  <si>
    <t>LAQUA WQ-330PCD5-K</t>
  </si>
  <si>
    <t>SF4J0019</t>
  </si>
  <si>
    <t xml:space="preserve">Capuchón de acero, Maletín de transporte, Manuales, Soluciones referencia de PH, Soluciones referencia de conductividad, , , ,  ,  ,  ,  ,  ,  , , , , , , , , , </t>
  </si>
  <si>
    <t>59UL0LXT</t>
  </si>
  <si>
    <t>GJBEBKE6</t>
  </si>
  <si>
    <t xml:space="preserve">Cable de poder, Caja de transporte, Cap Nut, Sleeves, Tarjeta Compact Flash, , , ,  ,  ,  ,  ,  ,  , , , , , , , , , </t>
  </si>
  <si>
    <t>Equipo traía solo una manguera de teflón, se entrega protocolo horiba impreso.</t>
  </si>
  <si>
    <t xml:space="preserve">Documentación de calibración </t>
  </si>
  <si>
    <t>AE0FUTTH</t>
  </si>
  <si>
    <t xml:space="preserve">Se entregan certificados de calibración y trazabilidad </t>
  </si>
  <si>
    <t xml:space="preserve">Cable de poder, Caja de transporte, Kit montaje (pletinas + tornillos), Sensor 158-TRH + escudo radiación, Tarjeta PCMCIA, Trampa de agua, , ,  ,  ,  ,  ,  ,  , , , , , , , , , </t>
  </si>
  <si>
    <t>Incluye: Documentos de calibración y Tubo de muestra con cable.</t>
  </si>
  <si>
    <t>N4CAMPC1</t>
  </si>
  <si>
    <t>REBXU06B</t>
  </si>
  <si>
    <t>Se adjunta protocolo impreso.</t>
  </si>
  <si>
    <t xml:space="preserve">Cable de poder, Caja de transporte, Tarjeta Compact Flash, , , , , ,  ,  ,  ,  ,  ,  , , , , , , , , , </t>
  </si>
  <si>
    <t xml:space="preserve">Cable de poder, Caja de transporte, Filtro de partículas, , , , , ,  ,  ,  ,  ,  ,  , , , , , , , , , </t>
  </si>
  <si>
    <t>L2561A1S</t>
  </si>
  <si>
    <t>Incluye solamente manguera sin trampa de agua.</t>
  </si>
  <si>
    <t xml:space="preserve">Se adjunta protocolo impreso y certificado de calibración </t>
  </si>
  <si>
    <t xml:space="preserve">Cabezal de muestra, Cable de poder, Kit montaje (pletinas + tornillos), Sensor 158-TRH + escudo radiación, Tarjeta PCMCIA, Tubo de muestreo 1,5 m + Cable 1158-EE 3,5 m, , , , , , , , , , , , , , , , , </t>
  </si>
  <si>
    <t xml:space="preserve">cable, caja, , , , , , ,  ,  ,  ,  ,  ,  , , , , , , , , , </t>
  </si>
  <si>
    <t xml:space="preserve">Cabezal de muestra, Cable de poder, Caja de transporte, Kit montaje (pletinas + tornillos), Tarjeta PCMCIA, Tubo de muestreo 1,5 m + Cable 1158-EE 3,5 m, , , , , , , , , , , , , , , , </t>
  </si>
  <si>
    <t>NW65P7TU</t>
  </si>
  <si>
    <t xml:space="preserve">Cable de poder, Caja de transporte, Tarjeta Compact Flash, Tuberia de teflón, , , , ,  ,  ,  ,  ,  ,  , , , , , , , , , </t>
  </si>
  <si>
    <t>RPY6WL04</t>
  </si>
  <si>
    <t>Se incluyen 2 tuberías de teflón.</t>
  </si>
  <si>
    <t>Incluye dos tuberias de teflon, solo una tuberia tiene racor y ferula.</t>
  </si>
  <si>
    <t>*Documentación de calibración.</t>
  </si>
  <si>
    <t>18A21076</t>
  </si>
  <si>
    <t xml:space="preserve">Cabezal de muestra, Caja de transporte, Sensor 158-TRH + escudo radiación, Tarjeta PCMCIA, Tubo de muestreo 1,5 m + Cable 1158-EE 3,5 m, , , ,  ,  ,  ,  ,  ,  , , , , , , , , , </t>
  </si>
  <si>
    <t>Incluye dos tuberias de teflon, cada una con racor y ferula.</t>
  </si>
  <si>
    <t>YNG1LPVS</t>
  </si>
  <si>
    <t>* Documentación de calibración</t>
  </si>
  <si>
    <t>18A20035</t>
  </si>
  <si>
    <t xml:space="preserve">Cabezal de muestra, Sensor 158-TRH + escudo radiación, Tubo de muestreo 1,5 m + Cable 1158-EE 3,5 m, , , , , ,  ,  ,  ,  ,  ,  , , , , , , , , , </t>
  </si>
  <si>
    <t>* Documentación de calibración.</t>
  </si>
  <si>
    <t xml:space="preserve">Cabezal de muestra, Cabezal TSP, Caja de transporte, Kit montaje (pletinas + tornillos), Sensor 158-TRH + escudo radiación, Tubo de muestreo 1,5 m + Cable 1158-EE 3,5 m, , , , , , , , , , , , , , , , </t>
  </si>
  <si>
    <t>WK00KT15</t>
  </si>
  <si>
    <t>18A23026</t>
  </si>
  <si>
    <t>18A23027</t>
  </si>
  <si>
    <t xml:space="preserve">Cabezal de muestra, Cable de poder, Caja de transporte, Sensor 158-TRH + escudo radiación, Tarjeta PCMCIA, Trampa de agua  + manguera, Tubo de muestreo 1,5 m + Cable 1158-EE 3,5 m, ,  ,  ,  ,  ,  ,  , , , , , , , , , </t>
  </si>
  <si>
    <t>PSW7965T</t>
  </si>
  <si>
    <t>MF75X0PV</t>
  </si>
  <si>
    <t xml:space="preserve">Cable de poder, Caja de transporte, Tarjeta Compact Flash, , , , , , , , , , , , , , , , , , , , </t>
  </si>
  <si>
    <t>18A23028</t>
  </si>
  <si>
    <t xml:space="preserve">incluye : Kit de prueba de fugas </t>
  </si>
  <si>
    <t>Incluye una tuberia de teflon, sin racores ni ferulas.</t>
  </si>
  <si>
    <t>18A22085</t>
  </si>
  <si>
    <t xml:space="preserve">Cabezal de muestra, Caja de transporte, Tarjeta PCMCIA, Tubo de muestreo 1,5 m + Cable 1158-EE 3,5 m, , , , ,  ,  ,  ,  ,  ,  , , , , , , , , , </t>
  </si>
  <si>
    <t>* Caja de transporte Pelican</t>
  </si>
  <si>
    <t>EX4RN4SL</t>
  </si>
  <si>
    <t xml:space="preserve">Cable de poder, Caja de transporte, Kit montaje (pletinas + tornillos), Sensor 158-TRH + escudo radiación, Tarjeta PCMCIA, Trampa de agua, , , , , , , , , , , , , , , , , </t>
  </si>
  <si>
    <t>WBK9HGW3</t>
  </si>
  <si>
    <t>Dos mangueras con férulas y racores, protocolo impreso.</t>
  </si>
  <si>
    <t>VAL3GUE3</t>
  </si>
  <si>
    <t>Dos mangueras de teflón con racores y férulas, protocolo horiba.</t>
  </si>
  <si>
    <t>Incluye solamente la manguera.</t>
  </si>
  <si>
    <t>18A22003</t>
  </si>
  <si>
    <t>* El equipo queda operativo pero requiere un mantenimiento correctivo para poder se calibrando.</t>
  </si>
  <si>
    <t xml:space="preserve">Cabezal de muestra, Caja de transporte, Tarjeta PCMCIA, , , , , , , , , , , , , , , , , , , , </t>
  </si>
  <si>
    <t>Solo una caja con Tarjeta PCMCIA y Cabezal</t>
  </si>
  <si>
    <t>18A20059</t>
  </si>
  <si>
    <t>** Documentación de Calibración.</t>
  </si>
  <si>
    <t>6PH3XVGB</t>
  </si>
  <si>
    <t>Se guarda en la caja de transporte el escudo de radiación del Sensor Temp/RH de la Remisión REM-2026-078 y la Órden de Venta OV-2026-003</t>
  </si>
  <si>
    <t xml:space="preserve">Brackets, Tarjeta Compact Flash, , , , , , , , , , , , , , , , , , , , , </t>
  </si>
  <si>
    <t>Se recibe a cargo de la transportadora 23M&amp;M</t>
  </si>
  <si>
    <t>Protocolo impreso horiba.</t>
  </si>
  <si>
    <t>No incluye mas accesorios. El cliente envía un kit de bomba de secado nuevo.</t>
  </si>
  <si>
    <t>Capnut(2), sleeve(1), Mangueras(2), Protocolo Impreso(1)</t>
  </si>
  <si>
    <t>Ingresan dos cajas de cartón en un estado regular.</t>
  </si>
  <si>
    <t>1W9EXT0R</t>
  </si>
  <si>
    <t>Protocolo impreso (1).</t>
  </si>
  <si>
    <t>Ingresan dos cajas de cartón en un estado
regular.</t>
  </si>
  <si>
    <t>18A03016</t>
  </si>
  <si>
    <t>.</t>
  </si>
  <si>
    <t>caja de transporte azul #52 y porta tubo con ranura</t>
  </si>
  <si>
    <t>Dos mangueras teflón con capnut (X2) y sleeve (X2).</t>
  </si>
  <si>
    <t>- Ingresa con un kit de bomba de secado nuevo en caja.</t>
  </si>
  <si>
    <t xml:space="preserve">Cabezal de muestra, Sensor 158-TRH + escudo radiación, Tubo de muestreo 1, 5 m + Cable 1158-EE 3, , , , ,  ,  ,  ,  ,  ,  , , , , , , , , , </t>
  </si>
  <si>
    <t>**Documentación de calibración.</t>
  </si>
  <si>
    <t>V3BW1WJD</t>
  </si>
  <si>
    <t xml:space="preserve">Capuchón de acero, Maletín de transporte, Manuales, Soluciones referencia de PH, Soluciones referencia de conductividad, , , , , , , , , , , , , , , , , , </t>
  </si>
  <si>
    <t>Electrodo de PH, electrodo Cond, Electrodo DO</t>
  </si>
  <si>
    <t>Dos mangueras teflón con capnut y sleeve. Protocolo horiba.</t>
  </si>
  <si>
    <t xml:space="preserve">Cabezal de muestra, Cable de poder, Caja de transporte, Kit montaje (pletinas + tornillos), Sensor 158-TRH + escudo radiación, Tarjeta PCMCIA, Tubo de muestreo 1, 5 m + Cable 1158-EE 3,  ,  ,  ,  ,  ,  , , , , , , , , , </t>
  </si>
  <si>
    <t xml:space="preserve">Cable de poder, Caja de transporte, Cap Nut, Sleeves, Tarjeta Compact Flash, Tuberia de teflón, , , , , , , , , , , , , , , , , </t>
  </si>
  <si>
    <t>- Manguera de teflón con Cap Nut &amp; Sleeve (x2)</t>
  </si>
  <si>
    <t>**Certificado de calibración</t>
  </si>
  <si>
    <t xml:space="preserve">Cable de poder, Caja de transporte, Cap Nut, Sleeves, Tarjeta Compact Flash, , , , , , , , , , , , , , , , , , </t>
  </si>
  <si>
    <t xml:space="preserve">Cabezal de muestra, Cable de poder, Tubo de muestreo 1, 5 m + Cable 1158-EE 3, , , , ,  ,  ,  ,  ,  ,  , , , , , , , , , </t>
  </si>
  <si>
    <t>- Manguera de teflón con Cap Nut &amp; Sleeve (X1)</t>
  </si>
  <si>
    <t>**Documentación de calibración GRIMM.</t>
  </si>
  <si>
    <t xml:space="preserve">Caja de transporte, Filtro de partículas, Memoria USB, , , , , , , , , , , , , , , , , , , , </t>
  </si>
  <si>
    <t xml:space="preserve">Cabezal de muestra, Tubo de muestreo 1, 5 m + Cable 1158-EE 3, , , , , ,  ,  ,  ,  ,  ,  , , , , , , , , , </t>
  </si>
  <si>
    <t xml:space="preserve">Cabezal de muestra, Cable 158-EE 3, 5 m, Caja de transporte, Tarjeta PCMCIA, Tubo de muestreo 1, , ,  ,  ,  ,  ,  ,  , , , , , , , , , </t>
  </si>
  <si>
    <t>**Operativo</t>
  </si>
  <si>
    <t xml:space="preserve">Cabezal de muestra, Cable de poder, Caja de transporte, Sensor 158-TRH + escudo radiación, Tarjeta PCMCIA, Trampa de agua  + manguera, Tubo de muestreo 1,5 m + Cable 1158-EE 3,5 m, , , , , , , , , , , , , , , , </t>
  </si>
  <si>
    <t xml:space="preserve">Cabezal de muestra, Cable de poder, Sensor 158-TRH + escudo radiación, Tubo de muestreo 1, 5 m + Cable 1158-EE 3, , , ,  ,  ,  ,  ,  ,  , , , , , , , , , </t>
  </si>
  <si>
    <t xml:space="preserve">Caja de transporte, Cap Nut, Sleeves, Tarjeta Compact Flash, Tuberia de teflón, , , ,  ,  ,  ,  ,  ,  , , , , , , , , , </t>
  </si>
  <si>
    <t>Se entrega protocolo impreso.</t>
  </si>
  <si>
    <t>18A21092</t>
  </si>
  <si>
    <t xml:space="preserve">Cable de poder, Caja de transporte, Tarjeta PCMCIA, , , , , ,  ,  ,  ,  ,  ,  , , , , , , , , , </t>
  </si>
  <si>
    <t>NPARYXJ9</t>
  </si>
  <si>
    <t>1T71YRV7</t>
  </si>
  <si>
    <t>V5T7C99G</t>
  </si>
  <si>
    <t xml:space="preserve">Cabezal de muestra, Cabezal TSP, Datalogger, Memoria USB, Sensor Meteorológico 157L, Tubo de muestreo 1.5 m + Cable Met., , ,  ,  ,  ,  ,  ,  , , , , , , , , , </t>
  </si>
  <si>
    <t xml:space="preserve">paking incluido </t>
  </si>
  <si>
    <t xml:space="preserve">Cabezal de muestra, Sensor 158-TRH + escudo radiación, Tubo de muestreo 1,5 m + Cable 1158-EE 3,5 m, , , , , , , , , , , , , , , , , , , , </t>
  </si>
  <si>
    <t>Sin cajas de transporte.</t>
  </si>
  <si>
    <t>packing incluido</t>
  </si>
  <si>
    <t xml:space="preserve">Cabezal de muestra, Cable de poder, Tubo de muestreo 1,5 m + Cable 1158-EE 3,5 m, , , , , , , , , , , , , , , , , , , , </t>
  </si>
  <si>
    <t>Sin caja.</t>
  </si>
  <si>
    <t xml:space="preserve">Cabezal de muestra, Cable de poder, Escudo de radiación para 1158-TRH, Sensor 1158-TRH, Tubo de muestreo 1, 5 m + Cable 1158-EE 3, , ,  ,  ,  ,  ,  ,  , , , , , , , , , </t>
  </si>
  <si>
    <t xml:space="preserve">Cabezal de muestra, Tubo de muestreo 1,5 m + Cable 1158-EE 3,5 m, , , , , , , , , , , , , , , , , , , , , </t>
  </si>
  <si>
    <t>- Transformador 220V</t>
  </si>
  <si>
    <t>RG4SR6AD</t>
  </si>
  <si>
    <t xml:space="preserve">Cable de poder, , , , , , , ,  ,  ,  ,  ,  ,  , , , , , , , , , </t>
  </si>
  <si>
    <t xml:space="preserve">Cabezal de muestra, Caja de transporte, Tarjeta PCMCIA, Tubo de muestreo 1,5 m + Cable 1158-EE 3,5 m, , , , , , , , , , , , , , , , , , , </t>
  </si>
  <si>
    <t>Se entrega protocolo horiba impreso y repuestos cambiados.</t>
  </si>
  <si>
    <t xml:space="preserve">Cabezal de muestra, Caja de transporte, Sensor 158-TRH + escudo radiación, Tarjeta PCMCIA, Tubo de muestreo 1,5 m + Cable 1158-EE 3,5 m, , , , , , , , , , , , , , , , , , </t>
  </si>
  <si>
    <t>Se adjunta protocolo impreso y repuestos cambiados.</t>
  </si>
  <si>
    <t xml:space="preserve">Cabezal de muestra, Cable de poder, Caja de transporte, Sensor 158-TRH + escudo radiación, Tarjeta PCMCIA, Tubo de muestreo 1,5 m + Cable 1158-EE 3,5 m, , , , , , , , , , , , , , , , , </t>
  </si>
  <si>
    <t>Se entregan repuestos cambiados y protocolo impreso.</t>
  </si>
  <si>
    <t>18A22005</t>
  </si>
  <si>
    <t>18A23029</t>
  </si>
  <si>
    <t xml:space="preserve">Cable de poder, Caja de transporte, Tarjeta Compact Flash, Tuberia de teflón, , , , , , , , , , , , , , , , , , , </t>
  </si>
  <si>
    <t>- Dos mangueras de teflón con racores y férulas.</t>
  </si>
  <si>
    <t>- Dos mangueras con férulas y racores.</t>
  </si>
  <si>
    <t>- Dos mangueras teflón con capnut y sleeve.</t>
  </si>
  <si>
    <t>- Dos mangueras teflón con capnut (X2) y sleeve (X1).</t>
  </si>
  <si>
    <t>- Dos mangueras teflón con capnut (X2) y sleeve (X2).</t>
  </si>
  <si>
    <t>JV765TV0</t>
  </si>
  <si>
    <t>1cap 1 sleeve</t>
  </si>
  <si>
    <t>AMBIENTALIA</t>
  </si>
  <si>
    <t>WVSNWSF7</t>
  </si>
  <si>
    <t>M4D3R1UF</t>
  </si>
  <si>
    <t xml:space="preserve">incluye empaque y accesorio en teflón con oring naranja </t>
  </si>
  <si>
    <t>U-51</t>
  </si>
  <si>
    <t>UX29Y0E3</t>
  </si>
  <si>
    <t>Incluye una manguera.</t>
  </si>
  <si>
    <t>T5DMLT1N</t>
  </si>
  <si>
    <t>El equipo ingresa por diagnóstico ya que presenta fallas en la etapa de Fecha / Hora.</t>
  </si>
  <si>
    <t xml:space="preserve">Cabezal de muestra, Cable 158-EE 3,5 m, Caja de transporte, Tarjeta PCMCIA, Tubo de muestreo 1,5 m, , , , , , , , , , , , , , , , , , </t>
  </si>
  <si>
    <t>** Dos cajas y un tubo.</t>
  </si>
  <si>
    <t>LAQUAtwin-Na-11</t>
  </si>
  <si>
    <t>GJ2G0182</t>
  </si>
  <si>
    <t>18A24063</t>
  </si>
  <si>
    <t>18A24064</t>
  </si>
  <si>
    <t>LAQUAtwin-NO3-11C</t>
  </si>
  <si>
    <t>GN2H0028</t>
  </si>
  <si>
    <t xml:space="preserve">Cable de poder, Caja de transporte, Tarjeta PCMCIA, , , , , , , , , , , , , , , , , , , , </t>
  </si>
  <si>
    <t xml:space="preserve">**Solo ingresa una caja con el equipo con tarjeta PCMCIA y cable de poder. </t>
  </si>
  <si>
    <t>LAQUAtwin-Ec-11</t>
  </si>
  <si>
    <t>GD2K0002</t>
  </si>
  <si>
    <t xml:space="preserve">Cabezal de muestra, Cable de poder, Sensor Meteorológico 159L + accesorios, Tubo de muestreo 1,5 m + Cable 1158-EE 3,5 m, , , , , , , , , , , , , , , , , , , </t>
  </si>
  <si>
    <t xml:space="preserve">Caja de transporte, Cap Nut, Sleeves, Tarjeta Compact Flash, Tuberia de teflón, , , , , , , , , , , , , , , , , , </t>
  </si>
  <si>
    <t>LAQUAtwin-K-11</t>
  </si>
  <si>
    <t>GK2E0021</t>
  </si>
  <si>
    <t>-Manguera teflón con sleeve y capnut (x2)</t>
  </si>
  <si>
    <t xml:space="preserve">Cabezal de muestra, Cable de poder, Sensor 158-TRH + escudo radiación, Tubo de muestreo 1,5 m + Cable 1158-EE 3,5 m, , , , , , , , , , , , , , , , , , , </t>
  </si>
  <si>
    <t>Reparación</t>
  </si>
  <si>
    <t>* Ingresa para reemplazo del sensor de presión.</t>
  </si>
  <si>
    <t>LAQUAtwin-Ca-11</t>
  </si>
  <si>
    <t>GL2D0135</t>
  </si>
  <si>
    <t>** Calibración GRIMM</t>
  </si>
  <si>
    <t>1 racor sin ferula.</t>
  </si>
  <si>
    <t>LAQUAtwin-PH-11</t>
  </si>
  <si>
    <t xml:space="preserve">Cable de poder, Caja de transporte, Conexión en T, , , , , , , , , , , , , , , , , , , , </t>
  </si>
  <si>
    <t>1 tapon en bronce.</t>
  </si>
  <si>
    <t xml:space="preserve">Cabezal de muestra, Cable de poder, Escudo de radiación para 1158-TRH, Sensor 1158-TRH, Tubo de muestreo 1,5 m + Cable 1158-EE 3,5 m, , , , , , , , , , , , , , , , , , </t>
  </si>
  <si>
    <t>18A20058</t>
  </si>
  <si>
    <t xml:space="preserve">El sensor se encuentra desacoplado del escudo de radiación </t>
  </si>
  <si>
    <t>Elevador de voltage a 220v</t>
  </si>
  <si>
    <t xml:space="preserve">Cable de poder, , , , , , , , , , , , , , , , , , , , , , </t>
  </si>
  <si>
    <t>Caja de madera</t>
  </si>
  <si>
    <t xml:space="preserve">Cabezal de muestra, Cable de poder, Pletinas (par), Sensor 158-TRH + escudo radiación, Tarjeta PCMCIA, Tubo de muestreo 1,5 m + Cable 1158-EE 3,5 m, , , , , , , , , , , , , , , , , </t>
  </si>
  <si>
    <t>Equipo de ARILAB</t>
  </si>
  <si>
    <t>Environ Ingeniería y Servicios S.A.S.</t>
  </si>
  <si>
    <t>18A20060</t>
  </si>
  <si>
    <t>18A16020</t>
  </si>
  <si>
    <t>Sin accesorios adicionales.</t>
  </si>
  <si>
    <t>Se recibe por medio de transportadora.</t>
  </si>
  <si>
    <t>18A22081</t>
  </si>
  <si>
    <t>18A21014</t>
  </si>
  <si>
    <t>18A21041</t>
  </si>
  <si>
    <t>18A21059</t>
  </si>
  <si>
    <t>18A21060</t>
  </si>
  <si>
    <t>18A24065</t>
  </si>
  <si>
    <t>18A24066</t>
  </si>
  <si>
    <t>18A24067</t>
  </si>
  <si>
    <t>18A24068</t>
  </si>
  <si>
    <t>18A24069</t>
  </si>
  <si>
    <t>18A24070</t>
  </si>
  <si>
    <t>3X0ND064</t>
  </si>
  <si>
    <t>926L0LFB</t>
  </si>
  <si>
    <t>U6RF8092</t>
  </si>
  <si>
    <t>UE0A8AXP</t>
  </si>
  <si>
    <t>UBDC5PKH</t>
  </si>
  <si>
    <t>RWXN2KPW</t>
  </si>
  <si>
    <t>VM822CSA</t>
  </si>
  <si>
    <t>TWE1GV69</t>
  </si>
  <si>
    <t>L7CGLR44</t>
  </si>
  <si>
    <t>3KY9ANGJ</t>
  </si>
  <si>
    <t>68MJ88C8</t>
  </si>
  <si>
    <t>6N50AVK4</t>
  </si>
  <si>
    <t>XEVSEN9V</t>
  </si>
  <si>
    <t>NEJ9AH06</t>
  </si>
  <si>
    <t>3BDKSSLB</t>
  </si>
  <si>
    <t>URLX03H0</t>
  </si>
  <si>
    <t>W6W7UB63</t>
  </si>
  <si>
    <t>85HHP0N0</t>
  </si>
  <si>
    <t>WFW81XS2</t>
  </si>
  <si>
    <t>PDYFHJ23</t>
  </si>
  <si>
    <t>BFUG26UX</t>
  </si>
  <si>
    <t>YEB0N2YW</t>
  </si>
  <si>
    <t>APNA-H370</t>
  </si>
  <si>
    <t>YWNS02MH</t>
  </si>
  <si>
    <t>RFL6UD28</t>
  </si>
  <si>
    <t>YT0SLPF4</t>
  </si>
  <si>
    <t>V3B6SY8L</t>
  </si>
  <si>
    <t>CU2</t>
  </si>
  <si>
    <t>R0GAJYKL</t>
  </si>
  <si>
    <t>P1GDCKF4</t>
  </si>
  <si>
    <t>PCTWMMJF</t>
  </si>
  <si>
    <t>9156R938</t>
  </si>
  <si>
    <t>31NTN86B</t>
  </si>
  <si>
    <t>KUS03MNP</t>
  </si>
  <si>
    <t>PK4S6MRC</t>
  </si>
  <si>
    <t>G22KUL6S</t>
  </si>
  <si>
    <t>WKKT596N</t>
  </si>
  <si>
    <t>APSA-H370</t>
  </si>
  <si>
    <t>URV6B313</t>
  </si>
  <si>
    <t>S8CGS3X5</t>
  </si>
  <si>
    <t>B8RUT7HE</t>
  </si>
  <si>
    <t>U60WRX1S</t>
  </si>
  <si>
    <t>XRPDG3E6</t>
  </si>
  <si>
    <t>C6NH8XPB</t>
  </si>
  <si>
    <t>GH54H0TR</t>
  </si>
  <si>
    <t>UNAUF1NV</t>
  </si>
  <si>
    <t>YSRDCW3M</t>
  </si>
  <si>
    <t>WLAE7JE0</t>
  </si>
  <si>
    <t>R4X60JDP</t>
  </si>
  <si>
    <t>R6ED50R5</t>
  </si>
  <si>
    <t>TA11SVP0</t>
  </si>
  <si>
    <t>VYUEC80N</t>
  </si>
  <si>
    <t>AP 370 TRS</t>
  </si>
  <si>
    <t>TCA</t>
  </si>
  <si>
    <t>CTS 01S</t>
  </si>
  <si>
    <t>18A20038</t>
  </si>
  <si>
    <t>18A20052</t>
  </si>
  <si>
    <t>18A18030</t>
  </si>
  <si>
    <t>W5A0NMGK</t>
  </si>
  <si>
    <t>1JS71VM3</t>
  </si>
  <si>
    <t>A860VPB4</t>
  </si>
  <si>
    <t>EWXS8ES5</t>
  </si>
  <si>
    <t>829WE09R</t>
  </si>
  <si>
    <t>U403C0JJ</t>
  </si>
  <si>
    <t>1XT65JR5</t>
  </si>
  <si>
    <t>V360VG23</t>
  </si>
  <si>
    <t>RW2P5JMH</t>
  </si>
  <si>
    <t>TG13HCEJ</t>
  </si>
  <si>
    <t>Durag</t>
  </si>
  <si>
    <t>D-R 290</t>
  </si>
  <si>
    <t>18A22052</t>
  </si>
  <si>
    <t>18A20087</t>
  </si>
  <si>
    <t>18A22053</t>
  </si>
  <si>
    <t>Kunak</t>
  </si>
  <si>
    <t>AIR Pro</t>
  </si>
  <si>
    <t>UMJJYLV9</t>
  </si>
  <si>
    <t>X6MCP81D</t>
  </si>
  <si>
    <t>ZNV-7</t>
  </si>
  <si>
    <t>4DKGBYCV</t>
  </si>
  <si>
    <t>Y0DE0D0R</t>
  </si>
  <si>
    <t>JJ21FLKW</t>
  </si>
  <si>
    <t>YBULVEJH</t>
  </si>
  <si>
    <t>PM2B5CG9</t>
  </si>
  <si>
    <t>GMKO1HJU</t>
  </si>
  <si>
    <t>DVT3NM08</t>
  </si>
  <si>
    <t>937MTJB2</t>
  </si>
  <si>
    <t>18A19038</t>
  </si>
  <si>
    <t>18A20088</t>
  </si>
  <si>
    <t>18A21094</t>
  </si>
  <si>
    <t>18A21095</t>
  </si>
  <si>
    <t>18A22054</t>
  </si>
  <si>
    <t>J9NCP28K</t>
  </si>
  <si>
    <t>PFWRUXNF</t>
  </si>
  <si>
    <t>XL021AXX</t>
  </si>
  <si>
    <t>4UFVB4RH</t>
  </si>
  <si>
    <t>P0M4J4J0</t>
  </si>
  <si>
    <t>Y867YD92</t>
  </si>
  <si>
    <t>V4T9LD8G</t>
  </si>
  <si>
    <t>UH40S0T9</t>
  </si>
  <si>
    <t>RUXGB0SH</t>
  </si>
  <si>
    <t>9SD65XLK</t>
  </si>
  <si>
    <t>F3GWNEH7</t>
  </si>
  <si>
    <t>18A21057</t>
  </si>
  <si>
    <t>18A15001</t>
  </si>
  <si>
    <t>18A15002</t>
  </si>
  <si>
    <t>WS600-UMB</t>
  </si>
  <si>
    <t>Sensus S.A.S.</t>
  </si>
  <si>
    <t>AE3BAG9W</t>
  </si>
  <si>
    <t>5BDUXKU4</t>
  </si>
  <si>
    <t>LL94AM73</t>
  </si>
  <si>
    <t>XTRM2EL9</t>
  </si>
  <si>
    <t>YVDN8SCN</t>
  </si>
  <si>
    <t>GYW4V13B</t>
  </si>
  <si>
    <t>TTGS63AN</t>
  </si>
  <si>
    <t>BTW45UDA</t>
  </si>
  <si>
    <t>9GP1WLXF</t>
  </si>
  <si>
    <t>7G1SKY6V</t>
  </si>
  <si>
    <t>PN625E7L</t>
  </si>
  <si>
    <t>WNNDY8VP</t>
  </si>
  <si>
    <t>80MDPEDV</t>
  </si>
  <si>
    <t>YJ7AT306</t>
  </si>
  <si>
    <t>YY1X01GC</t>
  </si>
  <si>
    <t>18A18071</t>
  </si>
  <si>
    <t>18A20071</t>
  </si>
  <si>
    <t>18A20072</t>
  </si>
  <si>
    <t>18A20127</t>
  </si>
  <si>
    <t>18A21077</t>
  </si>
  <si>
    <t>18A22004</t>
  </si>
  <si>
    <t>18A22083</t>
  </si>
  <si>
    <t>D000GC6F</t>
  </si>
  <si>
    <t>191TE0NC</t>
  </si>
  <si>
    <t>W2MNFRMP</t>
  </si>
  <si>
    <t>GMBTHN2G</t>
  </si>
  <si>
    <t>G0C005FG</t>
  </si>
  <si>
    <t>G0C002FG</t>
  </si>
  <si>
    <t>BW427SL0</t>
  </si>
  <si>
    <t>PK2C4GNB</t>
  </si>
  <si>
    <t>V17SWWDG</t>
  </si>
  <si>
    <t>18A20033</t>
  </si>
  <si>
    <t>TCE4CX5T</t>
  </si>
  <si>
    <t>P4B4CK60</t>
  </si>
  <si>
    <t>UUK90FA3</t>
  </si>
  <si>
    <t>H53MWBT2</t>
  </si>
  <si>
    <t>1D1F3L0U</t>
  </si>
  <si>
    <t>590NNKD5</t>
  </si>
  <si>
    <t>1TLF2RUY</t>
  </si>
  <si>
    <t>18A18001</t>
  </si>
  <si>
    <t>18A20126</t>
  </si>
  <si>
    <t>18A20034</t>
  </si>
  <si>
    <t>H16FP9Y8</t>
  </si>
  <si>
    <t>TW0W6GY0</t>
  </si>
  <si>
    <t>OCMA-500</t>
  </si>
  <si>
    <t>4RSGNU00</t>
  </si>
  <si>
    <t>SX6W7UY5</t>
  </si>
  <si>
    <t>V70GLW5C</t>
  </si>
  <si>
    <t>VA-3114</t>
  </si>
  <si>
    <t>UAXVLE1F</t>
  </si>
  <si>
    <t>CVPBD194</t>
  </si>
  <si>
    <t>W570KVL5</t>
  </si>
  <si>
    <t>EPB84VCE</t>
  </si>
  <si>
    <t>9G110023</t>
  </si>
  <si>
    <t>9G080074</t>
  </si>
  <si>
    <t>17E</t>
  </si>
  <si>
    <t>7H120015</t>
  </si>
  <si>
    <t>18A24072</t>
  </si>
  <si>
    <t>18A24071</t>
  </si>
  <si>
    <t>Servicios de Ingeniería y Ambiente S.A.S. - SERAMBIENTE S.A.S</t>
  </si>
  <si>
    <t>CIMA</t>
  </si>
  <si>
    <t>18Aprueba_prueba</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</si>
</sst>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M/yyyy"/>
    <numFmt numFmtId="165" formatCode="d&quot;-&quot;mm&quot;-&quot;yyyy"/>
    <numFmt numFmtId="166" formatCode="yyyy-mm-dd"/>
    <numFmt numFmtId="167" formatCode="yyyy/m/d"/>
    <numFmt numFmtId="168" formatCode="d/m/yyyy"/>
    <numFmt numFmtId="169" formatCode="yyyy.m.d"/>
    <numFmt numFmtId="170" formatCode="dd/mm/yyyy"/>
  </numFmts>
  <fonts count="12">
    <font>
      <sz val="10.0"/>
      <color rgb="FF000000"/>
      <name val="Arial"/>
      <scheme val="minor"/>
    </font>
    <font>
      <b/>
      <color theme="1"/>
      <name val="Arial"/>
      <scheme val="minor"/>
    </font>
    <font>
      <b/>
      <sz val="10.0"/>
      <color theme="1"/>
      <name val="Arial"/>
      <scheme val="minor"/>
    </font>
    <font>
      <b/>
      <sz val="11.0"/>
      <color rgb="FF1B1C1D"/>
      <name val="Arial"/>
    </font>
    <font>
      <color theme="1"/>
      <name val="Arial"/>
      <scheme val="minor"/>
    </font>
    <font>
      <sz val="11.0"/>
      <color rgb="FF313949"/>
      <name val="Zoho_Puvi_Regular"/>
    </font>
    <font>
      <sz val="10.0"/>
      <color theme="1"/>
      <name val="Arial"/>
      <scheme val="minor"/>
    </font>
    <font>
      <sz val="11.0"/>
      <color rgb="FF000000"/>
      <name val="&quot;Aptos Narrow&quot;"/>
    </font>
    <font/>
    <font>
      <b/>
      <color theme="1"/>
      <name val="Arial"/>
    </font>
    <font>
      <color theme="1"/>
      <name val="Arial"/>
    </font>
    <font>
      <sz val="11.0"/>
      <color rgb="FF000000"/>
      <name val="Calibri"/>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1" fillId="0" fontId="3" numFmtId="0" xfId="0" applyAlignment="1" applyBorder="1" applyFont="1">
      <alignment horizontal="center" readingOrder="0"/>
    </xf>
    <xf borderId="0" fillId="0" fontId="4" numFmtId="0" xfId="0" applyAlignment="1" applyFont="1">
      <alignment readingOrder="0"/>
    </xf>
    <xf borderId="0" fillId="2" fontId="2" numFmtId="0" xfId="0" applyAlignment="1" applyFont="1">
      <alignment horizontal="left" readingOrder="0"/>
    </xf>
    <xf borderId="0" fillId="0" fontId="4" numFmtId="0" xfId="0" applyAlignment="1" applyFont="1">
      <alignment horizontal="left" readingOrder="0"/>
    </xf>
    <xf borderId="0" fillId="2" fontId="1" numFmtId="0" xfId="0" applyAlignment="1" applyFont="1">
      <alignment readingOrder="0"/>
    </xf>
    <xf borderId="0" fillId="2" fontId="4" numFmtId="0" xfId="0" applyFont="1"/>
    <xf borderId="0" fillId="3" fontId="5" numFmtId="0" xfId="0" applyAlignment="1" applyFill="1" applyFont="1">
      <alignment readingOrder="0" shrinkToFit="0" wrapText="1"/>
    </xf>
    <xf borderId="0" fillId="2" fontId="6" numFmtId="0" xfId="0" applyAlignment="1" applyFont="1">
      <alignment readingOrder="0"/>
    </xf>
    <xf borderId="0" fillId="2" fontId="6" numFmtId="0" xfId="0" applyAlignment="1" applyFont="1">
      <alignment horizontal="left" readingOrder="0"/>
    </xf>
    <xf borderId="0" fillId="2" fontId="4" numFmtId="0" xfId="0" applyAlignment="1" applyFont="1">
      <alignment readingOrder="0"/>
    </xf>
    <xf borderId="2" fillId="0" fontId="7" numFmtId="0" xfId="0" applyAlignment="1" applyBorder="1" applyFont="1">
      <alignment horizontal="center" readingOrder="0" shrinkToFit="0" wrapText="0"/>
    </xf>
    <xf borderId="3" fillId="0" fontId="7" numFmtId="0" xfId="0" applyAlignment="1" applyBorder="1" applyFont="1">
      <alignment horizontal="center" readingOrder="0" shrinkToFit="0" wrapText="0"/>
    </xf>
    <xf borderId="4" fillId="0" fontId="7" numFmtId="0" xfId="0" applyAlignment="1" applyBorder="1" applyFont="1">
      <alignment horizontal="left" readingOrder="0" shrinkToFit="0" vertical="bottom" wrapText="0"/>
    </xf>
    <xf borderId="0" fillId="0" fontId="4" numFmtId="0" xfId="0" applyAlignment="1" applyFont="1">
      <alignment horizontal="left" readingOrder="0" shrinkToFit="0" vertical="center" wrapText="1"/>
    </xf>
    <xf borderId="2" fillId="0" fontId="8" numFmtId="0" xfId="0" applyBorder="1" applyFont="1"/>
    <xf borderId="3" fillId="0" fontId="8" numFmtId="0" xfId="0" applyBorder="1" applyFont="1"/>
    <xf borderId="0" fillId="0" fontId="4" numFmtId="0" xfId="0" applyAlignment="1" applyFont="1">
      <alignment horizontal="left" readingOrder="0" shrinkToFit="0" vertical="center" wrapText="1"/>
    </xf>
    <xf borderId="3" fillId="0" fontId="7" numFmtId="0" xfId="0" applyAlignment="1" applyBorder="1" applyFont="1">
      <alignment horizontal="left" readingOrder="0" shrinkToFit="0" vertical="bottom" wrapText="0"/>
    </xf>
    <xf borderId="5" fillId="0" fontId="7" numFmtId="0" xfId="0" applyAlignment="1" applyBorder="1" applyFont="1">
      <alignment horizontal="left" readingOrder="0" shrinkToFit="0" vertical="bottom" wrapText="0"/>
    </xf>
    <xf borderId="0" fillId="0" fontId="4" numFmtId="164" xfId="0" applyAlignment="1" applyFont="1" applyNumberForma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4" numFmtId="164" xfId="0" applyAlignment="1" applyFont="1" applyNumberFormat="1">
      <alignment shrinkToFit="0" vertical="center" wrapText="1"/>
    </xf>
    <xf borderId="4" fillId="0" fontId="8" numFmtId="0" xfId="0" applyBorder="1" applyFont="1"/>
    <xf borderId="0" fillId="0" fontId="4" numFmtId="49" xfId="0" applyAlignment="1" applyFont="1" applyNumberFormat="1">
      <alignment readingOrder="0" shrinkToFit="0" vertical="center" wrapText="1"/>
    </xf>
    <xf borderId="0" fillId="0" fontId="4" numFmtId="0" xfId="0" applyAlignment="1" applyFont="1">
      <alignment shrinkToFit="0" vertical="center" wrapText="1"/>
    </xf>
    <xf borderId="6" fillId="0" fontId="8" numFmtId="0" xfId="0" applyBorder="1" applyFont="1"/>
    <xf borderId="0" fillId="0" fontId="4" numFmtId="0" xfId="0" applyAlignment="1" applyFont="1">
      <alignment readingOrder="0"/>
    </xf>
    <xf borderId="0" fillId="0" fontId="4" numFmtId="49" xfId="0" applyAlignment="1" applyFont="1" applyNumberFormat="1">
      <alignment shrinkToFit="0" vertical="center" wrapText="1"/>
    </xf>
    <xf borderId="3" fillId="0" fontId="7" numFmtId="0" xfId="0" applyAlignment="1" applyBorder="1" applyFont="1">
      <alignment horizontal="center" readingOrder="0"/>
    </xf>
    <xf borderId="0" fillId="0" fontId="9" numFmtId="0" xfId="0" applyAlignment="1" applyFont="1">
      <alignment horizontal="center" vertical="bottom"/>
    </xf>
    <xf borderId="0" fillId="0" fontId="9" numFmtId="165" xfId="0" applyAlignment="1" applyFont="1" applyNumberFormat="1">
      <alignment horizontal="center" readingOrder="0" vertical="bottom"/>
    </xf>
    <xf borderId="0" fillId="0" fontId="9" numFmtId="0" xfId="0" applyAlignment="1" applyFont="1">
      <alignment horizontal="center" readingOrder="0" vertical="bottom"/>
    </xf>
    <xf borderId="0" fillId="0" fontId="9" numFmtId="0" xfId="0" applyAlignment="1" applyFont="1">
      <alignment horizontal="left" vertical="bottom"/>
    </xf>
    <xf borderId="0" fillId="0" fontId="10" numFmtId="0" xfId="0" applyAlignment="1" applyFont="1">
      <alignment vertical="bottom"/>
    </xf>
    <xf borderId="0" fillId="0" fontId="10" numFmtId="165" xfId="0" applyAlignment="1" applyFont="1" applyNumberFormat="1">
      <alignment horizontal="right" vertical="bottom"/>
    </xf>
    <xf borderId="0" fillId="0" fontId="10" numFmtId="0" xfId="0" applyAlignment="1" applyFont="1">
      <alignment horizontal="center" vertical="bottom"/>
    </xf>
    <xf borderId="0" fillId="0" fontId="10" numFmtId="0" xfId="0" applyAlignment="1" applyFont="1">
      <alignment horizontal="left" vertical="bottom"/>
    </xf>
    <xf borderId="0" fillId="0" fontId="10" numFmtId="0" xfId="0" applyAlignment="1" applyFont="1">
      <alignment horizontal="right" readingOrder="0" vertical="bottom"/>
    </xf>
    <xf borderId="0" fillId="0" fontId="10" numFmtId="0" xfId="0" applyAlignment="1" applyFont="1">
      <alignment horizontal="right" vertical="bottom"/>
    </xf>
    <xf borderId="0" fillId="0" fontId="10" numFmtId="165" xfId="0" applyAlignment="1" applyFont="1" applyNumberFormat="1">
      <alignment horizontal="right" readingOrder="0" vertical="bottom"/>
    </xf>
    <xf borderId="0" fillId="0" fontId="4" numFmtId="0" xfId="0" applyAlignment="1" applyFont="1">
      <alignment horizontal="center" readingOrder="0"/>
    </xf>
    <xf borderId="0" fillId="0" fontId="10" numFmtId="0" xfId="0" applyAlignment="1" applyFont="1">
      <alignment horizontal="left" readingOrder="0" vertical="bottom"/>
    </xf>
    <xf borderId="0" fillId="0" fontId="10" numFmtId="0" xfId="0" applyAlignment="1" applyFont="1">
      <alignment readingOrder="0" vertical="bottom"/>
    </xf>
    <xf borderId="7" fillId="0" fontId="7" numFmtId="0" xfId="0" applyAlignment="1" applyBorder="1" applyFont="1">
      <alignment horizontal="left" readingOrder="0" shrinkToFit="0" vertical="bottom" wrapText="0"/>
    </xf>
    <xf borderId="0" fillId="0" fontId="10" numFmtId="0" xfId="0" applyAlignment="1" applyFont="1">
      <alignment horizontal="center" readingOrder="0" vertical="bottom"/>
    </xf>
    <xf borderId="0" fillId="0" fontId="4" numFmtId="166" xfId="0" applyAlignment="1" applyFont="1" applyNumberFormat="1">
      <alignment horizontal="center" readingOrder="0"/>
    </xf>
    <xf borderId="0" fillId="0" fontId="4" numFmtId="166" xfId="0" applyAlignment="1" applyFont="1" applyNumberFormat="1">
      <alignment readingOrder="0"/>
    </xf>
    <xf borderId="0" fillId="0" fontId="10" numFmtId="167" xfId="0" applyAlignment="1" applyFont="1" applyNumberFormat="1">
      <alignment horizontal="right" readingOrder="0" vertical="bottom"/>
    </xf>
    <xf borderId="0" fillId="0" fontId="10" numFmtId="168" xfId="0" applyAlignment="1" applyFont="1" applyNumberFormat="1">
      <alignment horizontal="right" readingOrder="0" vertical="bottom"/>
    </xf>
    <xf borderId="0" fillId="0" fontId="11" numFmtId="0" xfId="0" applyAlignment="1" applyFont="1">
      <alignment readingOrder="0"/>
    </xf>
    <xf borderId="0" fillId="0" fontId="10" numFmtId="166" xfId="0" applyAlignment="1" applyFont="1" applyNumberFormat="1">
      <alignment horizontal="right" readingOrder="0" vertical="bottom"/>
    </xf>
    <xf borderId="0" fillId="0" fontId="10" numFmtId="169" xfId="0" applyAlignment="1" applyFont="1" applyNumberFormat="1">
      <alignment horizontal="right" readingOrder="0" vertical="bottom"/>
    </xf>
    <xf borderId="0" fillId="0" fontId="10" numFmtId="170" xfId="0" applyAlignment="1" applyFont="1" applyNumberFormat="1">
      <alignment horizontal="right" readingOrder="0" vertical="bottom"/>
    </xf>
    <xf borderId="0" fillId="0" fontId="4" numFmtId="165" xfId="0" applyAlignment="1" applyFont="1" applyNumberFormat="1">
      <alignment horizontal="right" readingOrder="0"/>
    </xf>
    <xf borderId="0" fillId="0" fontId="4" numFmtId="0" xfId="0" applyAlignment="1" applyFont="1">
      <alignment horizontal="right" readingOrder="0"/>
    </xf>
    <xf borderId="0" fillId="0" fontId="10" numFmtId="0" xfId="0" applyAlignment="1" applyFont="1">
      <alignment horizontal="right" vertical="bottom"/>
    </xf>
    <xf borderId="0" fillId="0" fontId="6" numFmtId="0" xfId="0" applyAlignment="1" applyFont="1">
      <alignment readingOrder="0"/>
    </xf>
    <xf borderId="0" fillId="0" fontId="4" numFmtId="0" xfId="0" applyAlignment="1" applyFont="1">
      <alignment horizontal="right"/>
    </xf>
    <xf borderId="0" fillId="0" fontId="4" numFmtId="0" xfId="0" applyAlignment="1" applyFont="1">
      <alignment horizontal="center"/>
    </xf>
    <xf borderId="0" fillId="0" fontId="4" numFmtId="165" xfId="0" applyAlignment="1" applyFont="1" applyNumberFormat="1">
      <alignment horizontal="right"/>
    </xf>
    <xf borderId="0" fillId="0" fontId="4" numFmtId="0" xfId="0" applyAlignment="1" applyFont="1">
      <alignment horizontal="left"/>
    </xf>
    <xf borderId="0" fillId="2" fontId="4" numFmtId="0" xfId="0" applyAlignment="1" applyFont="1">
      <alignment horizontal="left" readingOrder="0"/>
    </xf>
    <xf borderId="0" fillId="2" fontId="6" numFmtId="4" xfId="0" applyAlignment="1" applyFont="1" applyNumberFormat="1">
      <alignment horizontal="left" readingOrder="0"/>
    </xf>
    <xf borderId="0" fillId="2" fontId="4" numFmtId="0" xfId="0" applyAlignment="1" applyFont="1">
      <alignment horizontal="left"/>
    </xf>
  </cellXfs>
  <cellStyles count="1">
    <cellStyle xfId="0" name="Normal" builtinId="0"/>
  </cellStyles>
  <dxfs count="5">
    <dxf>
      <font/>
      <fill>
        <patternFill patternType="none"/>
      </fill>
      <border/>
    </dxf>
    <dxf>
      <font/>
      <fill>
        <patternFill patternType="solid">
          <fgColor rgb="FF7894AC"/>
          <bgColor rgb="FF7894A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7894AC"/>
        </left>
        <right style="thin">
          <color rgb="FF7894AC"/>
        </right>
        <top style="thin">
          <color rgb="FF7894AC"/>
        </top>
        <bottom style="thin">
          <color rgb="FF7894AC"/>
        </bottom>
      </border>
    </dxf>
  </dxfs>
  <tableStyles count="1">
    <tableStyle count="4" pivot="0" name="Comentario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1152525</xdr:colOff>
      <xdr:row>2</xdr:row>
      <xdr:rowOff>1419225</xdr:rowOff>
    </xdr:from>
    <xdr:ext cx="1381125" cy="4667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9" displayName="Recogida_de_comentarios" name="Recogida_de_comentarios" id="1">
  <tableColumns count="5">
    <tableColumn name="Fecha" id="1"/>
    <tableColumn name="ID" id="2"/>
    <tableColumn name="Comentarios" id="3"/>
    <tableColumn name="Sentimiento según IA" id="4"/>
    <tableColumn name="Categoría de IA" id="5"/>
  </tableColumns>
  <tableStyleInfo name="Comentari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3" width="40.13"/>
    <col customWidth="1" min="4" max="5" width="28.88"/>
  </cols>
  <sheetData>
    <row r="1" ht="22.5" customHeight="1">
      <c r="A1" s="16" t="s">
        <v>60</v>
      </c>
      <c r="B1" s="19" t="s">
        <v>75</v>
      </c>
      <c r="C1" s="19" t="s">
        <v>84</v>
      </c>
      <c r="D1" s="19" t="s">
        <v>90</v>
      </c>
      <c r="E1" s="19" t="s">
        <v>94</v>
      </c>
    </row>
    <row r="2" ht="22.5" customHeight="1">
      <c r="A2" s="22">
        <v>46052.0</v>
      </c>
      <c r="B2" s="23">
        <v>1.0</v>
      </c>
      <c r="C2" s="24" t="s">
        <v>115</v>
      </c>
      <c r="D2" s="25" t="str">
        <f>IFERROR(__xludf.DUMMYFUNCTION("AI(""Categoriza el sentimiento de los comentarios de los clientes como positivo, negativo o neutro. Pon en mayúscula la primera letra de la categorización."", C2)"),"Negativo")</f>
        <v>Negativo</v>
      </c>
      <c r="E2" s="25" t="str">
        <f>IFERROR(__xludf.DUMMYFUNCTION("AI(""Categoriza la consulta del cliente como error, sugerencia de actualziación, actualización necesaria, segun la categorización colocar la casilla o la letra en escala de colores . Pon en mayúscula la primera letra de la categorización."",C2)"),"Error")</f>
        <v>Error</v>
      </c>
    </row>
    <row r="3" ht="22.5" customHeight="1">
      <c r="A3" s="26"/>
      <c r="B3" s="23">
        <v>2.0</v>
      </c>
      <c r="C3" s="28" t="s">
        <v>175</v>
      </c>
      <c r="D3" s="25" t="str">
        <f>IFERROR(__xludf.DUMMYFUNCTION("AI(""Categoriza el sentimiento de los comentarios de los clientes como positivo, negativo o neutro. Pon en mayúscula la primera letra de la categorización."", C3)"),"Negativo")</f>
        <v>Negativo</v>
      </c>
      <c r="E3" s="25" t="str">
        <f>IFERROR(__xludf.DUMMYFUNCTION("AI(""Categoriza la consulta del cliente como error, sugerencia de actualziación, actualización necesaria, segun la categorización colocar la casilla o la letra en escala de colores . Pon en mayúscula la primera letra de la categorización."",C3)"),"Sugerencia de actualización")</f>
        <v>Sugerencia de actualización</v>
      </c>
    </row>
    <row r="4" ht="73.5" customHeight="1">
      <c r="A4" s="22">
        <v>46078.0</v>
      </c>
      <c r="B4" s="23">
        <v>3.0</v>
      </c>
      <c r="C4" s="28" t="s">
        <v>201</v>
      </c>
      <c r="D4" s="25" t="str">
        <f>IFERROR(__xludf.DUMMYFUNCTION("AI(""Categoriza el sentimiento de los comentarios de los clientes como positivo, negativo o neutro. Pon en mayúscula la primera letra de la categorización."", C4)"),"Negativo")</f>
        <v>Negativo</v>
      </c>
      <c r="E4" s="25" t="str">
        <f>IFERROR(__xludf.DUMMYFUNCTION("AI(""Categoriza la consulta del cliente como error, sugerencia de actualziación, actualización necesaria, segun la categorización colocar la casilla o la letra en escala de colores . Pon en mayúscula la primera letra de la categorización."",C4)"),"Error")</f>
        <v>Error</v>
      </c>
    </row>
    <row r="5" ht="22.5" customHeight="1">
      <c r="A5" s="22">
        <v>46090.0</v>
      </c>
      <c r="B5" s="29"/>
      <c r="C5" s="28" t="s">
        <v>226</v>
      </c>
      <c r="D5" s="25" t="str">
        <f>IFERROR(__xludf.DUMMYFUNCTION("AI(""Categoriza el sentimiento de los comentarios de los clientes como positivo, negativo o neutro. Pon en mayúscula la primera letra de la categorización."", C5)"),"Neutro")</f>
        <v>Neutro</v>
      </c>
      <c r="E5" s="25" t="str">
        <f>IFERROR(__xludf.DUMMYFUNCTION("AI(""Categoriza la consulta del cliente como error, sugerencia de actualziación, actualización necesaria, segun la categorización colocar la casilla o la letra en escala de colores . Pon en mayúscula la primera letra de la categorización."",C5)"),"Sugerencia de actualización")</f>
        <v>Sugerencia de actualización</v>
      </c>
    </row>
    <row r="6" ht="22.5" customHeight="1">
      <c r="A6" s="26"/>
      <c r="B6" s="29"/>
      <c r="C6" s="28" t="s">
        <v>247</v>
      </c>
      <c r="D6" s="25" t="str">
        <f>IFERROR(__xludf.DUMMYFUNCTION("AI(""Categoriza el sentimiento de los comentarios de los clientes como positivo, negativo o neutro. Pon en mayúscula la primera letra de la categorización."", C6)"),"El comentario de la celda C6 está vacío. Por favor, proporciona el comentario para que pueda categorizar el sentimiento.")</f>
        <v>El comentario de la celda C6 está vacío. Por favor, proporciona el comentario para que pueda categorizar el sentimiento.</v>
      </c>
      <c r="E6" s="25" t="str">
        <f>IFERROR(__xludf.DUMMYFUNCTION("AI(""Categoriza la consulta del cliente como error, sugerencia de actualziación, actualización necesaria, segun la categorización colocar la casilla o la letra en escala de colores . Pon en mayúscula la primera letra de la categorización."",C6)"),"Necesito la consulta del cliente para poder categorizarla como ""Error"", ""Sugerencia de actualziación"" o ""Actualización necesaria"".")</f>
        <v>Necesito la consulta del cliente para poder categorizarla como "Error", "Sugerencia de actualziación" o "Actualización necesaria".</v>
      </c>
    </row>
    <row r="7" ht="22.5" customHeight="1">
      <c r="A7" s="26"/>
      <c r="B7" s="29"/>
      <c r="C7" s="32"/>
      <c r="D7" s="25" t="str">
        <f>IFERROR(__xludf.DUMMYFUNCTION("AI(""Categoriza el sentimiento de los comentarios de los clientes como positivo, negativo o neutro. Pon en mayúscula la primera letra de la categorización."", C7)"),"La celda está vacía, no se puede categorizar el sentimiento.")</f>
        <v>La celda está vacía, no se puede categorizar el sentimiento.</v>
      </c>
      <c r="E7" s="25" t="str">
        <f>IFERROR(__xludf.DUMMYFUNCTION("AI(""Categoriza la consulta del cliente como error, sugerencia de actualziación, actualización necesaria, segun la categorización colocar la casilla o la letra en escala de colores . Pon en mayúscula la primera letra de la categorización."",C7)"),"Por favor, proporciona la consulta del cliente o el comentario para poder categorizarlo.")</f>
        <v>Por favor, proporciona la consulta del cliente o el comentario para poder categorizarlo.</v>
      </c>
    </row>
    <row r="8" ht="22.5" customHeight="1">
      <c r="A8" s="26"/>
      <c r="B8" s="29"/>
      <c r="C8" s="32"/>
      <c r="D8" s="25" t="str">
        <f>IFERROR(__xludf.DUMMYFUNCTION("AI(""Categoriza el sentimiento de los comentarios de los clientes como positivo, negativo o neutro. Pon en mayúscula la primera letra de la categorización."", C8)"),"El campo de comentarios está vacío. Por favor, proporciona el comentario que deseas categorizar.")</f>
        <v>El campo de comentarios está vacío. Por favor, proporciona el comentario que deseas categorizar.</v>
      </c>
      <c r="E8" s="25" t="str">
        <f>IFERROR(__xludf.DUMMYFUNCTION("AI(""Categoriza la consulta del cliente como error, sugerencia de actualziación, actualización necesaria, segun la categorización colocar la casilla o la letra en escala de colores . Pon en mayúscula la primera letra de la categorización."",C8)"),"Por favor, proporciona el comentario o la consulta del cliente para que pueda categorizarlo.")</f>
        <v>Por favor, proporciona el comentario o la consulta del cliente para que pueda categorizarlo.</v>
      </c>
    </row>
    <row r="9" ht="22.5" customHeight="1">
      <c r="A9" s="26"/>
      <c r="B9" s="29"/>
      <c r="C9" s="32"/>
      <c r="D9" s="25" t="str">
        <f>IFERROR(__xludf.DUMMYFUNCTION("AI(""Categoriza el sentimiento de los comentarios de los clientes como positivo, negativo o neutro. Pon en mayúscula la primera letra de la categorización."", C9)"),"La celda está vacía, no hay comentario para categorizar.")</f>
        <v>La celda está vacía, no hay comentario para categorizar.</v>
      </c>
      <c r="E9" s="25" t="str">
        <f>IFERROR(__xludf.DUMMYFUNCTION("AI(""Categoriza la consulta del cliente como error, sugerencia de actualziación, actualización necesaria, segun la categorización colocar la casilla o la letra en escala de colores . Pon en mayúscula la primera letra de la categorización."",C9)"),"Por favor, proporciona la consulta del cliente para que pueda categorizarla.")</f>
        <v>Por favor, proporciona la consulta del cliente para que pueda categorizarla.</v>
      </c>
    </row>
  </sheetData>
  <dataValidations>
    <dataValidation type="custom" allowBlank="1" showDropDown="1" sqref="A2:A9">
      <formula1>OR(NOT(ISERROR(DATEVALUE(A2))), AND(ISNUMBER(A2), LEFT(CELL("format", A2))="D"))</formula1>
    </dataValidation>
    <dataValidation type="custom" allowBlank="1" showDropDown="1" sqref="B2:B9">
      <formula1>AND(ISNUMBER(B2),(NOT(OR(NOT(ISERROR(DATEVALUE(B2))), AND(ISNUMBER(B2), LEFT(CELL("format", B2))="D")))))</formula1>
    </dataValidation>
    <dataValidation allowBlank="1" showDropDown="1" sqref="C2:C9"/>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0.38"/>
  </cols>
  <sheetData>
    <row r="1">
      <c r="A1" s="3" t="s">
        <v>2</v>
      </c>
      <c r="B1" s="3" t="s">
        <v>12</v>
      </c>
      <c r="C1" s="3" t="s">
        <v>16</v>
      </c>
    </row>
    <row r="2">
      <c r="A2" s="13" t="s">
        <v>31</v>
      </c>
      <c r="B2" s="14" t="s">
        <v>47</v>
      </c>
      <c r="C2" s="15" t="s">
        <v>53</v>
      </c>
    </row>
    <row r="3">
      <c r="A3" s="17"/>
      <c r="B3" s="18"/>
      <c r="C3" s="15" t="s">
        <v>78</v>
      </c>
    </row>
    <row r="4">
      <c r="A4" s="17"/>
      <c r="B4" s="18"/>
      <c r="C4" s="15" t="s">
        <v>83</v>
      </c>
    </row>
    <row r="5">
      <c r="A5" s="17"/>
      <c r="B5" s="18"/>
      <c r="C5" s="20" t="s">
        <v>87</v>
      </c>
    </row>
    <row r="6">
      <c r="A6" s="17"/>
      <c r="B6" s="18"/>
      <c r="C6" s="21" t="s">
        <v>93</v>
      </c>
    </row>
    <row r="7">
      <c r="A7" s="17"/>
      <c r="B7" s="18"/>
      <c r="C7" s="15" t="s">
        <v>98</v>
      </c>
    </row>
    <row r="8">
      <c r="A8" s="17"/>
      <c r="B8" s="18"/>
      <c r="C8" s="15" t="s">
        <v>101</v>
      </c>
    </row>
    <row r="9">
      <c r="A9" s="17"/>
      <c r="B9" s="18"/>
      <c r="C9" s="15" t="s">
        <v>105</v>
      </c>
    </row>
    <row r="10">
      <c r="A10" s="17"/>
      <c r="B10" s="18"/>
      <c r="C10" s="15" t="s">
        <v>110</v>
      </c>
    </row>
    <row r="11">
      <c r="A11" s="17"/>
      <c r="B11" s="18"/>
      <c r="C11" s="15" t="s">
        <v>113</v>
      </c>
    </row>
    <row r="12">
      <c r="A12" s="17"/>
      <c r="B12" s="18"/>
      <c r="C12" s="15" t="s">
        <v>118</v>
      </c>
    </row>
    <row r="13">
      <c r="A13" s="17"/>
      <c r="B13" s="18"/>
      <c r="C13" s="15" t="s">
        <v>121</v>
      </c>
    </row>
    <row r="14">
      <c r="A14" s="17"/>
      <c r="B14" s="18"/>
      <c r="C14" s="15" t="s">
        <v>125</v>
      </c>
    </row>
    <row r="15">
      <c r="A15" s="17"/>
      <c r="B15" s="18"/>
      <c r="C15" s="15" t="s">
        <v>128</v>
      </c>
    </row>
    <row r="16">
      <c r="A16" s="17"/>
      <c r="B16" s="18"/>
      <c r="C16" s="15" t="s">
        <v>133</v>
      </c>
    </row>
    <row r="17">
      <c r="A17" s="17"/>
      <c r="B17" s="18"/>
      <c r="C17" s="15" t="s">
        <v>136</v>
      </c>
    </row>
    <row r="18">
      <c r="A18" s="17"/>
      <c r="B18" s="18"/>
      <c r="C18" s="15" t="s">
        <v>141</v>
      </c>
    </row>
    <row r="19">
      <c r="A19" s="17"/>
      <c r="B19" s="18"/>
      <c r="C19" s="15" t="s">
        <v>145</v>
      </c>
    </row>
    <row r="20">
      <c r="A20" s="17"/>
      <c r="B20" s="18"/>
      <c r="C20" s="15" t="s">
        <v>149</v>
      </c>
    </row>
    <row r="21">
      <c r="A21" s="17"/>
      <c r="B21" s="18"/>
      <c r="C21" s="15" t="s">
        <v>153</v>
      </c>
    </row>
    <row r="22">
      <c r="A22" s="17"/>
      <c r="B22" s="18"/>
      <c r="C22" s="15" t="s">
        <v>156</v>
      </c>
    </row>
    <row r="23">
      <c r="A23" s="17"/>
      <c r="B23" s="18"/>
      <c r="C23" s="15" t="s">
        <v>161</v>
      </c>
    </row>
    <row r="24">
      <c r="A24" s="17"/>
      <c r="B24" s="18"/>
      <c r="C24" s="15" t="s">
        <v>164</v>
      </c>
    </row>
    <row r="25">
      <c r="A25" s="17"/>
      <c r="B25" s="18"/>
      <c r="C25" s="15" t="s">
        <v>169</v>
      </c>
    </row>
    <row r="26">
      <c r="A26" s="17"/>
      <c r="B26" s="27"/>
      <c r="C26" s="15" t="s">
        <v>180</v>
      </c>
    </row>
    <row r="27">
      <c r="A27" s="17"/>
      <c r="B27" s="14" t="s">
        <v>182</v>
      </c>
      <c r="C27" s="15" t="s">
        <v>53</v>
      </c>
    </row>
    <row r="28">
      <c r="A28" s="17"/>
      <c r="B28" s="18"/>
      <c r="C28" s="15" t="s">
        <v>78</v>
      </c>
    </row>
    <row r="29">
      <c r="A29" s="17"/>
      <c r="B29" s="18"/>
      <c r="C29" s="20" t="s">
        <v>83</v>
      </c>
    </row>
    <row r="30">
      <c r="A30" s="17"/>
      <c r="B30" s="18"/>
      <c r="C30" s="21" t="s">
        <v>93</v>
      </c>
    </row>
    <row r="31">
      <c r="A31" s="17"/>
      <c r="B31" s="18"/>
      <c r="C31" s="15" t="s">
        <v>199</v>
      </c>
    </row>
    <row r="32">
      <c r="A32" s="17"/>
      <c r="B32" s="18"/>
      <c r="C32" s="15" t="s">
        <v>98</v>
      </c>
    </row>
    <row r="33">
      <c r="A33" s="17"/>
      <c r="B33" s="18"/>
      <c r="C33" s="15" t="s">
        <v>207</v>
      </c>
    </row>
    <row r="34">
      <c r="A34" s="17"/>
      <c r="B34" s="18"/>
      <c r="C34" s="15" t="s">
        <v>105</v>
      </c>
    </row>
    <row r="35">
      <c r="A35" s="17"/>
      <c r="B35" s="18"/>
      <c r="C35" s="15" t="s">
        <v>214</v>
      </c>
    </row>
    <row r="36">
      <c r="A36" s="17"/>
      <c r="B36" s="18"/>
      <c r="C36" s="15" t="s">
        <v>110</v>
      </c>
    </row>
    <row r="37">
      <c r="A37" s="17"/>
      <c r="B37" s="18"/>
      <c r="C37" s="15" t="s">
        <v>113</v>
      </c>
    </row>
    <row r="38">
      <c r="A38" s="17"/>
      <c r="B38" s="18"/>
      <c r="C38" s="15" t="s">
        <v>118</v>
      </c>
    </row>
    <row r="39">
      <c r="A39" s="17"/>
      <c r="B39" s="18"/>
      <c r="C39" s="15" t="s">
        <v>125</v>
      </c>
    </row>
    <row r="40">
      <c r="A40" s="17"/>
      <c r="B40" s="18"/>
      <c r="C40" s="15" t="s">
        <v>128</v>
      </c>
    </row>
    <row r="41">
      <c r="A41" s="17"/>
      <c r="B41" s="18"/>
      <c r="C41" s="15" t="s">
        <v>237</v>
      </c>
    </row>
    <row r="42">
      <c r="A42" s="17"/>
      <c r="B42" s="18"/>
      <c r="C42" s="15" t="s">
        <v>133</v>
      </c>
    </row>
    <row r="43">
      <c r="A43" s="17"/>
      <c r="B43" s="18"/>
      <c r="C43" s="15" t="s">
        <v>136</v>
      </c>
    </row>
    <row r="44">
      <c r="A44" s="17"/>
      <c r="B44" s="18"/>
      <c r="C44" s="15" t="s">
        <v>244</v>
      </c>
    </row>
    <row r="45">
      <c r="A45" s="17"/>
      <c r="B45" s="18"/>
      <c r="C45" s="15" t="s">
        <v>250</v>
      </c>
    </row>
    <row r="46">
      <c r="A46" s="17"/>
      <c r="B46" s="18"/>
      <c r="C46" s="15" t="s">
        <v>254</v>
      </c>
    </row>
    <row r="47">
      <c r="A47" s="17"/>
      <c r="B47" s="18"/>
      <c r="C47" s="15" t="s">
        <v>149</v>
      </c>
    </row>
    <row r="48">
      <c r="A48" s="17"/>
      <c r="B48" s="18"/>
      <c r="C48" s="15" t="s">
        <v>153</v>
      </c>
    </row>
    <row r="49">
      <c r="A49" s="17"/>
      <c r="B49" s="18"/>
      <c r="C49" s="15" t="s">
        <v>161</v>
      </c>
    </row>
    <row r="50">
      <c r="A50" s="17"/>
      <c r="B50" s="18"/>
      <c r="C50" s="15" t="s">
        <v>164</v>
      </c>
    </row>
    <row r="51">
      <c r="A51" s="17"/>
      <c r="B51" s="18"/>
      <c r="C51" s="15" t="s">
        <v>169</v>
      </c>
    </row>
    <row r="52">
      <c r="A52" s="30"/>
      <c r="B52" s="27"/>
      <c r="C52" s="15" t="s">
        <v>273</v>
      </c>
    </row>
    <row r="53">
      <c r="A53" s="13" t="s">
        <v>185</v>
      </c>
      <c r="B53" s="13" t="s">
        <v>283</v>
      </c>
      <c r="C53" s="20" t="s">
        <v>284</v>
      </c>
    </row>
    <row r="54">
      <c r="A54" s="17"/>
      <c r="B54" s="17"/>
      <c r="C54" s="21" t="s">
        <v>93</v>
      </c>
    </row>
    <row r="55">
      <c r="A55" s="17"/>
      <c r="B55" s="17"/>
      <c r="C55" s="15" t="s">
        <v>101</v>
      </c>
    </row>
    <row r="56">
      <c r="A56" s="17"/>
      <c r="B56" s="17"/>
      <c r="C56" s="15" t="s">
        <v>105</v>
      </c>
    </row>
    <row r="57">
      <c r="A57" s="17"/>
      <c r="B57" s="17"/>
      <c r="C57" s="15" t="s">
        <v>110</v>
      </c>
    </row>
    <row r="58">
      <c r="A58" s="17"/>
      <c r="B58" s="17"/>
      <c r="C58" s="15" t="s">
        <v>287</v>
      </c>
    </row>
    <row r="59">
      <c r="A59" s="17"/>
      <c r="B59" s="17"/>
      <c r="C59" s="15" t="s">
        <v>118</v>
      </c>
    </row>
    <row r="60">
      <c r="A60" s="17"/>
      <c r="B60" s="17"/>
      <c r="C60" s="15" t="s">
        <v>288</v>
      </c>
    </row>
    <row r="61">
      <c r="A61" s="17"/>
      <c r="B61" s="17"/>
      <c r="C61" s="15" t="s">
        <v>128</v>
      </c>
    </row>
    <row r="62">
      <c r="A62" s="17"/>
      <c r="B62" s="17"/>
      <c r="C62" s="15" t="s">
        <v>237</v>
      </c>
    </row>
    <row r="63">
      <c r="A63" s="17"/>
      <c r="B63" s="17"/>
      <c r="C63" s="15" t="s">
        <v>136</v>
      </c>
    </row>
    <row r="64">
      <c r="A64" s="17"/>
      <c r="B64" s="17"/>
      <c r="C64" s="15" t="s">
        <v>290</v>
      </c>
    </row>
    <row r="65">
      <c r="A65" s="17"/>
      <c r="B65" s="17"/>
      <c r="C65" s="15" t="s">
        <v>291</v>
      </c>
    </row>
    <row r="66">
      <c r="A66" s="17"/>
      <c r="B66" s="17"/>
      <c r="C66" s="15" t="s">
        <v>292</v>
      </c>
    </row>
    <row r="67">
      <c r="A67" s="30"/>
      <c r="B67" s="30"/>
      <c r="C67" s="15" t="s">
        <v>293</v>
      </c>
    </row>
    <row r="68">
      <c r="A68" s="13" t="s">
        <v>294</v>
      </c>
      <c r="B68" s="33" t="s">
        <v>296</v>
      </c>
      <c r="C68" s="15" t="s">
        <v>93</v>
      </c>
    </row>
    <row r="69">
      <c r="A69" s="17"/>
      <c r="B69" s="18"/>
      <c r="C69" s="15" t="s">
        <v>101</v>
      </c>
    </row>
    <row r="70">
      <c r="A70" s="17"/>
      <c r="B70" s="18"/>
      <c r="C70" s="15" t="s">
        <v>105</v>
      </c>
    </row>
    <row r="71">
      <c r="A71" s="17"/>
      <c r="B71" s="18"/>
      <c r="C71" s="15" t="s">
        <v>110</v>
      </c>
    </row>
    <row r="72">
      <c r="A72" s="17"/>
      <c r="B72" s="18"/>
      <c r="C72" s="15" t="s">
        <v>297</v>
      </c>
    </row>
    <row r="73">
      <c r="A73" s="17"/>
      <c r="B73" s="18"/>
      <c r="C73" s="15" t="s">
        <v>288</v>
      </c>
    </row>
    <row r="74">
      <c r="A74" s="17"/>
      <c r="B74" s="18"/>
      <c r="C74" s="15" t="s">
        <v>128</v>
      </c>
    </row>
    <row r="75">
      <c r="A75" s="17"/>
      <c r="B75" s="18"/>
      <c r="C75" s="15" t="s">
        <v>237</v>
      </c>
    </row>
    <row r="76">
      <c r="A76" s="17"/>
      <c r="B76" s="18"/>
      <c r="C76" s="15" t="s">
        <v>299</v>
      </c>
    </row>
    <row r="77">
      <c r="A77" s="17"/>
      <c r="B77" s="18"/>
      <c r="C77" s="15" t="s">
        <v>300</v>
      </c>
    </row>
    <row r="78">
      <c r="A78" s="17"/>
      <c r="B78" s="18"/>
      <c r="C78" s="15" t="s">
        <v>302</v>
      </c>
    </row>
    <row r="79">
      <c r="A79" s="17"/>
      <c r="B79" s="18"/>
      <c r="C79" s="15" t="s">
        <v>304</v>
      </c>
    </row>
    <row r="80">
      <c r="A80" s="17"/>
      <c r="B80" s="18"/>
      <c r="C80" s="15" t="s">
        <v>306</v>
      </c>
    </row>
    <row r="81">
      <c r="A81" s="17"/>
      <c r="B81" s="18"/>
      <c r="C81" s="15" t="s">
        <v>309</v>
      </c>
    </row>
    <row r="82">
      <c r="A82" s="17"/>
      <c r="B82" s="18"/>
      <c r="C82" s="15" t="s">
        <v>136</v>
      </c>
    </row>
    <row r="83">
      <c r="A83" s="30"/>
      <c r="B83" s="27"/>
      <c r="C83" s="15" t="s">
        <v>293</v>
      </c>
    </row>
    <row r="84">
      <c r="A84" s="13" t="s">
        <v>315</v>
      </c>
      <c r="B84" s="13" t="s">
        <v>318</v>
      </c>
      <c r="C84" s="15" t="s">
        <v>53</v>
      </c>
    </row>
    <row r="85">
      <c r="A85" s="17"/>
      <c r="B85" s="17"/>
      <c r="C85" s="15" t="s">
        <v>328</v>
      </c>
    </row>
    <row r="86">
      <c r="A86" s="17"/>
      <c r="B86" s="17"/>
      <c r="C86" s="15" t="s">
        <v>333</v>
      </c>
    </row>
    <row r="87">
      <c r="A87" s="17"/>
      <c r="B87" s="17"/>
      <c r="C87" s="20" t="s">
        <v>335</v>
      </c>
    </row>
    <row r="88">
      <c r="A88" s="17"/>
      <c r="B88" s="17"/>
      <c r="C88" s="21" t="s">
        <v>93</v>
      </c>
    </row>
    <row r="89">
      <c r="A89" s="17"/>
      <c r="B89" s="17"/>
      <c r="C89" s="15" t="s">
        <v>199</v>
      </c>
    </row>
    <row r="90">
      <c r="A90" s="17"/>
      <c r="B90" s="17"/>
      <c r="C90" s="15" t="s">
        <v>98</v>
      </c>
    </row>
    <row r="91">
      <c r="A91" s="17"/>
      <c r="B91" s="17"/>
      <c r="C91" s="15" t="s">
        <v>101</v>
      </c>
    </row>
    <row r="92">
      <c r="A92" s="17"/>
      <c r="B92" s="17"/>
      <c r="C92" s="15" t="s">
        <v>105</v>
      </c>
    </row>
    <row r="93">
      <c r="A93" s="17"/>
      <c r="B93" s="17"/>
      <c r="C93" s="15" t="s">
        <v>214</v>
      </c>
    </row>
    <row r="94">
      <c r="A94" s="17"/>
      <c r="B94" s="17"/>
      <c r="C94" s="15" t="s">
        <v>110</v>
      </c>
    </row>
    <row r="95">
      <c r="A95" s="17"/>
      <c r="B95" s="17"/>
      <c r="C95" s="15" t="s">
        <v>347</v>
      </c>
    </row>
    <row r="96">
      <c r="A96" s="17"/>
      <c r="B96" s="17"/>
      <c r="C96" s="15" t="s">
        <v>350</v>
      </c>
    </row>
    <row r="97">
      <c r="A97" s="17"/>
      <c r="B97" s="17"/>
      <c r="C97" s="15" t="s">
        <v>353</v>
      </c>
    </row>
    <row r="98">
      <c r="A98" s="17"/>
      <c r="B98" s="17"/>
      <c r="C98" s="15" t="s">
        <v>355</v>
      </c>
    </row>
    <row r="99">
      <c r="A99" s="17"/>
      <c r="B99" s="17"/>
      <c r="C99" s="15" t="s">
        <v>357</v>
      </c>
    </row>
    <row r="100">
      <c r="A100" s="17"/>
      <c r="B100" s="17"/>
      <c r="C100" s="15" t="s">
        <v>359</v>
      </c>
    </row>
    <row r="101">
      <c r="A101" s="17"/>
      <c r="B101" s="17"/>
      <c r="C101" s="15" t="s">
        <v>361</v>
      </c>
    </row>
    <row r="102">
      <c r="A102" s="17"/>
      <c r="B102" s="17"/>
      <c r="C102" s="15" t="s">
        <v>128</v>
      </c>
    </row>
    <row r="103">
      <c r="A103" s="17"/>
      <c r="B103" s="17"/>
      <c r="C103" s="15" t="s">
        <v>128</v>
      </c>
    </row>
    <row r="104">
      <c r="A104" s="17"/>
      <c r="B104" s="17"/>
      <c r="C104" s="15" t="s">
        <v>136</v>
      </c>
    </row>
    <row r="105">
      <c r="A105" s="17"/>
      <c r="B105" s="17"/>
      <c r="C105" s="15" t="s">
        <v>364</v>
      </c>
    </row>
    <row r="106">
      <c r="A106" s="17"/>
      <c r="B106" s="17"/>
      <c r="C106" s="15" t="s">
        <v>365</v>
      </c>
    </row>
    <row r="107">
      <c r="A107" s="17"/>
      <c r="B107" s="17"/>
      <c r="C107" s="15" t="s">
        <v>367</v>
      </c>
    </row>
    <row r="108">
      <c r="A108" s="17"/>
      <c r="B108" s="17"/>
      <c r="C108" s="20" t="s">
        <v>369</v>
      </c>
    </row>
    <row r="109">
      <c r="A109" s="17"/>
      <c r="B109" s="17"/>
      <c r="C109" s="48" t="s">
        <v>370</v>
      </c>
    </row>
    <row r="110">
      <c r="A110" s="17"/>
      <c r="B110" s="17"/>
      <c r="C110" s="21" t="s">
        <v>374</v>
      </c>
    </row>
    <row r="111">
      <c r="A111" s="30"/>
      <c r="B111" s="30"/>
      <c r="C111" s="15" t="s">
        <v>377</v>
      </c>
    </row>
  </sheetData>
  <mergeCells count="9">
    <mergeCell ref="A84:A111"/>
    <mergeCell ref="B84:B111"/>
    <mergeCell ref="A2:A52"/>
    <mergeCell ref="B2:B26"/>
    <mergeCell ref="B27:B52"/>
    <mergeCell ref="A53:A67"/>
    <mergeCell ref="B53:B67"/>
    <mergeCell ref="A68:A83"/>
    <mergeCell ref="B68:B8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63"/>
    <col customWidth="1" min="3" max="3" width="19.38"/>
    <col customWidth="1" min="4" max="4" width="24.75"/>
    <col customWidth="1" min="5" max="5" width="13.25"/>
  </cols>
  <sheetData>
    <row r="1">
      <c r="A1" s="2" t="s">
        <v>1</v>
      </c>
      <c r="B1" s="2" t="s">
        <v>2</v>
      </c>
      <c r="C1" s="5" t="s">
        <v>8</v>
      </c>
      <c r="D1" s="5" t="s">
        <v>14</v>
      </c>
      <c r="E1" s="7" t="s">
        <v>15</v>
      </c>
      <c r="F1" s="8"/>
      <c r="G1" s="8"/>
      <c r="H1" s="8"/>
      <c r="I1" s="8"/>
      <c r="J1" s="8"/>
      <c r="K1" s="8"/>
      <c r="L1" s="8"/>
      <c r="M1" s="8"/>
      <c r="N1" s="8"/>
      <c r="O1" s="8"/>
      <c r="P1" s="8"/>
      <c r="Q1" s="8"/>
      <c r="R1" s="8"/>
      <c r="S1" s="8"/>
      <c r="T1" s="8"/>
      <c r="U1" s="8"/>
      <c r="V1" s="8"/>
      <c r="W1" s="8"/>
      <c r="X1" s="8"/>
      <c r="Y1" s="8"/>
      <c r="Z1" s="8"/>
    </row>
    <row r="2">
      <c r="A2" s="10" t="s">
        <v>9</v>
      </c>
      <c r="B2" s="10" t="s">
        <v>31</v>
      </c>
      <c r="C2" s="11" t="s">
        <v>35</v>
      </c>
      <c r="D2" s="11" t="s">
        <v>39</v>
      </c>
      <c r="E2" s="12" t="s">
        <v>41</v>
      </c>
      <c r="F2" s="8"/>
      <c r="G2" s="8"/>
      <c r="H2" s="8"/>
      <c r="I2" s="8"/>
      <c r="J2" s="8"/>
      <c r="K2" s="8"/>
      <c r="L2" s="8"/>
      <c r="M2" s="8"/>
      <c r="N2" s="8"/>
      <c r="O2" s="8"/>
      <c r="P2" s="8"/>
      <c r="Q2" s="8"/>
      <c r="R2" s="8"/>
      <c r="S2" s="8"/>
      <c r="T2" s="8"/>
      <c r="U2" s="8"/>
      <c r="V2" s="8"/>
      <c r="W2" s="8"/>
      <c r="X2" s="8"/>
      <c r="Y2" s="8"/>
      <c r="Z2" s="8"/>
    </row>
    <row r="3">
      <c r="A3" s="10" t="s">
        <v>9</v>
      </c>
      <c r="B3" s="10" t="s">
        <v>31</v>
      </c>
      <c r="C3" s="11" t="s">
        <v>35</v>
      </c>
      <c r="D3" s="11" t="s">
        <v>56</v>
      </c>
      <c r="E3" s="12" t="s">
        <v>41</v>
      </c>
      <c r="F3" s="8"/>
      <c r="G3" s="8"/>
      <c r="H3" s="8"/>
      <c r="I3" s="8"/>
      <c r="J3" s="8"/>
      <c r="K3" s="8"/>
      <c r="L3" s="8"/>
      <c r="M3" s="8"/>
      <c r="N3" s="8"/>
      <c r="O3" s="8"/>
      <c r="P3" s="8"/>
      <c r="Q3" s="8"/>
      <c r="R3" s="8"/>
      <c r="S3" s="8"/>
      <c r="T3" s="8"/>
      <c r="U3" s="8"/>
      <c r="V3" s="8"/>
      <c r="W3" s="8"/>
      <c r="X3" s="8"/>
      <c r="Y3" s="8"/>
      <c r="Z3" s="8"/>
    </row>
    <row r="4">
      <c r="A4" s="10" t="s">
        <v>18</v>
      </c>
      <c r="B4" s="10" t="s">
        <v>31</v>
      </c>
      <c r="C4" s="11" t="s">
        <v>35</v>
      </c>
      <c r="D4" s="11" t="s">
        <v>80</v>
      </c>
      <c r="E4" s="12" t="s">
        <v>41</v>
      </c>
      <c r="F4" s="8"/>
      <c r="G4" s="8"/>
      <c r="H4" s="8"/>
      <c r="I4" s="8"/>
      <c r="J4" s="8"/>
      <c r="K4" s="8"/>
      <c r="L4" s="8"/>
      <c r="M4" s="8"/>
      <c r="N4" s="8"/>
      <c r="O4" s="8"/>
      <c r="P4" s="8"/>
      <c r="Q4" s="8"/>
      <c r="R4" s="8"/>
      <c r="S4" s="8"/>
      <c r="T4" s="8"/>
      <c r="U4" s="8"/>
      <c r="V4" s="8"/>
      <c r="W4" s="8"/>
      <c r="X4" s="8"/>
      <c r="Y4" s="8"/>
      <c r="Z4" s="8"/>
    </row>
    <row r="5">
      <c r="A5" s="10" t="s">
        <v>18</v>
      </c>
      <c r="B5" s="10" t="s">
        <v>31</v>
      </c>
      <c r="C5" s="11" t="s">
        <v>35</v>
      </c>
      <c r="D5" s="11" t="s">
        <v>108</v>
      </c>
      <c r="E5" s="12" t="s">
        <v>41</v>
      </c>
      <c r="F5" s="8"/>
      <c r="G5" s="8"/>
      <c r="H5" s="8"/>
      <c r="I5" s="8"/>
      <c r="J5" s="8"/>
      <c r="K5" s="8"/>
      <c r="L5" s="8"/>
      <c r="M5" s="8"/>
      <c r="N5" s="8"/>
      <c r="O5" s="8"/>
      <c r="P5" s="8"/>
      <c r="Q5" s="8"/>
      <c r="R5" s="8"/>
      <c r="S5" s="8"/>
      <c r="T5" s="8"/>
      <c r="U5" s="8"/>
      <c r="V5" s="8"/>
      <c r="W5" s="8"/>
      <c r="X5" s="8"/>
      <c r="Y5" s="8"/>
      <c r="Z5" s="8"/>
    </row>
    <row r="6">
      <c r="A6" s="10" t="s">
        <v>18</v>
      </c>
      <c r="B6" s="10" t="s">
        <v>31</v>
      </c>
      <c r="C6" s="11" t="s">
        <v>35</v>
      </c>
      <c r="D6" s="11" t="s">
        <v>140</v>
      </c>
      <c r="E6" s="12" t="s">
        <v>41</v>
      </c>
      <c r="F6" s="8"/>
      <c r="G6" s="8"/>
      <c r="H6" s="8"/>
      <c r="I6" s="8"/>
      <c r="J6" s="8"/>
      <c r="K6" s="8"/>
      <c r="L6" s="8"/>
      <c r="M6" s="8"/>
      <c r="N6" s="8"/>
      <c r="O6" s="8"/>
      <c r="P6" s="8"/>
      <c r="Q6" s="8"/>
      <c r="R6" s="8"/>
      <c r="S6" s="8"/>
      <c r="T6" s="8"/>
      <c r="U6" s="8"/>
      <c r="V6" s="8"/>
      <c r="W6" s="8"/>
      <c r="X6" s="8"/>
      <c r="Y6" s="8"/>
      <c r="Z6" s="8"/>
    </row>
    <row r="7">
      <c r="A7" s="10" t="s">
        <v>18</v>
      </c>
      <c r="B7" s="10" t="s">
        <v>31</v>
      </c>
      <c r="C7" s="11" t="s">
        <v>35</v>
      </c>
      <c r="D7" s="11" t="s">
        <v>166</v>
      </c>
      <c r="E7" s="12" t="s">
        <v>41</v>
      </c>
      <c r="F7" s="8"/>
      <c r="G7" s="8"/>
      <c r="H7" s="8"/>
      <c r="I7" s="8"/>
      <c r="J7" s="8"/>
      <c r="K7" s="8"/>
      <c r="L7" s="8"/>
      <c r="M7" s="8"/>
      <c r="N7" s="8"/>
      <c r="O7" s="8"/>
      <c r="P7" s="8"/>
      <c r="Q7" s="8"/>
      <c r="R7" s="8"/>
      <c r="S7" s="8"/>
      <c r="T7" s="8"/>
      <c r="U7" s="8"/>
      <c r="V7" s="8"/>
      <c r="W7" s="8"/>
      <c r="X7" s="8"/>
      <c r="Y7" s="8"/>
      <c r="Z7" s="8"/>
    </row>
    <row r="8">
      <c r="A8" s="10" t="s">
        <v>18</v>
      </c>
      <c r="B8" s="10" t="s">
        <v>185</v>
      </c>
      <c r="C8" s="11" t="s">
        <v>186</v>
      </c>
      <c r="D8" s="11" t="s">
        <v>188</v>
      </c>
      <c r="E8" s="12" t="s">
        <v>41</v>
      </c>
      <c r="F8" s="8"/>
      <c r="G8" s="8"/>
      <c r="H8" s="8"/>
      <c r="I8" s="8"/>
      <c r="J8" s="8"/>
      <c r="K8" s="8"/>
      <c r="L8" s="8"/>
      <c r="M8" s="8"/>
      <c r="N8" s="8"/>
      <c r="O8" s="8"/>
      <c r="P8" s="8"/>
      <c r="Q8" s="8"/>
      <c r="R8" s="8"/>
      <c r="S8" s="8"/>
      <c r="T8" s="8"/>
      <c r="U8" s="8"/>
      <c r="V8" s="8"/>
      <c r="W8" s="8"/>
      <c r="X8" s="8"/>
      <c r="Y8" s="8"/>
      <c r="Z8" s="8"/>
    </row>
    <row r="9">
      <c r="A9" s="10" t="s">
        <v>18</v>
      </c>
      <c r="B9" s="10" t="s">
        <v>185</v>
      </c>
      <c r="C9" s="11" t="s">
        <v>186</v>
      </c>
      <c r="D9" s="11" t="s">
        <v>204</v>
      </c>
      <c r="E9" s="12" t="s">
        <v>41</v>
      </c>
      <c r="F9" s="8"/>
      <c r="G9" s="8"/>
      <c r="H9" s="8"/>
      <c r="I9" s="8"/>
      <c r="J9" s="8"/>
      <c r="K9" s="8"/>
      <c r="L9" s="8"/>
      <c r="M9" s="8"/>
      <c r="N9" s="8"/>
      <c r="O9" s="8"/>
      <c r="P9" s="8"/>
      <c r="Q9" s="8"/>
      <c r="R9" s="8"/>
      <c r="S9" s="8"/>
      <c r="T9" s="8"/>
      <c r="U9" s="8"/>
      <c r="V9" s="8"/>
      <c r="W9" s="8"/>
      <c r="X9" s="8"/>
      <c r="Y9" s="8"/>
      <c r="Z9" s="8"/>
    </row>
    <row r="10">
      <c r="A10" s="10" t="s">
        <v>18</v>
      </c>
      <c r="B10" s="10" t="s">
        <v>185</v>
      </c>
      <c r="C10" s="11" t="s">
        <v>186</v>
      </c>
      <c r="D10" s="11" t="s">
        <v>223</v>
      </c>
      <c r="E10" s="12" t="s">
        <v>41</v>
      </c>
      <c r="F10" s="8"/>
      <c r="G10" s="8"/>
      <c r="H10" s="8"/>
      <c r="I10" s="8"/>
      <c r="J10" s="8"/>
      <c r="K10" s="8"/>
      <c r="L10" s="8"/>
      <c r="M10" s="8"/>
      <c r="N10" s="8"/>
      <c r="O10" s="8"/>
      <c r="P10" s="8"/>
      <c r="Q10" s="8"/>
      <c r="R10" s="8"/>
      <c r="S10" s="8"/>
      <c r="T10" s="8"/>
      <c r="U10" s="8"/>
      <c r="V10" s="8"/>
      <c r="W10" s="8"/>
      <c r="X10" s="8"/>
      <c r="Y10" s="8"/>
      <c r="Z10" s="8"/>
    </row>
    <row r="11">
      <c r="A11" s="10" t="s">
        <v>18</v>
      </c>
      <c r="B11" s="10" t="s">
        <v>185</v>
      </c>
      <c r="C11" s="11" t="s">
        <v>186</v>
      </c>
      <c r="D11" s="11" t="s">
        <v>245</v>
      </c>
      <c r="E11" s="12" t="s">
        <v>41</v>
      </c>
      <c r="F11" s="8"/>
      <c r="G11" s="8"/>
      <c r="H11" s="8"/>
      <c r="I11" s="8"/>
      <c r="J11" s="8"/>
      <c r="K11" s="8"/>
      <c r="L11" s="8"/>
      <c r="M11" s="8"/>
      <c r="N11" s="8"/>
      <c r="O11" s="8"/>
      <c r="P11" s="8"/>
      <c r="Q11" s="8"/>
      <c r="R11" s="8"/>
      <c r="S11" s="8"/>
      <c r="T11" s="8"/>
      <c r="U11" s="8"/>
      <c r="V11" s="8"/>
      <c r="W11" s="8"/>
      <c r="X11" s="8"/>
      <c r="Y11" s="8"/>
      <c r="Z11" s="8"/>
    </row>
    <row r="12">
      <c r="A12" s="10" t="s">
        <v>18</v>
      </c>
      <c r="B12" s="10" t="s">
        <v>185</v>
      </c>
      <c r="C12" s="11" t="s">
        <v>267</v>
      </c>
      <c r="D12" s="11" t="s">
        <v>269</v>
      </c>
      <c r="E12" s="12" t="s">
        <v>41</v>
      </c>
      <c r="F12" s="8"/>
      <c r="G12" s="8"/>
      <c r="H12" s="8"/>
      <c r="I12" s="8"/>
      <c r="J12" s="8"/>
      <c r="K12" s="8"/>
      <c r="L12" s="8"/>
      <c r="M12" s="8"/>
      <c r="N12" s="8"/>
      <c r="O12" s="8"/>
      <c r="P12" s="8"/>
      <c r="Q12" s="8"/>
      <c r="R12" s="8"/>
      <c r="S12" s="8"/>
      <c r="T12" s="8"/>
      <c r="U12" s="8"/>
      <c r="V12" s="8"/>
      <c r="W12" s="8"/>
      <c r="X12" s="8"/>
      <c r="Y12" s="8"/>
      <c r="Z12" s="8"/>
    </row>
    <row r="13">
      <c r="A13" s="10" t="s">
        <v>18</v>
      </c>
      <c r="B13" s="10" t="s">
        <v>185</v>
      </c>
      <c r="C13" s="11" t="s">
        <v>280</v>
      </c>
      <c r="D13" s="11" t="s">
        <v>282</v>
      </c>
      <c r="E13" s="12" t="s">
        <v>41</v>
      </c>
      <c r="F13" s="8"/>
      <c r="G13" s="8"/>
      <c r="H13" s="8"/>
      <c r="I13" s="8"/>
      <c r="J13" s="8"/>
      <c r="K13" s="8"/>
      <c r="L13" s="8"/>
      <c r="M13" s="8"/>
      <c r="N13" s="8"/>
      <c r="O13" s="8"/>
      <c r="P13" s="8"/>
      <c r="Q13" s="8"/>
      <c r="R13" s="8"/>
      <c r="S13" s="8"/>
      <c r="T13" s="8"/>
      <c r="U13" s="8"/>
      <c r="V13" s="8"/>
      <c r="W13" s="8"/>
      <c r="X13" s="8"/>
      <c r="Y13" s="8"/>
      <c r="Z13" s="8"/>
    </row>
    <row r="14">
      <c r="A14" s="10" t="s">
        <v>18</v>
      </c>
      <c r="B14" s="10" t="s">
        <v>185</v>
      </c>
      <c r="C14" s="11" t="s">
        <v>285</v>
      </c>
      <c r="D14" s="11" t="s">
        <v>286</v>
      </c>
      <c r="E14" s="12" t="s">
        <v>41</v>
      </c>
      <c r="F14" s="8"/>
      <c r="G14" s="8"/>
      <c r="H14" s="8"/>
      <c r="I14" s="8"/>
      <c r="J14" s="8"/>
      <c r="K14" s="8"/>
      <c r="L14" s="8"/>
      <c r="M14" s="8"/>
      <c r="N14" s="8"/>
      <c r="O14" s="8"/>
      <c r="P14" s="8"/>
      <c r="Q14" s="8"/>
      <c r="R14" s="8"/>
      <c r="S14" s="8"/>
      <c r="T14" s="8"/>
      <c r="U14" s="8"/>
      <c r="V14" s="8"/>
      <c r="W14" s="8"/>
      <c r="X14" s="8"/>
      <c r="Y14" s="8"/>
      <c r="Z14" s="8"/>
    </row>
    <row r="15">
      <c r="A15" s="10" t="s">
        <v>18</v>
      </c>
      <c r="B15" s="10" t="s">
        <v>185</v>
      </c>
      <c r="C15" s="11" t="s">
        <v>285</v>
      </c>
      <c r="D15" s="11" t="s">
        <v>289</v>
      </c>
      <c r="E15" s="12" t="s">
        <v>41</v>
      </c>
      <c r="F15" s="8"/>
      <c r="G15" s="8"/>
      <c r="H15" s="8"/>
      <c r="I15" s="8"/>
      <c r="J15" s="8"/>
      <c r="K15" s="8"/>
      <c r="L15" s="8"/>
      <c r="M15" s="8"/>
      <c r="N15" s="8"/>
      <c r="O15" s="8"/>
      <c r="P15" s="8"/>
      <c r="Q15" s="8"/>
      <c r="R15" s="8"/>
      <c r="S15" s="8"/>
      <c r="T15" s="8"/>
      <c r="U15" s="8"/>
      <c r="V15" s="8"/>
      <c r="W15" s="8"/>
      <c r="X15" s="8"/>
      <c r="Y15" s="8"/>
      <c r="Z15" s="8"/>
    </row>
    <row r="16">
      <c r="A16" s="10" t="s">
        <v>18</v>
      </c>
      <c r="B16" s="10" t="s">
        <v>185</v>
      </c>
      <c r="C16" s="11" t="s">
        <v>285</v>
      </c>
      <c r="D16" s="11" t="s">
        <v>295</v>
      </c>
      <c r="E16" s="12" t="s">
        <v>41</v>
      </c>
      <c r="F16" s="8"/>
      <c r="G16" s="8"/>
      <c r="H16" s="8"/>
      <c r="I16" s="8"/>
      <c r="J16" s="8"/>
      <c r="K16" s="8"/>
      <c r="L16" s="8"/>
      <c r="M16" s="8"/>
      <c r="N16" s="8"/>
      <c r="O16" s="8"/>
      <c r="P16" s="8"/>
      <c r="Q16" s="8"/>
      <c r="R16" s="8"/>
      <c r="S16" s="8"/>
      <c r="T16" s="8"/>
      <c r="U16" s="8"/>
      <c r="V16" s="8"/>
      <c r="W16" s="8"/>
      <c r="X16" s="8"/>
      <c r="Y16" s="8"/>
      <c r="Z16" s="8"/>
    </row>
    <row r="17">
      <c r="A17" s="10" t="s">
        <v>18</v>
      </c>
      <c r="B17" s="10" t="s">
        <v>185</v>
      </c>
      <c r="C17" s="11" t="s">
        <v>285</v>
      </c>
      <c r="D17" s="11" t="s">
        <v>298</v>
      </c>
      <c r="E17" s="12" t="s">
        <v>41</v>
      </c>
      <c r="F17" s="8"/>
      <c r="G17" s="8"/>
      <c r="H17" s="8"/>
      <c r="I17" s="8"/>
      <c r="J17" s="8"/>
      <c r="K17" s="8"/>
      <c r="L17" s="8"/>
      <c r="M17" s="8"/>
      <c r="N17" s="8"/>
      <c r="O17" s="8"/>
      <c r="P17" s="8"/>
      <c r="Q17" s="8"/>
      <c r="R17" s="8"/>
      <c r="S17" s="8"/>
      <c r="T17" s="8"/>
      <c r="U17" s="8"/>
      <c r="V17" s="8"/>
      <c r="W17" s="8"/>
      <c r="X17" s="8"/>
      <c r="Y17" s="8"/>
      <c r="Z17" s="8"/>
    </row>
    <row r="18">
      <c r="A18" s="10" t="s">
        <v>18</v>
      </c>
      <c r="B18" s="10" t="s">
        <v>294</v>
      </c>
      <c r="C18" s="11">
        <v>6103.0</v>
      </c>
      <c r="D18" s="11">
        <v>9083.0</v>
      </c>
      <c r="E18" s="12" t="s">
        <v>41</v>
      </c>
      <c r="F18" s="8"/>
      <c r="G18" s="8"/>
      <c r="H18" s="8"/>
      <c r="I18" s="8"/>
      <c r="J18" s="8"/>
      <c r="K18" s="8"/>
      <c r="L18" s="8"/>
      <c r="M18" s="8"/>
      <c r="N18" s="8"/>
      <c r="O18" s="8"/>
      <c r="P18" s="8"/>
      <c r="Q18" s="8"/>
      <c r="R18" s="8"/>
      <c r="S18" s="8"/>
      <c r="T18" s="8"/>
      <c r="U18" s="8"/>
      <c r="V18" s="8"/>
      <c r="W18" s="8"/>
      <c r="X18" s="8"/>
      <c r="Y18" s="8"/>
      <c r="Z18" s="8"/>
    </row>
    <row r="19">
      <c r="A19" s="10" t="s">
        <v>18</v>
      </c>
      <c r="B19" s="10" t="s">
        <v>294</v>
      </c>
      <c r="C19" s="11">
        <v>7000.0</v>
      </c>
      <c r="D19" s="11">
        <v>9084.0</v>
      </c>
      <c r="E19" s="12" t="s">
        <v>41</v>
      </c>
      <c r="F19" s="8"/>
      <c r="G19" s="8"/>
      <c r="H19" s="8"/>
      <c r="I19" s="8"/>
      <c r="J19" s="8"/>
      <c r="K19" s="8"/>
      <c r="L19" s="8"/>
      <c r="M19" s="8"/>
      <c r="N19" s="8"/>
      <c r="O19" s="8"/>
      <c r="P19" s="8"/>
      <c r="Q19" s="8"/>
      <c r="R19" s="8"/>
      <c r="S19" s="8"/>
      <c r="T19" s="8"/>
      <c r="U19" s="8"/>
      <c r="V19" s="8"/>
      <c r="W19" s="8"/>
      <c r="X19" s="8"/>
      <c r="Y19" s="8"/>
      <c r="Z19" s="8"/>
    </row>
    <row r="20">
      <c r="A20" s="10" t="s">
        <v>23</v>
      </c>
      <c r="B20" s="10" t="s">
        <v>31</v>
      </c>
      <c r="C20" s="11" t="s">
        <v>324</v>
      </c>
      <c r="D20" s="11" t="s">
        <v>325</v>
      </c>
      <c r="E20" s="12" t="s">
        <v>41</v>
      </c>
      <c r="F20" s="8"/>
      <c r="G20" s="8"/>
      <c r="H20" s="8"/>
      <c r="I20" s="8"/>
      <c r="J20" s="8"/>
      <c r="K20" s="8"/>
      <c r="L20" s="8"/>
      <c r="M20" s="8"/>
      <c r="N20" s="8"/>
      <c r="O20" s="8"/>
      <c r="P20" s="8"/>
      <c r="Q20" s="8"/>
      <c r="R20" s="8"/>
      <c r="S20" s="8"/>
      <c r="T20" s="8"/>
      <c r="U20" s="8"/>
      <c r="V20" s="8"/>
      <c r="W20" s="8"/>
      <c r="X20" s="8"/>
      <c r="Y20" s="8"/>
      <c r="Z20" s="8"/>
    </row>
    <row r="21">
      <c r="A21" s="10" t="s">
        <v>23</v>
      </c>
      <c r="B21" s="10" t="s">
        <v>31</v>
      </c>
      <c r="C21" s="11" t="s">
        <v>324</v>
      </c>
      <c r="D21" s="11" t="s">
        <v>340</v>
      </c>
      <c r="E21" s="12" t="s">
        <v>41</v>
      </c>
      <c r="F21" s="8"/>
      <c r="G21" s="8"/>
      <c r="H21" s="8"/>
      <c r="I21" s="8"/>
      <c r="J21" s="8"/>
      <c r="K21" s="8"/>
      <c r="L21" s="8"/>
      <c r="M21" s="8"/>
      <c r="N21" s="8"/>
      <c r="O21" s="8"/>
      <c r="P21" s="8"/>
      <c r="Q21" s="8"/>
      <c r="R21" s="8"/>
      <c r="S21" s="8"/>
      <c r="T21" s="8"/>
      <c r="U21" s="8"/>
      <c r="V21" s="8"/>
      <c r="W21" s="8"/>
      <c r="X21" s="8"/>
      <c r="Y21" s="8"/>
      <c r="Z21" s="8"/>
    </row>
    <row r="22">
      <c r="A22" s="10" t="s">
        <v>23</v>
      </c>
      <c r="B22" s="10" t="s">
        <v>31</v>
      </c>
      <c r="C22" s="11" t="s">
        <v>324</v>
      </c>
      <c r="D22" s="11" t="s">
        <v>351</v>
      </c>
      <c r="E22" s="12" t="s">
        <v>41</v>
      </c>
      <c r="F22" s="8"/>
      <c r="G22" s="8"/>
      <c r="H22" s="8"/>
      <c r="I22" s="8"/>
      <c r="J22" s="8"/>
      <c r="K22" s="8"/>
      <c r="L22" s="8"/>
      <c r="M22" s="8"/>
      <c r="N22" s="8"/>
      <c r="O22" s="8"/>
      <c r="P22" s="8"/>
      <c r="Q22" s="8"/>
      <c r="R22" s="8"/>
      <c r="S22" s="8"/>
      <c r="T22" s="8"/>
      <c r="U22" s="8"/>
      <c r="V22" s="8"/>
      <c r="W22" s="8"/>
      <c r="X22" s="8"/>
      <c r="Y22" s="8"/>
      <c r="Z22" s="8"/>
    </row>
    <row r="23">
      <c r="A23" s="10" t="s">
        <v>23</v>
      </c>
      <c r="B23" s="10" t="s">
        <v>31</v>
      </c>
      <c r="C23" s="11" t="s">
        <v>324</v>
      </c>
      <c r="D23" s="11" t="s">
        <v>363</v>
      </c>
      <c r="E23" s="12" t="s">
        <v>41</v>
      </c>
      <c r="F23" s="8"/>
      <c r="G23" s="8"/>
      <c r="H23" s="8"/>
      <c r="I23" s="8"/>
      <c r="J23" s="8"/>
      <c r="K23" s="8"/>
      <c r="L23" s="8"/>
      <c r="M23" s="8"/>
      <c r="N23" s="8"/>
      <c r="O23" s="8"/>
      <c r="P23" s="8"/>
      <c r="Q23" s="8"/>
      <c r="R23" s="8"/>
      <c r="S23" s="8"/>
      <c r="T23" s="8"/>
      <c r="U23" s="8"/>
      <c r="V23" s="8"/>
      <c r="W23" s="8"/>
      <c r="X23" s="8"/>
      <c r="Y23" s="8"/>
      <c r="Z23" s="8"/>
    </row>
    <row r="24">
      <c r="A24" s="10" t="s">
        <v>23</v>
      </c>
      <c r="B24" s="10" t="s">
        <v>31</v>
      </c>
      <c r="C24" s="11" t="s">
        <v>324</v>
      </c>
      <c r="D24" s="11" t="s">
        <v>375</v>
      </c>
      <c r="E24" s="12" t="s">
        <v>41</v>
      </c>
      <c r="F24" s="8"/>
      <c r="G24" s="8"/>
      <c r="H24" s="8"/>
      <c r="I24" s="8"/>
      <c r="J24" s="8"/>
      <c r="K24" s="8"/>
      <c r="L24" s="8"/>
      <c r="M24" s="8"/>
      <c r="N24" s="8"/>
      <c r="O24" s="8"/>
      <c r="P24" s="8"/>
      <c r="Q24" s="8"/>
      <c r="R24" s="8"/>
      <c r="S24" s="8"/>
      <c r="T24" s="8"/>
      <c r="U24" s="8"/>
      <c r="V24" s="8"/>
      <c r="W24" s="8"/>
      <c r="X24" s="8"/>
      <c r="Y24" s="8"/>
      <c r="Z24" s="8"/>
    </row>
    <row r="25">
      <c r="A25" s="10" t="s">
        <v>23</v>
      </c>
      <c r="B25" s="10" t="s">
        <v>31</v>
      </c>
      <c r="C25" s="11" t="s">
        <v>324</v>
      </c>
      <c r="D25" s="11" t="s">
        <v>385</v>
      </c>
      <c r="E25" s="12" t="s">
        <v>41</v>
      </c>
      <c r="F25" s="8"/>
      <c r="G25" s="8"/>
      <c r="H25" s="8"/>
      <c r="I25" s="8"/>
      <c r="J25" s="8"/>
      <c r="K25" s="8"/>
      <c r="L25" s="8"/>
      <c r="M25" s="8"/>
      <c r="N25" s="8"/>
      <c r="O25" s="8"/>
      <c r="P25" s="8"/>
      <c r="Q25" s="8"/>
      <c r="R25" s="8"/>
      <c r="S25" s="8"/>
      <c r="T25" s="8"/>
      <c r="U25" s="8"/>
      <c r="V25" s="8"/>
      <c r="W25" s="8"/>
      <c r="X25" s="8"/>
      <c r="Y25" s="8"/>
      <c r="Z25" s="8"/>
    </row>
    <row r="26">
      <c r="A26" s="10" t="s">
        <v>23</v>
      </c>
      <c r="B26" s="10" t="s">
        <v>31</v>
      </c>
      <c r="C26" s="11" t="s">
        <v>324</v>
      </c>
      <c r="D26" s="11" t="s">
        <v>395</v>
      </c>
      <c r="E26" s="12" t="s">
        <v>41</v>
      </c>
      <c r="F26" s="8"/>
      <c r="G26" s="8"/>
      <c r="H26" s="8"/>
      <c r="I26" s="8"/>
      <c r="J26" s="8"/>
      <c r="K26" s="8"/>
      <c r="L26" s="8"/>
      <c r="M26" s="8"/>
      <c r="N26" s="8"/>
      <c r="O26" s="8"/>
      <c r="P26" s="8"/>
      <c r="Q26" s="8"/>
      <c r="R26" s="8"/>
      <c r="S26" s="8"/>
      <c r="T26" s="8"/>
      <c r="U26" s="8"/>
      <c r="V26" s="8"/>
      <c r="W26" s="8"/>
      <c r="X26" s="8"/>
      <c r="Y26" s="8"/>
      <c r="Z26" s="8"/>
    </row>
    <row r="27">
      <c r="A27" s="10" t="s">
        <v>23</v>
      </c>
      <c r="B27" s="10" t="s">
        <v>31</v>
      </c>
      <c r="C27" s="11" t="s">
        <v>324</v>
      </c>
      <c r="D27" s="11" t="s">
        <v>407</v>
      </c>
      <c r="E27" s="12" t="s">
        <v>41</v>
      </c>
      <c r="F27" s="8"/>
      <c r="G27" s="8"/>
      <c r="H27" s="8"/>
      <c r="I27" s="8"/>
      <c r="J27" s="8"/>
      <c r="K27" s="8"/>
      <c r="L27" s="8"/>
      <c r="M27" s="8"/>
      <c r="N27" s="8"/>
      <c r="O27" s="8"/>
      <c r="P27" s="8"/>
      <c r="Q27" s="8"/>
      <c r="R27" s="8"/>
      <c r="S27" s="8"/>
      <c r="T27" s="8"/>
      <c r="U27" s="8"/>
      <c r="V27" s="8"/>
      <c r="W27" s="8"/>
      <c r="X27" s="8"/>
      <c r="Y27" s="8"/>
      <c r="Z27" s="8"/>
    </row>
    <row r="28">
      <c r="A28" s="10" t="s">
        <v>23</v>
      </c>
      <c r="B28" s="10" t="s">
        <v>31</v>
      </c>
      <c r="C28" s="11" t="s">
        <v>35</v>
      </c>
      <c r="D28" s="11" t="s">
        <v>423</v>
      </c>
      <c r="E28" s="12" t="s">
        <v>41</v>
      </c>
      <c r="F28" s="8"/>
      <c r="G28" s="8"/>
      <c r="H28" s="8"/>
      <c r="I28" s="8"/>
      <c r="J28" s="8"/>
      <c r="K28" s="8"/>
      <c r="L28" s="8"/>
      <c r="M28" s="8"/>
      <c r="N28" s="8"/>
      <c r="O28" s="8"/>
      <c r="P28" s="8"/>
      <c r="Q28" s="8"/>
      <c r="R28" s="8"/>
      <c r="S28" s="8"/>
      <c r="T28" s="8"/>
      <c r="U28" s="8"/>
      <c r="V28" s="8"/>
      <c r="W28" s="8"/>
      <c r="X28" s="8"/>
      <c r="Y28" s="8"/>
      <c r="Z28" s="8"/>
    </row>
    <row r="29">
      <c r="A29" s="10" t="s">
        <v>23</v>
      </c>
      <c r="B29" s="10" t="s">
        <v>31</v>
      </c>
      <c r="C29" s="11" t="s">
        <v>324</v>
      </c>
      <c r="D29" s="11" t="s">
        <v>356</v>
      </c>
      <c r="E29" s="12" t="s">
        <v>41</v>
      </c>
      <c r="F29" s="8"/>
      <c r="G29" s="8"/>
      <c r="H29" s="8"/>
      <c r="I29" s="8"/>
      <c r="J29" s="8"/>
      <c r="K29" s="8"/>
      <c r="L29" s="8"/>
      <c r="M29" s="8"/>
      <c r="N29" s="8"/>
      <c r="O29" s="8"/>
      <c r="P29" s="8"/>
      <c r="Q29" s="8"/>
      <c r="R29" s="8"/>
      <c r="S29" s="8"/>
      <c r="T29" s="8"/>
      <c r="U29" s="8"/>
      <c r="V29" s="8"/>
      <c r="W29" s="8"/>
      <c r="X29" s="8"/>
      <c r="Y29" s="8"/>
      <c r="Z29" s="8"/>
    </row>
    <row r="30">
      <c r="A30" s="10" t="s">
        <v>23</v>
      </c>
      <c r="B30" s="10" t="s">
        <v>31</v>
      </c>
      <c r="C30" s="11" t="s">
        <v>324</v>
      </c>
      <c r="D30" s="11" t="s">
        <v>422</v>
      </c>
      <c r="E30" s="12" t="s">
        <v>41</v>
      </c>
      <c r="F30" s="8"/>
      <c r="G30" s="8"/>
      <c r="H30" s="8"/>
      <c r="I30" s="8"/>
      <c r="J30" s="8"/>
      <c r="K30" s="8"/>
      <c r="L30" s="8"/>
      <c r="M30" s="8"/>
      <c r="N30" s="8"/>
      <c r="O30" s="8"/>
      <c r="P30" s="8"/>
      <c r="Q30" s="8"/>
      <c r="R30" s="8"/>
      <c r="S30" s="8"/>
      <c r="T30" s="8"/>
      <c r="U30" s="8"/>
      <c r="V30" s="8"/>
      <c r="W30" s="8"/>
      <c r="X30" s="8"/>
      <c r="Y30" s="8"/>
      <c r="Z30" s="8"/>
    </row>
    <row r="31">
      <c r="A31" s="10" t="s">
        <v>23</v>
      </c>
      <c r="B31" s="10" t="s">
        <v>31</v>
      </c>
      <c r="C31" s="11" t="s">
        <v>324</v>
      </c>
      <c r="D31" s="11" t="s">
        <v>450</v>
      </c>
      <c r="E31" s="12" t="s">
        <v>41</v>
      </c>
      <c r="F31" s="8"/>
      <c r="G31" s="8"/>
      <c r="H31" s="8"/>
      <c r="I31" s="8"/>
      <c r="J31" s="8"/>
      <c r="K31" s="8"/>
      <c r="L31" s="8"/>
      <c r="M31" s="8"/>
      <c r="N31" s="8"/>
      <c r="O31" s="8"/>
      <c r="P31" s="8"/>
      <c r="Q31" s="8"/>
      <c r="R31" s="8"/>
      <c r="S31" s="8"/>
      <c r="T31" s="8"/>
      <c r="U31" s="8"/>
      <c r="V31" s="8"/>
      <c r="W31" s="8"/>
      <c r="X31" s="8"/>
      <c r="Y31" s="8"/>
      <c r="Z31" s="8"/>
    </row>
    <row r="32">
      <c r="A32" s="10" t="s">
        <v>23</v>
      </c>
      <c r="B32" s="10" t="s">
        <v>31</v>
      </c>
      <c r="C32" s="11" t="s">
        <v>324</v>
      </c>
      <c r="D32" s="11" t="s">
        <v>362</v>
      </c>
      <c r="E32" s="12" t="s">
        <v>41</v>
      </c>
      <c r="F32" s="8"/>
      <c r="G32" s="8"/>
      <c r="H32" s="8"/>
      <c r="I32" s="8"/>
      <c r="J32" s="8"/>
      <c r="K32" s="8"/>
      <c r="L32" s="8"/>
      <c r="M32" s="8"/>
      <c r="N32" s="8"/>
      <c r="O32" s="8"/>
      <c r="P32" s="8"/>
      <c r="Q32" s="8"/>
      <c r="R32" s="8"/>
      <c r="S32" s="8"/>
      <c r="T32" s="8"/>
      <c r="U32" s="8"/>
      <c r="V32" s="8"/>
      <c r="W32" s="8"/>
      <c r="X32" s="8"/>
      <c r="Y32" s="8"/>
      <c r="Z32" s="8"/>
    </row>
    <row r="33">
      <c r="A33" s="10" t="s">
        <v>23</v>
      </c>
      <c r="B33" s="10" t="s">
        <v>31</v>
      </c>
      <c r="C33" s="11" t="s">
        <v>324</v>
      </c>
      <c r="D33" s="11" t="s">
        <v>463</v>
      </c>
      <c r="E33" s="12" t="s">
        <v>41</v>
      </c>
      <c r="F33" s="8"/>
      <c r="G33" s="8"/>
      <c r="H33" s="8"/>
      <c r="I33" s="8"/>
      <c r="J33" s="8"/>
      <c r="K33" s="8"/>
      <c r="L33" s="8"/>
      <c r="M33" s="8"/>
      <c r="N33" s="8"/>
      <c r="O33" s="8"/>
      <c r="P33" s="8"/>
      <c r="Q33" s="8"/>
      <c r="R33" s="8"/>
      <c r="S33" s="8"/>
      <c r="T33" s="8"/>
      <c r="U33" s="8"/>
      <c r="V33" s="8"/>
      <c r="W33" s="8"/>
      <c r="X33" s="8"/>
      <c r="Y33" s="8"/>
      <c r="Z33" s="8"/>
    </row>
    <row r="34">
      <c r="A34" s="10" t="s">
        <v>23</v>
      </c>
      <c r="B34" s="10" t="s">
        <v>31</v>
      </c>
      <c r="C34" s="11" t="s">
        <v>324</v>
      </c>
      <c r="D34" s="11" t="s">
        <v>469</v>
      </c>
      <c r="E34" s="12" t="s">
        <v>41</v>
      </c>
      <c r="F34" s="8"/>
      <c r="G34" s="8"/>
      <c r="H34" s="8"/>
      <c r="I34" s="8"/>
      <c r="J34" s="8"/>
      <c r="K34" s="8"/>
      <c r="L34" s="8"/>
      <c r="M34" s="8"/>
      <c r="N34" s="8"/>
      <c r="O34" s="8"/>
      <c r="P34" s="8"/>
      <c r="Q34" s="8"/>
      <c r="R34" s="8"/>
      <c r="S34" s="8"/>
      <c r="T34" s="8"/>
      <c r="U34" s="8"/>
      <c r="V34" s="8"/>
      <c r="W34" s="8"/>
      <c r="X34" s="8"/>
      <c r="Y34" s="8"/>
      <c r="Z34" s="8"/>
    </row>
    <row r="35">
      <c r="A35" s="10" t="s">
        <v>23</v>
      </c>
      <c r="B35" s="10" t="s">
        <v>31</v>
      </c>
      <c r="C35" s="11" t="s">
        <v>324</v>
      </c>
      <c r="D35" s="11" t="s">
        <v>473</v>
      </c>
      <c r="E35" s="12" t="s">
        <v>41</v>
      </c>
      <c r="F35" s="8"/>
      <c r="G35" s="8"/>
      <c r="H35" s="8"/>
      <c r="I35" s="8"/>
      <c r="J35" s="8"/>
      <c r="K35" s="8"/>
      <c r="L35" s="8"/>
      <c r="M35" s="8"/>
      <c r="N35" s="8"/>
      <c r="O35" s="8"/>
      <c r="P35" s="8"/>
      <c r="Q35" s="8"/>
      <c r="R35" s="8"/>
      <c r="S35" s="8"/>
      <c r="T35" s="8"/>
      <c r="U35" s="8"/>
      <c r="V35" s="8"/>
      <c r="W35" s="8"/>
      <c r="X35" s="8"/>
      <c r="Y35" s="8"/>
      <c r="Z35" s="8"/>
    </row>
    <row r="36">
      <c r="A36" s="10" t="s">
        <v>23</v>
      </c>
      <c r="B36" s="10" t="s">
        <v>31</v>
      </c>
      <c r="C36" s="11" t="s">
        <v>324</v>
      </c>
      <c r="D36" s="11" t="s">
        <v>482</v>
      </c>
      <c r="E36" s="12" t="s">
        <v>41</v>
      </c>
      <c r="F36" s="8"/>
      <c r="G36" s="8"/>
      <c r="H36" s="8"/>
      <c r="I36" s="8"/>
      <c r="J36" s="8"/>
      <c r="K36" s="8"/>
      <c r="L36" s="8"/>
      <c r="M36" s="8"/>
      <c r="N36" s="8"/>
      <c r="O36" s="8"/>
      <c r="P36" s="8"/>
      <c r="Q36" s="8"/>
      <c r="R36" s="8"/>
      <c r="S36" s="8"/>
      <c r="T36" s="8"/>
      <c r="U36" s="8"/>
      <c r="V36" s="8"/>
      <c r="W36" s="8"/>
      <c r="X36" s="8"/>
      <c r="Y36" s="8"/>
      <c r="Z36" s="8"/>
    </row>
    <row r="37">
      <c r="A37" s="10" t="s">
        <v>23</v>
      </c>
      <c r="B37" s="10" t="s">
        <v>31</v>
      </c>
      <c r="C37" s="11" t="s">
        <v>324</v>
      </c>
      <c r="D37" s="11" t="s">
        <v>488</v>
      </c>
      <c r="E37" s="12" t="s">
        <v>41</v>
      </c>
      <c r="F37" s="8"/>
      <c r="G37" s="8"/>
      <c r="H37" s="8"/>
      <c r="I37" s="8"/>
      <c r="J37" s="8"/>
      <c r="K37" s="8"/>
      <c r="L37" s="8"/>
      <c r="M37" s="8"/>
      <c r="N37" s="8"/>
      <c r="O37" s="8"/>
      <c r="P37" s="8"/>
      <c r="Q37" s="8"/>
      <c r="R37" s="8"/>
      <c r="S37" s="8"/>
      <c r="T37" s="8"/>
      <c r="U37" s="8"/>
      <c r="V37" s="8"/>
      <c r="W37" s="8"/>
      <c r="X37" s="8"/>
      <c r="Y37" s="8"/>
      <c r="Z37" s="8"/>
    </row>
    <row r="38">
      <c r="A38" s="10" t="s">
        <v>23</v>
      </c>
      <c r="B38" s="10" t="s">
        <v>31</v>
      </c>
      <c r="C38" s="11" t="s">
        <v>324</v>
      </c>
      <c r="D38" s="11" t="s">
        <v>366</v>
      </c>
      <c r="E38" s="12" t="s">
        <v>41</v>
      </c>
      <c r="F38" s="8"/>
      <c r="G38" s="8"/>
      <c r="H38" s="8"/>
      <c r="I38" s="8"/>
      <c r="J38" s="8"/>
      <c r="K38" s="8"/>
      <c r="L38" s="8"/>
      <c r="M38" s="8"/>
      <c r="N38" s="8"/>
      <c r="O38" s="8"/>
      <c r="P38" s="8"/>
      <c r="Q38" s="8"/>
      <c r="R38" s="8"/>
      <c r="S38" s="8"/>
      <c r="T38" s="8"/>
      <c r="U38" s="8"/>
      <c r="V38" s="8"/>
      <c r="W38" s="8"/>
      <c r="X38" s="8"/>
      <c r="Y38" s="8"/>
      <c r="Z38" s="8"/>
    </row>
    <row r="39">
      <c r="A39" s="10" t="s">
        <v>23</v>
      </c>
      <c r="B39" s="10" t="s">
        <v>31</v>
      </c>
      <c r="C39" s="11" t="s">
        <v>324</v>
      </c>
      <c r="D39" s="11" t="s">
        <v>497</v>
      </c>
      <c r="E39" s="12" t="s">
        <v>41</v>
      </c>
      <c r="F39" s="8"/>
      <c r="G39" s="8"/>
      <c r="H39" s="8"/>
      <c r="I39" s="8"/>
      <c r="J39" s="8"/>
      <c r="K39" s="8"/>
      <c r="L39" s="8"/>
      <c r="M39" s="8"/>
      <c r="N39" s="8"/>
      <c r="O39" s="8"/>
      <c r="P39" s="8"/>
      <c r="Q39" s="8"/>
      <c r="R39" s="8"/>
      <c r="S39" s="8"/>
      <c r="T39" s="8"/>
      <c r="U39" s="8"/>
      <c r="V39" s="8"/>
      <c r="W39" s="8"/>
      <c r="X39" s="8"/>
      <c r="Y39" s="8"/>
      <c r="Z39" s="8"/>
    </row>
    <row r="40">
      <c r="A40" s="10" t="s">
        <v>23</v>
      </c>
      <c r="B40" s="10" t="s">
        <v>185</v>
      </c>
      <c r="C40" s="11" t="s">
        <v>502</v>
      </c>
      <c r="D40" s="11" t="s">
        <v>503</v>
      </c>
      <c r="E40" s="12" t="s">
        <v>41</v>
      </c>
      <c r="F40" s="8"/>
      <c r="G40" s="8"/>
      <c r="H40" s="8"/>
      <c r="I40" s="8"/>
      <c r="J40" s="8"/>
      <c r="K40" s="8"/>
      <c r="L40" s="8"/>
      <c r="M40" s="8"/>
      <c r="N40" s="8"/>
      <c r="O40" s="8"/>
      <c r="P40" s="8"/>
      <c r="Q40" s="8"/>
      <c r="R40" s="8"/>
      <c r="S40" s="8"/>
      <c r="T40" s="8"/>
      <c r="U40" s="8"/>
      <c r="V40" s="8"/>
      <c r="W40" s="8"/>
      <c r="X40" s="8"/>
      <c r="Y40" s="8"/>
      <c r="Z40" s="8"/>
    </row>
    <row r="41">
      <c r="A41" s="10" t="s">
        <v>28</v>
      </c>
      <c r="B41" s="10" t="s">
        <v>185</v>
      </c>
      <c r="C41" s="11" t="s">
        <v>511</v>
      </c>
      <c r="D41" s="11" t="s">
        <v>512</v>
      </c>
      <c r="E41" s="12" t="s">
        <v>41</v>
      </c>
      <c r="F41" s="8"/>
      <c r="G41" s="8"/>
      <c r="H41" s="8"/>
      <c r="I41" s="8"/>
      <c r="J41" s="8"/>
      <c r="K41" s="8"/>
      <c r="L41" s="8"/>
      <c r="M41" s="8"/>
      <c r="N41" s="8"/>
      <c r="O41" s="8"/>
      <c r="P41" s="8"/>
      <c r="Q41" s="8"/>
      <c r="R41" s="8"/>
      <c r="S41" s="8"/>
      <c r="T41" s="8"/>
      <c r="U41" s="8"/>
      <c r="V41" s="8"/>
      <c r="W41" s="8"/>
      <c r="X41" s="8"/>
      <c r="Y41" s="8"/>
      <c r="Z41" s="8"/>
    </row>
    <row r="42">
      <c r="A42" s="10" t="s">
        <v>28</v>
      </c>
      <c r="B42" s="10" t="s">
        <v>185</v>
      </c>
      <c r="C42" s="11" t="s">
        <v>511</v>
      </c>
      <c r="D42" s="11" t="s">
        <v>521</v>
      </c>
      <c r="E42" s="12" t="s">
        <v>41</v>
      </c>
      <c r="F42" s="8"/>
      <c r="G42" s="8"/>
      <c r="H42" s="8"/>
      <c r="I42" s="8"/>
      <c r="J42" s="8"/>
      <c r="K42" s="8"/>
      <c r="L42" s="8"/>
      <c r="M42" s="8"/>
      <c r="N42" s="8"/>
      <c r="O42" s="8"/>
      <c r="P42" s="8"/>
      <c r="Q42" s="8"/>
      <c r="R42" s="8"/>
      <c r="S42" s="8"/>
      <c r="T42" s="8"/>
      <c r="U42" s="8"/>
      <c r="V42" s="8"/>
      <c r="W42" s="8"/>
      <c r="X42" s="8"/>
      <c r="Y42" s="8"/>
      <c r="Z42" s="8"/>
    </row>
    <row r="43">
      <c r="A43" s="10" t="s">
        <v>28</v>
      </c>
      <c r="B43" s="10" t="s">
        <v>185</v>
      </c>
      <c r="C43" s="11" t="s">
        <v>511</v>
      </c>
      <c r="D43" s="11" t="s">
        <v>528</v>
      </c>
      <c r="E43" s="12" t="s">
        <v>41</v>
      </c>
      <c r="F43" s="8"/>
      <c r="G43" s="8"/>
      <c r="H43" s="8"/>
      <c r="I43" s="8"/>
      <c r="J43" s="8"/>
      <c r="K43" s="8"/>
      <c r="L43" s="8"/>
      <c r="M43" s="8"/>
      <c r="N43" s="8"/>
      <c r="O43" s="8"/>
      <c r="P43" s="8"/>
      <c r="Q43" s="8"/>
      <c r="R43" s="8"/>
      <c r="S43" s="8"/>
      <c r="T43" s="8"/>
      <c r="U43" s="8"/>
      <c r="V43" s="8"/>
      <c r="W43" s="8"/>
      <c r="X43" s="8"/>
      <c r="Y43" s="8"/>
      <c r="Z43" s="8"/>
    </row>
    <row r="44">
      <c r="A44" s="10" t="s">
        <v>36</v>
      </c>
      <c r="B44" s="10" t="s">
        <v>185</v>
      </c>
      <c r="C44" s="11" t="s">
        <v>280</v>
      </c>
      <c r="D44" s="11" t="s">
        <v>536</v>
      </c>
      <c r="E44" s="12" t="s">
        <v>41</v>
      </c>
      <c r="F44" s="8"/>
      <c r="G44" s="8"/>
      <c r="H44" s="8"/>
      <c r="I44" s="8"/>
      <c r="J44" s="8"/>
      <c r="K44" s="8"/>
      <c r="L44" s="8"/>
      <c r="M44" s="8"/>
      <c r="N44" s="8"/>
      <c r="O44" s="8"/>
      <c r="P44" s="8"/>
      <c r="Q44" s="8"/>
      <c r="R44" s="8"/>
      <c r="S44" s="8"/>
      <c r="T44" s="8"/>
      <c r="U44" s="8"/>
      <c r="V44" s="8"/>
      <c r="W44" s="8"/>
      <c r="X44" s="8"/>
      <c r="Y44" s="8"/>
      <c r="Z44" s="8"/>
    </row>
    <row r="45">
      <c r="A45" s="10" t="s">
        <v>36</v>
      </c>
      <c r="B45" s="10" t="s">
        <v>185</v>
      </c>
      <c r="C45" s="11" t="s">
        <v>186</v>
      </c>
      <c r="D45" s="11" t="s">
        <v>542</v>
      </c>
      <c r="E45" s="12" t="s">
        <v>41</v>
      </c>
      <c r="F45" s="8"/>
      <c r="G45" s="8"/>
      <c r="H45" s="8"/>
      <c r="I45" s="8"/>
      <c r="J45" s="8"/>
      <c r="K45" s="8"/>
      <c r="L45" s="8"/>
      <c r="M45" s="8"/>
      <c r="N45" s="8"/>
      <c r="O45" s="8"/>
      <c r="P45" s="8"/>
      <c r="Q45" s="8"/>
      <c r="R45" s="8"/>
      <c r="S45" s="8"/>
      <c r="T45" s="8"/>
      <c r="U45" s="8"/>
      <c r="V45" s="8"/>
      <c r="W45" s="8"/>
      <c r="X45" s="8"/>
      <c r="Y45" s="8"/>
      <c r="Z45" s="8"/>
    </row>
    <row r="46">
      <c r="A46" s="10" t="s">
        <v>36</v>
      </c>
      <c r="B46" s="10" t="s">
        <v>185</v>
      </c>
      <c r="C46" s="11" t="s">
        <v>186</v>
      </c>
      <c r="D46" s="11" t="s">
        <v>549</v>
      </c>
      <c r="E46" s="12" t="s">
        <v>41</v>
      </c>
      <c r="F46" s="8"/>
      <c r="G46" s="8"/>
      <c r="H46" s="8"/>
      <c r="I46" s="8"/>
      <c r="J46" s="8"/>
      <c r="K46" s="8"/>
      <c r="L46" s="8"/>
      <c r="M46" s="8"/>
      <c r="N46" s="8"/>
      <c r="O46" s="8"/>
      <c r="P46" s="8"/>
      <c r="Q46" s="8"/>
      <c r="R46" s="8"/>
      <c r="S46" s="8"/>
      <c r="T46" s="8"/>
      <c r="U46" s="8"/>
      <c r="V46" s="8"/>
      <c r="W46" s="8"/>
      <c r="X46" s="8"/>
      <c r="Y46" s="8"/>
      <c r="Z46" s="8"/>
    </row>
    <row r="47">
      <c r="A47" s="10" t="s">
        <v>36</v>
      </c>
      <c r="B47" s="10" t="s">
        <v>185</v>
      </c>
      <c r="C47" s="11" t="s">
        <v>186</v>
      </c>
      <c r="D47" s="11" t="s">
        <v>524</v>
      </c>
      <c r="E47" s="12" t="s">
        <v>41</v>
      </c>
      <c r="F47" s="8"/>
      <c r="G47" s="8"/>
      <c r="H47" s="8"/>
      <c r="I47" s="8"/>
      <c r="J47" s="8"/>
      <c r="K47" s="8"/>
      <c r="L47" s="8"/>
      <c r="M47" s="8"/>
      <c r="N47" s="8"/>
      <c r="O47" s="8"/>
      <c r="P47" s="8"/>
      <c r="Q47" s="8"/>
      <c r="R47" s="8"/>
      <c r="S47" s="8"/>
      <c r="T47" s="8"/>
      <c r="U47" s="8"/>
      <c r="V47" s="8"/>
      <c r="W47" s="8"/>
      <c r="X47" s="8"/>
      <c r="Y47" s="8"/>
      <c r="Z47" s="8"/>
    </row>
    <row r="48">
      <c r="A48" s="10" t="s">
        <v>36</v>
      </c>
      <c r="B48" s="10" t="s">
        <v>185</v>
      </c>
      <c r="C48" s="11" t="s">
        <v>267</v>
      </c>
      <c r="D48" s="11" t="s">
        <v>451</v>
      </c>
      <c r="E48" s="12" t="s">
        <v>41</v>
      </c>
      <c r="F48" s="8"/>
      <c r="G48" s="8"/>
      <c r="H48" s="8"/>
      <c r="I48" s="8"/>
      <c r="J48" s="8"/>
      <c r="K48" s="8"/>
      <c r="L48" s="8"/>
      <c r="M48" s="8"/>
      <c r="N48" s="8"/>
      <c r="O48" s="8"/>
      <c r="P48" s="8"/>
      <c r="Q48" s="8"/>
      <c r="R48" s="8"/>
      <c r="S48" s="8"/>
      <c r="T48" s="8"/>
      <c r="U48" s="8"/>
      <c r="V48" s="8"/>
      <c r="W48" s="8"/>
      <c r="X48" s="8"/>
      <c r="Y48" s="8"/>
      <c r="Z48" s="8"/>
    </row>
    <row r="49">
      <c r="A49" s="10" t="s">
        <v>36</v>
      </c>
      <c r="B49" s="10" t="s">
        <v>185</v>
      </c>
      <c r="C49" s="11" t="s">
        <v>186</v>
      </c>
      <c r="D49" s="11" t="s">
        <v>520</v>
      </c>
      <c r="E49" s="12" t="s">
        <v>41</v>
      </c>
      <c r="F49" s="8"/>
      <c r="G49" s="8"/>
      <c r="H49" s="8"/>
      <c r="I49" s="8"/>
      <c r="J49" s="8"/>
      <c r="K49" s="8"/>
      <c r="L49" s="8"/>
      <c r="M49" s="8"/>
      <c r="N49" s="8"/>
      <c r="O49" s="8"/>
      <c r="P49" s="8"/>
      <c r="Q49" s="8"/>
      <c r="R49" s="8"/>
      <c r="S49" s="8"/>
      <c r="T49" s="8"/>
      <c r="U49" s="8"/>
      <c r="V49" s="8"/>
      <c r="W49" s="8"/>
      <c r="X49" s="8"/>
      <c r="Y49" s="8"/>
      <c r="Z49" s="8"/>
    </row>
    <row r="50">
      <c r="A50" s="61" t="s">
        <v>43</v>
      </c>
      <c r="B50" s="10" t="s">
        <v>185</v>
      </c>
      <c r="C50" s="11" t="s">
        <v>267</v>
      </c>
      <c r="D50" s="11" t="s">
        <v>462</v>
      </c>
      <c r="E50" s="12" t="s">
        <v>41</v>
      </c>
      <c r="F50" s="8"/>
      <c r="G50" s="8"/>
      <c r="H50" s="8"/>
      <c r="I50" s="8"/>
      <c r="J50" s="8"/>
      <c r="K50" s="8"/>
      <c r="L50" s="8"/>
      <c r="M50" s="8"/>
      <c r="N50" s="8"/>
      <c r="O50" s="8"/>
      <c r="P50" s="8"/>
      <c r="Q50" s="8"/>
      <c r="R50" s="8"/>
      <c r="S50" s="8"/>
      <c r="T50" s="8"/>
      <c r="U50" s="8"/>
      <c r="V50" s="8"/>
      <c r="W50" s="8"/>
      <c r="X50" s="8"/>
      <c r="Y50" s="8"/>
      <c r="Z50" s="8"/>
    </row>
    <row r="51">
      <c r="A51" s="61" t="s">
        <v>43</v>
      </c>
      <c r="B51" s="10" t="s">
        <v>185</v>
      </c>
      <c r="C51" s="11" t="s">
        <v>267</v>
      </c>
      <c r="D51" s="11" t="s">
        <v>580</v>
      </c>
      <c r="E51" s="12" t="s">
        <v>41</v>
      </c>
      <c r="F51" s="8"/>
      <c r="G51" s="8"/>
      <c r="H51" s="8"/>
      <c r="I51" s="8"/>
      <c r="J51" s="8"/>
      <c r="K51" s="8"/>
      <c r="L51" s="8"/>
      <c r="M51" s="8"/>
      <c r="N51" s="8"/>
      <c r="O51" s="8"/>
      <c r="P51" s="8"/>
      <c r="Q51" s="8"/>
      <c r="R51" s="8"/>
      <c r="S51" s="8"/>
      <c r="T51" s="8"/>
      <c r="U51" s="8"/>
      <c r="V51" s="8"/>
      <c r="W51" s="8"/>
      <c r="X51" s="8"/>
      <c r="Y51" s="8"/>
      <c r="Z51" s="8"/>
    </row>
    <row r="52">
      <c r="A52" s="61" t="s">
        <v>43</v>
      </c>
      <c r="B52" s="10" t="s">
        <v>185</v>
      </c>
      <c r="C52" s="11" t="s">
        <v>267</v>
      </c>
      <c r="D52" s="11" t="s">
        <v>589</v>
      </c>
      <c r="E52" s="12" t="s">
        <v>41</v>
      </c>
      <c r="F52" s="8"/>
      <c r="G52" s="8"/>
      <c r="H52" s="8"/>
      <c r="I52" s="8"/>
      <c r="J52" s="8"/>
      <c r="K52" s="8"/>
      <c r="L52" s="8"/>
      <c r="M52" s="8"/>
      <c r="N52" s="8"/>
      <c r="O52" s="8"/>
      <c r="P52" s="8"/>
      <c r="Q52" s="8"/>
      <c r="R52" s="8"/>
      <c r="S52" s="8"/>
      <c r="T52" s="8"/>
      <c r="U52" s="8"/>
      <c r="V52" s="8"/>
      <c r="W52" s="8"/>
      <c r="X52" s="8"/>
      <c r="Y52" s="8"/>
      <c r="Z52" s="8"/>
    </row>
    <row r="53">
      <c r="A53" s="61" t="s">
        <v>43</v>
      </c>
      <c r="B53" s="10" t="s">
        <v>185</v>
      </c>
      <c r="C53" s="11" t="s">
        <v>267</v>
      </c>
      <c r="D53" s="11" t="s">
        <v>594</v>
      </c>
      <c r="E53" s="12" t="s">
        <v>41</v>
      </c>
      <c r="F53" s="8"/>
      <c r="G53" s="8"/>
      <c r="H53" s="8"/>
      <c r="I53" s="8"/>
      <c r="J53" s="8"/>
      <c r="K53" s="8"/>
      <c r="L53" s="8"/>
      <c r="M53" s="8"/>
      <c r="N53" s="8"/>
      <c r="O53" s="8"/>
      <c r="P53" s="8"/>
      <c r="Q53" s="8"/>
      <c r="R53" s="8"/>
      <c r="S53" s="8"/>
      <c r="T53" s="8"/>
      <c r="U53" s="8"/>
      <c r="V53" s="8"/>
      <c r="W53" s="8"/>
      <c r="X53" s="8"/>
      <c r="Y53" s="8"/>
      <c r="Z53" s="8"/>
    </row>
    <row r="54">
      <c r="A54" s="61" t="s">
        <v>43</v>
      </c>
      <c r="B54" s="10" t="s">
        <v>185</v>
      </c>
      <c r="C54" s="11" t="s">
        <v>267</v>
      </c>
      <c r="D54" s="11" t="s">
        <v>598</v>
      </c>
      <c r="E54" s="12" t="s">
        <v>41</v>
      </c>
      <c r="F54" s="8"/>
      <c r="G54" s="8"/>
      <c r="H54" s="8"/>
      <c r="I54" s="8"/>
      <c r="J54" s="8"/>
      <c r="K54" s="8"/>
      <c r="L54" s="8"/>
      <c r="M54" s="8"/>
      <c r="N54" s="8"/>
      <c r="O54" s="8"/>
      <c r="P54" s="8"/>
      <c r="Q54" s="8"/>
      <c r="R54" s="8"/>
      <c r="S54" s="8"/>
      <c r="T54" s="8"/>
      <c r="U54" s="8"/>
      <c r="V54" s="8"/>
      <c r="W54" s="8"/>
      <c r="X54" s="8"/>
      <c r="Y54" s="8"/>
      <c r="Z54" s="8"/>
    </row>
    <row r="55">
      <c r="A55" s="61" t="s">
        <v>43</v>
      </c>
      <c r="B55" s="10" t="s">
        <v>185</v>
      </c>
      <c r="C55" s="11" t="s">
        <v>267</v>
      </c>
      <c r="D55" s="11" t="s">
        <v>608</v>
      </c>
      <c r="E55" s="12" t="s">
        <v>41</v>
      </c>
      <c r="F55" s="8"/>
      <c r="G55" s="8"/>
      <c r="H55" s="8"/>
      <c r="I55" s="8"/>
      <c r="J55" s="8"/>
      <c r="K55" s="8"/>
      <c r="L55" s="8"/>
      <c r="M55" s="8"/>
      <c r="N55" s="8"/>
      <c r="O55" s="8"/>
      <c r="P55" s="8"/>
      <c r="Q55" s="8"/>
      <c r="R55" s="8"/>
      <c r="S55" s="8"/>
      <c r="T55" s="8"/>
      <c r="U55" s="8"/>
      <c r="V55" s="8"/>
      <c r="W55" s="8"/>
      <c r="X55" s="8"/>
      <c r="Y55" s="8"/>
      <c r="Z55" s="8"/>
    </row>
    <row r="56">
      <c r="A56" s="61" t="s">
        <v>43</v>
      </c>
      <c r="B56" s="10" t="s">
        <v>185</v>
      </c>
      <c r="C56" s="11" t="s">
        <v>267</v>
      </c>
      <c r="D56" s="11" t="s">
        <v>614</v>
      </c>
      <c r="E56" s="12" t="s">
        <v>41</v>
      </c>
      <c r="F56" s="8"/>
      <c r="G56" s="8"/>
      <c r="H56" s="8"/>
      <c r="I56" s="8"/>
      <c r="J56" s="8"/>
      <c r="K56" s="8"/>
      <c r="L56" s="8"/>
      <c r="M56" s="8"/>
      <c r="N56" s="8"/>
      <c r="O56" s="8"/>
      <c r="P56" s="8"/>
      <c r="Q56" s="8"/>
      <c r="R56" s="8"/>
      <c r="S56" s="8"/>
      <c r="T56" s="8"/>
      <c r="U56" s="8"/>
      <c r="V56" s="8"/>
      <c r="W56" s="8"/>
      <c r="X56" s="8"/>
      <c r="Y56" s="8"/>
      <c r="Z56" s="8"/>
    </row>
    <row r="57">
      <c r="A57" s="61" t="s">
        <v>43</v>
      </c>
      <c r="B57" s="10" t="s">
        <v>185</v>
      </c>
      <c r="C57" s="11" t="s">
        <v>267</v>
      </c>
      <c r="D57" s="11" t="s">
        <v>621</v>
      </c>
      <c r="E57" s="12" t="s">
        <v>41</v>
      </c>
      <c r="F57" s="8"/>
      <c r="G57" s="8"/>
      <c r="H57" s="8"/>
      <c r="I57" s="8"/>
      <c r="J57" s="8"/>
      <c r="K57" s="8"/>
      <c r="L57" s="8"/>
      <c r="M57" s="8"/>
      <c r="N57" s="8"/>
      <c r="O57" s="8"/>
      <c r="P57" s="8"/>
      <c r="Q57" s="8"/>
      <c r="R57" s="8"/>
      <c r="S57" s="8"/>
      <c r="T57" s="8"/>
      <c r="U57" s="8"/>
      <c r="V57" s="8"/>
      <c r="W57" s="8"/>
      <c r="X57" s="8"/>
      <c r="Y57" s="8"/>
      <c r="Z57" s="8"/>
    </row>
    <row r="58">
      <c r="A58" s="61" t="s">
        <v>43</v>
      </c>
      <c r="B58" s="10" t="s">
        <v>185</v>
      </c>
      <c r="C58" s="11" t="s">
        <v>267</v>
      </c>
      <c r="D58" s="11" t="s">
        <v>625</v>
      </c>
      <c r="E58" s="12" t="s">
        <v>41</v>
      </c>
      <c r="F58" s="8"/>
      <c r="G58" s="8"/>
      <c r="H58" s="8"/>
      <c r="I58" s="8"/>
      <c r="J58" s="8"/>
      <c r="K58" s="8"/>
      <c r="L58" s="8"/>
      <c r="M58" s="8"/>
      <c r="N58" s="8"/>
      <c r="O58" s="8"/>
      <c r="P58" s="8"/>
      <c r="Q58" s="8"/>
      <c r="R58" s="8"/>
      <c r="S58" s="8"/>
      <c r="T58" s="8"/>
      <c r="U58" s="8"/>
      <c r="V58" s="8"/>
      <c r="W58" s="8"/>
      <c r="X58" s="8"/>
      <c r="Y58" s="8"/>
      <c r="Z58" s="8"/>
    </row>
    <row r="59">
      <c r="A59" s="61" t="s">
        <v>43</v>
      </c>
      <c r="B59" s="10" t="s">
        <v>185</v>
      </c>
      <c r="C59" s="11" t="s">
        <v>267</v>
      </c>
      <c r="D59" s="11" t="s">
        <v>630</v>
      </c>
      <c r="E59" s="12" t="s">
        <v>41</v>
      </c>
      <c r="F59" s="8"/>
      <c r="G59" s="8"/>
      <c r="H59" s="8"/>
      <c r="I59" s="8"/>
      <c r="J59" s="8"/>
      <c r="K59" s="8"/>
      <c r="L59" s="8"/>
      <c r="M59" s="8"/>
      <c r="N59" s="8"/>
      <c r="O59" s="8"/>
      <c r="P59" s="8"/>
      <c r="Q59" s="8"/>
      <c r="R59" s="8"/>
      <c r="S59" s="8"/>
      <c r="T59" s="8"/>
      <c r="U59" s="8"/>
      <c r="V59" s="8"/>
      <c r="W59" s="8"/>
      <c r="X59" s="8"/>
      <c r="Y59" s="8"/>
      <c r="Z59" s="8"/>
    </row>
    <row r="60">
      <c r="A60" s="61" t="s">
        <v>43</v>
      </c>
      <c r="B60" s="10" t="s">
        <v>185</v>
      </c>
      <c r="C60" s="11" t="s">
        <v>186</v>
      </c>
      <c r="D60" s="11" t="s">
        <v>635</v>
      </c>
      <c r="E60" s="12" t="s">
        <v>41</v>
      </c>
      <c r="F60" s="8"/>
      <c r="G60" s="8"/>
      <c r="H60" s="8"/>
      <c r="I60" s="8"/>
      <c r="J60" s="8"/>
      <c r="K60" s="8"/>
      <c r="L60" s="8"/>
      <c r="M60" s="8"/>
      <c r="N60" s="8"/>
      <c r="O60" s="8"/>
      <c r="P60" s="8"/>
      <c r="Q60" s="8"/>
      <c r="R60" s="8"/>
      <c r="S60" s="8"/>
      <c r="T60" s="8"/>
      <c r="U60" s="8"/>
      <c r="V60" s="8"/>
      <c r="W60" s="8"/>
      <c r="X60" s="8"/>
      <c r="Y60" s="8"/>
      <c r="Z60" s="8"/>
    </row>
    <row r="61">
      <c r="A61" s="61" t="s">
        <v>43</v>
      </c>
      <c r="B61" s="10" t="s">
        <v>185</v>
      </c>
      <c r="C61" s="11" t="s">
        <v>186</v>
      </c>
      <c r="D61" s="11" t="s">
        <v>640</v>
      </c>
      <c r="E61" s="12" t="s">
        <v>41</v>
      </c>
      <c r="F61" s="8"/>
      <c r="G61" s="8"/>
      <c r="H61" s="8"/>
      <c r="I61" s="8"/>
      <c r="J61" s="8"/>
      <c r="K61" s="8"/>
      <c r="L61" s="8"/>
      <c r="M61" s="8"/>
      <c r="N61" s="8"/>
      <c r="O61" s="8"/>
      <c r="P61" s="8"/>
      <c r="Q61" s="8"/>
      <c r="R61" s="8"/>
      <c r="S61" s="8"/>
      <c r="T61" s="8"/>
      <c r="U61" s="8"/>
      <c r="V61" s="8"/>
      <c r="W61" s="8"/>
      <c r="X61" s="8"/>
      <c r="Y61" s="8"/>
      <c r="Z61" s="8"/>
    </row>
    <row r="62">
      <c r="A62" s="61" t="s">
        <v>43</v>
      </c>
      <c r="B62" s="10" t="s">
        <v>185</v>
      </c>
      <c r="C62" s="11" t="s">
        <v>186</v>
      </c>
      <c r="D62" s="11" t="s">
        <v>645</v>
      </c>
      <c r="E62" s="12" t="s">
        <v>41</v>
      </c>
      <c r="F62" s="8"/>
      <c r="G62" s="8"/>
      <c r="H62" s="8"/>
      <c r="I62" s="8"/>
      <c r="J62" s="8"/>
      <c r="K62" s="8"/>
      <c r="L62" s="8"/>
      <c r="M62" s="8"/>
      <c r="N62" s="8"/>
      <c r="O62" s="8"/>
      <c r="P62" s="8"/>
      <c r="Q62" s="8"/>
      <c r="R62" s="8"/>
      <c r="S62" s="8"/>
      <c r="T62" s="8"/>
      <c r="U62" s="8"/>
      <c r="V62" s="8"/>
      <c r="W62" s="8"/>
      <c r="X62" s="8"/>
      <c r="Y62" s="8"/>
      <c r="Z62" s="8"/>
    </row>
    <row r="63">
      <c r="A63" s="61" t="s">
        <v>43</v>
      </c>
      <c r="B63" s="10" t="s">
        <v>185</v>
      </c>
      <c r="C63" s="11" t="s">
        <v>186</v>
      </c>
      <c r="D63" s="11" t="s">
        <v>649</v>
      </c>
      <c r="E63" s="12" t="s">
        <v>41</v>
      </c>
      <c r="F63" s="8"/>
      <c r="G63" s="8"/>
      <c r="H63" s="8"/>
      <c r="I63" s="8"/>
      <c r="J63" s="8"/>
      <c r="K63" s="8"/>
      <c r="L63" s="8"/>
      <c r="M63" s="8"/>
      <c r="N63" s="8"/>
      <c r="O63" s="8"/>
      <c r="P63" s="8"/>
      <c r="Q63" s="8"/>
      <c r="R63" s="8"/>
      <c r="S63" s="8"/>
      <c r="T63" s="8"/>
      <c r="U63" s="8"/>
      <c r="V63" s="8"/>
      <c r="W63" s="8"/>
      <c r="X63" s="8"/>
      <c r="Y63" s="8"/>
      <c r="Z63" s="8"/>
    </row>
    <row r="64">
      <c r="A64" s="61" t="s">
        <v>43</v>
      </c>
      <c r="B64" s="10" t="s">
        <v>185</v>
      </c>
      <c r="C64" s="11" t="s">
        <v>186</v>
      </c>
      <c r="D64" s="11" t="s">
        <v>644</v>
      </c>
      <c r="E64" s="12" t="s">
        <v>41</v>
      </c>
      <c r="F64" s="8"/>
      <c r="G64" s="8"/>
      <c r="H64" s="8"/>
      <c r="I64" s="8"/>
      <c r="J64" s="8"/>
      <c r="K64" s="8"/>
      <c r="L64" s="8"/>
      <c r="M64" s="8"/>
      <c r="N64" s="8"/>
      <c r="O64" s="8"/>
      <c r="P64" s="8"/>
      <c r="Q64" s="8"/>
      <c r="R64" s="8"/>
      <c r="S64" s="8"/>
      <c r="T64" s="8"/>
      <c r="U64" s="8"/>
      <c r="V64" s="8"/>
      <c r="W64" s="8"/>
      <c r="X64" s="8"/>
      <c r="Y64" s="8"/>
      <c r="Z64" s="8"/>
    </row>
    <row r="65">
      <c r="A65" s="61" t="s">
        <v>43</v>
      </c>
      <c r="B65" s="10" t="s">
        <v>185</v>
      </c>
      <c r="C65" s="11" t="s">
        <v>186</v>
      </c>
      <c r="D65" s="11" t="s">
        <v>664</v>
      </c>
      <c r="E65" s="12" t="s">
        <v>41</v>
      </c>
      <c r="F65" s="8"/>
      <c r="G65" s="8"/>
      <c r="H65" s="8"/>
      <c r="I65" s="8"/>
      <c r="J65" s="8"/>
      <c r="K65" s="8"/>
      <c r="L65" s="8"/>
      <c r="M65" s="8"/>
      <c r="N65" s="8"/>
      <c r="O65" s="8"/>
      <c r="P65" s="8"/>
      <c r="Q65" s="8"/>
      <c r="R65" s="8"/>
      <c r="S65" s="8"/>
      <c r="T65" s="8"/>
      <c r="U65" s="8"/>
      <c r="V65" s="8"/>
      <c r="W65" s="8"/>
      <c r="X65" s="8"/>
      <c r="Y65" s="8"/>
      <c r="Z65" s="8"/>
    </row>
    <row r="66">
      <c r="A66" s="61" t="s">
        <v>43</v>
      </c>
      <c r="B66" s="10" t="s">
        <v>185</v>
      </c>
      <c r="C66" s="11" t="s">
        <v>186</v>
      </c>
      <c r="D66" s="11" t="s">
        <v>670</v>
      </c>
      <c r="E66" s="12" t="s">
        <v>41</v>
      </c>
      <c r="F66" s="8"/>
      <c r="G66" s="8"/>
      <c r="H66" s="8"/>
      <c r="I66" s="8"/>
      <c r="J66" s="8"/>
      <c r="K66" s="8"/>
      <c r="L66" s="8"/>
      <c r="M66" s="8"/>
      <c r="N66" s="8"/>
      <c r="O66" s="8"/>
      <c r="P66" s="8"/>
      <c r="Q66" s="8"/>
      <c r="R66" s="8"/>
      <c r="S66" s="8"/>
      <c r="T66" s="8"/>
      <c r="U66" s="8"/>
      <c r="V66" s="8"/>
      <c r="W66" s="8"/>
      <c r="X66" s="8"/>
      <c r="Y66" s="8"/>
      <c r="Z66" s="8"/>
    </row>
    <row r="67">
      <c r="A67" s="61" t="s">
        <v>43</v>
      </c>
      <c r="B67" s="10" t="s">
        <v>185</v>
      </c>
      <c r="C67" s="11" t="s">
        <v>186</v>
      </c>
      <c r="D67" s="11" t="s">
        <v>674</v>
      </c>
      <c r="E67" s="12" t="s">
        <v>41</v>
      </c>
      <c r="F67" s="8"/>
      <c r="G67" s="8"/>
      <c r="H67" s="8"/>
      <c r="I67" s="8"/>
      <c r="J67" s="8"/>
      <c r="K67" s="8"/>
      <c r="L67" s="8"/>
      <c r="M67" s="8"/>
      <c r="N67" s="8"/>
      <c r="O67" s="8"/>
      <c r="P67" s="8"/>
      <c r="Q67" s="8"/>
      <c r="R67" s="8"/>
      <c r="S67" s="8"/>
      <c r="T67" s="8"/>
      <c r="U67" s="8"/>
      <c r="V67" s="8"/>
      <c r="W67" s="8"/>
      <c r="X67" s="8"/>
      <c r="Y67" s="8"/>
      <c r="Z67" s="8"/>
    </row>
    <row r="68">
      <c r="A68" s="61" t="s">
        <v>43</v>
      </c>
      <c r="B68" s="10" t="s">
        <v>185</v>
      </c>
      <c r="C68" s="11" t="s">
        <v>186</v>
      </c>
      <c r="D68" s="11" t="s">
        <v>683</v>
      </c>
      <c r="E68" s="12" t="s">
        <v>41</v>
      </c>
      <c r="F68" s="8"/>
      <c r="G68" s="8"/>
      <c r="H68" s="8"/>
      <c r="I68" s="8"/>
      <c r="J68" s="8"/>
      <c r="K68" s="8"/>
      <c r="L68" s="8"/>
      <c r="M68" s="8"/>
      <c r="N68" s="8"/>
      <c r="O68" s="8"/>
      <c r="P68" s="8"/>
      <c r="Q68" s="8"/>
      <c r="R68" s="8"/>
      <c r="S68" s="8"/>
      <c r="T68" s="8"/>
      <c r="U68" s="8"/>
      <c r="V68" s="8"/>
      <c r="W68" s="8"/>
      <c r="X68" s="8"/>
      <c r="Y68" s="8"/>
      <c r="Z68" s="8"/>
    </row>
    <row r="69">
      <c r="A69" s="61" t="s">
        <v>43</v>
      </c>
      <c r="B69" s="10" t="s">
        <v>185</v>
      </c>
      <c r="C69" s="11" t="s">
        <v>186</v>
      </c>
      <c r="D69" s="11" t="s">
        <v>627</v>
      </c>
      <c r="E69" s="12" t="s">
        <v>41</v>
      </c>
      <c r="F69" s="8"/>
      <c r="G69" s="8"/>
      <c r="H69" s="8"/>
      <c r="I69" s="8"/>
      <c r="J69" s="8"/>
      <c r="K69" s="8"/>
      <c r="L69" s="8"/>
      <c r="M69" s="8"/>
      <c r="N69" s="8"/>
      <c r="O69" s="8"/>
      <c r="P69" s="8"/>
      <c r="Q69" s="8"/>
      <c r="R69" s="8"/>
      <c r="S69" s="8"/>
      <c r="T69" s="8"/>
      <c r="U69" s="8"/>
      <c r="V69" s="8"/>
      <c r="W69" s="8"/>
      <c r="X69" s="8"/>
      <c r="Y69" s="8"/>
      <c r="Z69" s="8"/>
    </row>
    <row r="70">
      <c r="A70" s="61" t="s">
        <v>43</v>
      </c>
      <c r="B70" s="10" t="s">
        <v>185</v>
      </c>
      <c r="C70" s="11" t="s">
        <v>186</v>
      </c>
      <c r="D70" s="11" t="s">
        <v>696</v>
      </c>
      <c r="E70" s="12" t="s">
        <v>41</v>
      </c>
      <c r="F70" s="8"/>
      <c r="G70" s="8"/>
      <c r="H70" s="8"/>
      <c r="I70" s="8"/>
      <c r="J70" s="8"/>
      <c r="K70" s="8"/>
      <c r="L70" s="8"/>
      <c r="M70" s="8"/>
      <c r="N70" s="8"/>
      <c r="O70" s="8"/>
      <c r="P70" s="8"/>
      <c r="Q70" s="8"/>
      <c r="R70" s="8"/>
      <c r="S70" s="8"/>
      <c r="T70" s="8"/>
      <c r="U70" s="8"/>
      <c r="V70" s="8"/>
      <c r="W70" s="8"/>
      <c r="X70" s="8"/>
      <c r="Y70" s="8"/>
      <c r="Z70" s="8"/>
    </row>
    <row r="71">
      <c r="A71" s="61" t="s">
        <v>43</v>
      </c>
      <c r="B71" s="10" t="s">
        <v>185</v>
      </c>
      <c r="C71" s="11" t="s">
        <v>285</v>
      </c>
      <c r="D71" s="11" t="s">
        <v>675</v>
      </c>
      <c r="E71" s="12" t="s">
        <v>41</v>
      </c>
      <c r="F71" s="8"/>
      <c r="G71" s="8"/>
      <c r="H71" s="8"/>
      <c r="I71" s="8"/>
      <c r="J71" s="8"/>
      <c r="K71" s="8"/>
      <c r="L71" s="8"/>
      <c r="M71" s="8"/>
      <c r="N71" s="8"/>
      <c r="O71" s="8"/>
      <c r="P71" s="8"/>
      <c r="Q71" s="8"/>
      <c r="R71" s="8"/>
      <c r="S71" s="8"/>
      <c r="T71" s="8"/>
      <c r="U71" s="8"/>
      <c r="V71" s="8"/>
      <c r="W71" s="8"/>
      <c r="X71" s="8"/>
      <c r="Y71" s="8"/>
      <c r="Z71" s="8"/>
    </row>
    <row r="72">
      <c r="A72" s="61" t="s">
        <v>43</v>
      </c>
      <c r="B72" s="10" t="s">
        <v>185</v>
      </c>
      <c r="C72" s="11" t="s">
        <v>285</v>
      </c>
      <c r="D72" s="11" t="s">
        <v>704</v>
      </c>
      <c r="E72" s="12" t="s">
        <v>41</v>
      </c>
      <c r="F72" s="8"/>
      <c r="G72" s="8"/>
      <c r="H72" s="8"/>
      <c r="I72" s="8"/>
      <c r="J72" s="8"/>
      <c r="K72" s="8"/>
      <c r="L72" s="8"/>
      <c r="M72" s="8"/>
      <c r="N72" s="8"/>
      <c r="O72" s="8"/>
      <c r="P72" s="8"/>
      <c r="Q72" s="8"/>
      <c r="R72" s="8"/>
      <c r="S72" s="8"/>
      <c r="T72" s="8"/>
      <c r="U72" s="8"/>
      <c r="V72" s="8"/>
      <c r="W72" s="8"/>
      <c r="X72" s="8"/>
      <c r="Y72" s="8"/>
      <c r="Z72" s="8"/>
    </row>
    <row r="73">
      <c r="A73" s="61" t="s">
        <v>43</v>
      </c>
      <c r="B73" s="10" t="s">
        <v>185</v>
      </c>
      <c r="C73" s="11" t="s">
        <v>186</v>
      </c>
      <c r="D73" s="11" t="s">
        <v>445</v>
      </c>
      <c r="E73" s="12" t="s">
        <v>41</v>
      </c>
      <c r="F73" s="8"/>
      <c r="G73" s="8"/>
      <c r="H73" s="8"/>
      <c r="I73" s="8"/>
      <c r="J73" s="8"/>
      <c r="K73" s="8"/>
      <c r="L73" s="8"/>
      <c r="M73" s="8"/>
      <c r="N73" s="8"/>
      <c r="O73" s="8"/>
      <c r="P73" s="8"/>
      <c r="Q73" s="8"/>
      <c r="R73" s="8"/>
      <c r="S73" s="8"/>
      <c r="T73" s="8"/>
      <c r="U73" s="8"/>
      <c r="V73" s="8"/>
      <c r="W73" s="8"/>
      <c r="X73" s="8"/>
      <c r="Y73" s="8"/>
      <c r="Z73" s="8"/>
    </row>
    <row r="74">
      <c r="A74" s="61" t="s">
        <v>43</v>
      </c>
      <c r="B74" s="10" t="s">
        <v>185</v>
      </c>
      <c r="C74" s="11" t="s">
        <v>285</v>
      </c>
      <c r="D74" s="11" t="s">
        <v>714</v>
      </c>
      <c r="E74" s="12" t="s">
        <v>41</v>
      </c>
      <c r="F74" s="8"/>
      <c r="G74" s="8"/>
      <c r="H74" s="8"/>
      <c r="I74" s="8"/>
      <c r="J74" s="8"/>
      <c r="K74" s="8"/>
      <c r="L74" s="8"/>
      <c r="M74" s="8"/>
      <c r="N74" s="8"/>
      <c r="O74" s="8"/>
      <c r="P74" s="8"/>
      <c r="Q74" s="8"/>
      <c r="R74" s="8"/>
      <c r="S74" s="8"/>
      <c r="T74" s="8"/>
      <c r="U74" s="8"/>
      <c r="V74" s="8"/>
      <c r="W74" s="8"/>
      <c r="X74" s="8"/>
      <c r="Y74" s="8"/>
      <c r="Z74" s="8"/>
    </row>
    <row r="75">
      <c r="A75" s="61" t="s">
        <v>43</v>
      </c>
      <c r="B75" s="10" t="s">
        <v>185</v>
      </c>
      <c r="C75" s="11" t="s">
        <v>280</v>
      </c>
      <c r="D75" s="11" t="s">
        <v>657</v>
      </c>
      <c r="E75" s="12" t="s">
        <v>41</v>
      </c>
      <c r="F75" s="8"/>
      <c r="G75" s="8"/>
      <c r="H75" s="8"/>
      <c r="I75" s="8"/>
      <c r="J75" s="8"/>
      <c r="K75" s="8"/>
      <c r="L75" s="8"/>
      <c r="M75" s="8"/>
      <c r="N75" s="8"/>
      <c r="O75" s="8"/>
      <c r="P75" s="8"/>
      <c r="Q75" s="8"/>
      <c r="R75" s="8"/>
      <c r="S75" s="8"/>
      <c r="T75" s="8"/>
      <c r="U75" s="8"/>
      <c r="V75" s="8"/>
      <c r="W75" s="8"/>
      <c r="X75" s="8"/>
      <c r="Y75" s="8"/>
      <c r="Z75" s="8"/>
    </row>
    <row r="76">
      <c r="A76" s="61" t="s">
        <v>43</v>
      </c>
      <c r="B76" s="10" t="s">
        <v>185</v>
      </c>
      <c r="C76" s="11" t="s">
        <v>280</v>
      </c>
      <c r="D76" s="11" t="s">
        <v>655</v>
      </c>
      <c r="E76" s="12" t="s">
        <v>41</v>
      </c>
      <c r="F76" s="8"/>
      <c r="G76" s="8"/>
      <c r="H76" s="8"/>
      <c r="I76" s="8"/>
      <c r="J76" s="8"/>
      <c r="K76" s="8"/>
      <c r="L76" s="8"/>
      <c r="M76" s="8"/>
      <c r="N76" s="8"/>
      <c r="O76" s="8"/>
      <c r="P76" s="8"/>
      <c r="Q76" s="8"/>
      <c r="R76" s="8"/>
      <c r="S76" s="8"/>
      <c r="T76" s="8"/>
      <c r="U76" s="8"/>
      <c r="V76" s="8"/>
      <c r="W76" s="8"/>
      <c r="X76" s="8"/>
      <c r="Y76" s="8"/>
      <c r="Z76" s="8"/>
    </row>
    <row r="77">
      <c r="A77" s="61" t="s">
        <v>43</v>
      </c>
      <c r="B77" s="10" t="s">
        <v>185</v>
      </c>
      <c r="C77" s="11" t="s">
        <v>280</v>
      </c>
      <c r="D77" s="11" t="s">
        <v>687</v>
      </c>
      <c r="E77" s="12" t="s">
        <v>41</v>
      </c>
      <c r="F77" s="8"/>
      <c r="G77" s="8"/>
      <c r="H77" s="8"/>
      <c r="I77" s="8"/>
      <c r="J77" s="8"/>
      <c r="K77" s="8"/>
      <c r="L77" s="8"/>
      <c r="M77" s="8"/>
      <c r="N77" s="8"/>
      <c r="O77" s="8"/>
      <c r="P77" s="8"/>
      <c r="Q77" s="8"/>
      <c r="R77" s="8"/>
      <c r="S77" s="8"/>
      <c r="T77" s="8"/>
      <c r="U77" s="8"/>
      <c r="V77" s="8"/>
      <c r="W77" s="8"/>
      <c r="X77" s="8"/>
      <c r="Y77" s="8"/>
      <c r="Z77" s="8"/>
    </row>
    <row r="78">
      <c r="A78" s="61" t="s">
        <v>43</v>
      </c>
      <c r="B78" s="10" t="s">
        <v>185</v>
      </c>
      <c r="C78" s="11" t="s">
        <v>280</v>
      </c>
      <c r="D78" s="11" t="s">
        <v>636</v>
      </c>
      <c r="E78" s="12" t="s">
        <v>41</v>
      </c>
      <c r="F78" s="8"/>
      <c r="G78" s="8"/>
      <c r="H78" s="8"/>
      <c r="I78" s="8"/>
      <c r="J78" s="8"/>
      <c r="K78" s="8"/>
      <c r="L78" s="8"/>
      <c r="M78" s="8"/>
      <c r="N78" s="8"/>
      <c r="O78" s="8"/>
      <c r="P78" s="8"/>
      <c r="Q78" s="8"/>
      <c r="R78" s="8"/>
      <c r="S78" s="8"/>
      <c r="T78" s="8"/>
      <c r="U78" s="8"/>
      <c r="V78" s="8"/>
      <c r="W78" s="8"/>
      <c r="X78" s="8"/>
      <c r="Y78" s="8"/>
      <c r="Z78" s="8"/>
    </row>
    <row r="79">
      <c r="A79" s="61" t="s">
        <v>43</v>
      </c>
      <c r="B79" s="10" t="s">
        <v>185</v>
      </c>
      <c r="C79" s="11" t="s">
        <v>280</v>
      </c>
      <c r="D79" s="11" t="s">
        <v>736</v>
      </c>
      <c r="E79" s="12" t="s">
        <v>41</v>
      </c>
      <c r="F79" s="8"/>
      <c r="G79" s="8"/>
      <c r="H79" s="8"/>
      <c r="I79" s="8"/>
      <c r="J79" s="8"/>
      <c r="K79" s="8"/>
      <c r="L79" s="8"/>
      <c r="M79" s="8"/>
      <c r="N79" s="8"/>
      <c r="O79" s="8"/>
      <c r="P79" s="8"/>
      <c r="Q79" s="8"/>
      <c r="R79" s="8"/>
      <c r="S79" s="8"/>
      <c r="T79" s="8"/>
      <c r="U79" s="8"/>
      <c r="V79" s="8"/>
      <c r="W79" s="8"/>
      <c r="X79" s="8"/>
      <c r="Y79" s="8"/>
      <c r="Z79" s="8"/>
    </row>
    <row r="80">
      <c r="A80" s="61" t="s">
        <v>43</v>
      </c>
      <c r="B80" s="10" t="s">
        <v>185</v>
      </c>
      <c r="C80" s="11" t="s">
        <v>280</v>
      </c>
      <c r="D80" s="11" t="s">
        <v>623</v>
      </c>
      <c r="E80" s="12" t="s">
        <v>41</v>
      </c>
      <c r="F80" s="8"/>
      <c r="G80" s="8"/>
      <c r="H80" s="8"/>
      <c r="I80" s="8"/>
      <c r="J80" s="8"/>
      <c r="K80" s="8"/>
      <c r="L80" s="8"/>
      <c r="M80" s="8"/>
      <c r="N80" s="8"/>
      <c r="O80" s="8"/>
      <c r="P80" s="8"/>
      <c r="Q80" s="8"/>
      <c r="R80" s="8"/>
      <c r="S80" s="8"/>
      <c r="T80" s="8"/>
      <c r="U80" s="8"/>
      <c r="V80" s="8"/>
      <c r="W80" s="8"/>
      <c r="X80" s="8"/>
      <c r="Y80" s="8"/>
      <c r="Z80" s="8"/>
    </row>
    <row r="81">
      <c r="A81" s="61" t="s">
        <v>43</v>
      </c>
      <c r="B81" s="10" t="s">
        <v>185</v>
      </c>
      <c r="C81" s="11" t="s">
        <v>280</v>
      </c>
      <c r="D81" s="11" t="s">
        <v>738</v>
      </c>
      <c r="E81" s="12" t="s">
        <v>41</v>
      </c>
      <c r="F81" s="8"/>
      <c r="G81" s="8"/>
      <c r="H81" s="8"/>
      <c r="I81" s="8"/>
      <c r="J81" s="8"/>
      <c r="K81" s="8"/>
      <c r="L81" s="8"/>
      <c r="M81" s="8"/>
      <c r="N81" s="8"/>
      <c r="O81" s="8"/>
      <c r="P81" s="8"/>
      <c r="Q81" s="8"/>
      <c r="R81" s="8"/>
      <c r="S81" s="8"/>
      <c r="T81" s="8"/>
      <c r="U81" s="8"/>
      <c r="V81" s="8"/>
      <c r="W81" s="8"/>
      <c r="X81" s="8"/>
      <c r="Y81" s="8"/>
      <c r="Z81" s="8"/>
    </row>
    <row r="82">
      <c r="A82" s="61" t="s">
        <v>43</v>
      </c>
      <c r="B82" s="10" t="s">
        <v>185</v>
      </c>
      <c r="C82" s="11" t="s">
        <v>280</v>
      </c>
      <c r="D82" s="11" t="s">
        <v>685</v>
      </c>
      <c r="E82" s="12" t="s">
        <v>41</v>
      </c>
      <c r="F82" s="8"/>
      <c r="G82" s="8"/>
      <c r="H82" s="8"/>
      <c r="I82" s="8"/>
      <c r="J82" s="8"/>
      <c r="K82" s="8"/>
      <c r="L82" s="8"/>
      <c r="M82" s="8"/>
      <c r="N82" s="8"/>
      <c r="O82" s="8"/>
      <c r="P82" s="8"/>
      <c r="Q82" s="8"/>
      <c r="R82" s="8"/>
      <c r="S82" s="8"/>
      <c r="T82" s="8"/>
      <c r="U82" s="8"/>
      <c r="V82" s="8"/>
      <c r="W82" s="8"/>
      <c r="X82" s="8"/>
      <c r="Y82" s="8"/>
      <c r="Z82" s="8"/>
    </row>
    <row r="83">
      <c r="A83" s="61" t="s">
        <v>43</v>
      </c>
      <c r="B83" s="10" t="s">
        <v>185</v>
      </c>
      <c r="C83" s="11" t="s">
        <v>280</v>
      </c>
      <c r="D83" s="11" t="s">
        <v>612</v>
      </c>
      <c r="E83" s="12" t="s">
        <v>41</v>
      </c>
      <c r="F83" s="8"/>
      <c r="G83" s="8"/>
      <c r="H83" s="8"/>
      <c r="I83" s="8"/>
      <c r="J83" s="8"/>
      <c r="K83" s="8"/>
      <c r="L83" s="8"/>
      <c r="M83" s="8"/>
      <c r="N83" s="8"/>
      <c r="O83" s="8"/>
      <c r="P83" s="8"/>
      <c r="Q83" s="8"/>
      <c r="R83" s="8"/>
      <c r="S83" s="8"/>
      <c r="T83" s="8"/>
      <c r="U83" s="8"/>
      <c r="V83" s="8"/>
      <c r="W83" s="8"/>
      <c r="X83" s="8"/>
      <c r="Y83" s="8"/>
      <c r="Z83" s="8"/>
    </row>
    <row r="84">
      <c r="A84" s="61" t="s">
        <v>43</v>
      </c>
      <c r="B84" s="10" t="s">
        <v>31</v>
      </c>
      <c r="C84" s="11" t="s">
        <v>35</v>
      </c>
      <c r="D84" s="11" t="s">
        <v>757</v>
      </c>
      <c r="E84" s="12" t="s">
        <v>41</v>
      </c>
      <c r="F84" s="8"/>
      <c r="G84" s="8"/>
      <c r="H84" s="8"/>
      <c r="I84" s="8"/>
      <c r="J84" s="8"/>
      <c r="K84" s="8"/>
      <c r="L84" s="8"/>
      <c r="M84" s="8"/>
      <c r="N84" s="8"/>
      <c r="O84" s="8"/>
      <c r="P84" s="8"/>
      <c r="Q84" s="8"/>
      <c r="R84" s="8"/>
      <c r="S84" s="8"/>
      <c r="T84" s="8"/>
      <c r="U84" s="8"/>
      <c r="V84" s="8"/>
      <c r="W84" s="8"/>
      <c r="X84" s="8"/>
      <c r="Y84" s="8"/>
      <c r="Z84" s="8"/>
    </row>
    <row r="85">
      <c r="A85" s="61" t="s">
        <v>43</v>
      </c>
      <c r="B85" s="10" t="s">
        <v>31</v>
      </c>
      <c r="C85" s="11" t="s">
        <v>35</v>
      </c>
      <c r="D85" s="11" t="s">
        <v>758</v>
      </c>
      <c r="E85" s="12" t="s">
        <v>41</v>
      </c>
      <c r="F85" s="8"/>
      <c r="G85" s="8"/>
      <c r="H85" s="8"/>
      <c r="I85" s="8"/>
      <c r="J85" s="8"/>
      <c r="K85" s="8"/>
      <c r="L85" s="8"/>
      <c r="M85" s="8"/>
      <c r="N85" s="8"/>
      <c r="O85" s="8"/>
      <c r="P85" s="8"/>
      <c r="Q85" s="8"/>
      <c r="R85" s="8"/>
      <c r="S85" s="8"/>
      <c r="T85" s="8"/>
      <c r="U85" s="8"/>
      <c r="V85" s="8"/>
      <c r="W85" s="8"/>
      <c r="X85" s="8"/>
      <c r="Y85" s="8"/>
      <c r="Z85" s="8"/>
    </row>
    <row r="86">
      <c r="A86" s="10" t="s">
        <v>49</v>
      </c>
      <c r="B86" s="10" t="s">
        <v>31</v>
      </c>
      <c r="C86" s="11" t="s">
        <v>35</v>
      </c>
      <c r="D86" s="11" t="s">
        <v>504</v>
      </c>
      <c r="E86" s="12" t="s">
        <v>41</v>
      </c>
      <c r="F86" s="8"/>
      <c r="G86" s="8"/>
      <c r="H86" s="8"/>
      <c r="I86" s="8"/>
      <c r="J86" s="8"/>
      <c r="K86" s="8"/>
      <c r="L86" s="8"/>
      <c r="M86" s="8"/>
      <c r="N86" s="8"/>
      <c r="O86" s="8"/>
      <c r="P86" s="8"/>
      <c r="Q86" s="8"/>
      <c r="R86" s="8"/>
      <c r="S86" s="8"/>
      <c r="T86" s="8"/>
      <c r="U86" s="8"/>
      <c r="V86" s="8"/>
      <c r="W86" s="8"/>
      <c r="X86" s="8"/>
      <c r="Y86" s="8"/>
      <c r="Z86" s="8"/>
    </row>
    <row r="87">
      <c r="A87" s="10" t="s">
        <v>49</v>
      </c>
      <c r="B87" s="10" t="s">
        <v>31</v>
      </c>
      <c r="C87" s="11" t="s">
        <v>35</v>
      </c>
      <c r="D87" s="11" t="s">
        <v>493</v>
      </c>
      <c r="E87" s="12" t="s">
        <v>41</v>
      </c>
      <c r="F87" s="8"/>
      <c r="G87" s="8"/>
      <c r="H87" s="8"/>
      <c r="I87" s="8"/>
      <c r="J87" s="8"/>
      <c r="K87" s="8"/>
      <c r="L87" s="8"/>
      <c r="M87" s="8"/>
      <c r="N87" s="8"/>
      <c r="O87" s="8"/>
      <c r="P87" s="8"/>
      <c r="Q87" s="8"/>
      <c r="R87" s="8"/>
      <c r="S87" s="8"/>
      <c r="T87" s="8"/>
      <c r="U87" s="8"/>
      <c r="V87" s="8"/>
      <c r="W87" s="8"/>
      <c r="X87" s="8"/>
      <c r="Y87" s="8"/>
      <c r="Z87" s="8"/>
    </row>
    <row r="88">
      <c r="A88" s="10" t="s">
        <v>49</v>
      </c>
      <c r="B88" s="10" t="s">
        <v>31</v>
      </c>
      <c r="C88" s="11" t="s">
        <v>35</v>
      </c>
      <c r="D88" s="11" t="s">
        <v>498</v>
      </c>
      <c r="E88" s="12" t="s">
        <v>41</v>
      </c>
      <c r="F88" s="8"/>
      <c r="G88" s="8"/>
      <c r="H88" s="8"/>
      <c r="I88" s="8"/>
      <c r="J88" s="8"/>
      <c r="K88" s="8"/>
      <c r="L88" s="8"/>
      <c r="M88" s="8"/>
      <c r="N88" s="8"/>
      <c r="O88" s="8"/>
      <c r="P88" s="8"/>
      <c r="Q88" s="8"/>
      <c r="R88" s="8"/>
      <c r="S88" s="8"/>
      <c r="T88" s="8"/>
      <c r="U88" s="8"/>
      <c r="V88" s="8"/>
      <c r="W88" s="8"/>
      <c r="X88" s="8"/>
      <c r="Y88" s="8"/>
      <c r="Z88" s="8"/>
    </row>
    <row r="89">
      <c r="A89" s="10" t="s">
        <v>49</v>
      </c>
      <c r="B89" s="10" t="s">
        <v>31</v>
      </c>
      <c r="C89" s="11" t="s">
        <v>35</v>
      </c>
      <c r="D89" s="11" t="s">
        <v>547</v>
      </c>
      <c r="E89" s="12" t="s">
        <v>41</v>
      </c>
      <c r="F89" s="8"/>
      <c r="G89" s="8"/>
      <c r="H89" s="8"/>
      <c r="I89" s="8"/>
      <c r="J89" s="8"/>
      <c r="K89" s="8"/>
      <c r="L89" s="8"/>
      <c r="M89" s="8"/>
      <c r="N89" s="8"/>
      <c r="O89" s="8"/>
      <c r="P89" s="8"/>
      <c r="Q89" s="8"/>
      <c r="R89" s="8"/>
      <c r="S89" s="8"/>
      <c r="T89" s="8"/>
      <c r="U89" s="8"/>
      <c r="V89" s="8"/>
      <c r="W89" s="8"/>
      <c r="X89" s="8"/>
      <c r="Y89" s="8"/>
      <c r="Z89" s="8"/>
    </row>
    <row r="90">
      <c r="A90" s="10" t="s">
        <v>49</v>
      </c>
      <c r="B90" s="10" t="s">
        <v>185</v>
      </c>
      <c r="C90" s="11" t="s">
        <v>186</v>
      </c>
      <c r="D90" s="11" t="s">
        <v>765</v>
      </c>
      <c r="E90" s="12" t="s">
        <v>41</v>
      </c>
      <c r="F90" s="8"/>
      <c r="G90" s="8"/>
      <c r="H90" s="8"/>
      <c r="I90" s="8"/>
      <c r="J90" s="8"/>
      <c r="K90" s="8"/>
      <c r="L90" s="8"/>
      <c r="M90" s="8"/>
      <c r="N90" s="8"/>
      <c r="O90" s="8"/>
      <c r="P90" s="8"/>
      <c r="Q90" s="8"/>
      <c r="R90" s="8"/>
      <c r="S90" s="8"/>
      <c r="T90" s="8"/>
      <c r="U90" s="8"/>
      <c r="V90" s="8"/>
      <c r="W90" s="8"/>
      <c r="X90" s="8"/>
      <c r="Y90" s="8"/>
      <c r="Z90" s="8"/>
    </row>
    <row r="91">
      <c r="A91" s="10" t="s">
        <v>49</v>
      </c>
      <c r="B91" s="10" t="s">
        <v>185</v>
      </c>
      <c r="C91" s="11" t="s">
        <v>186</v>
      </c>
      <c r="D91" s="11" t="s">
        <v>768</v>
      </c>
      <c r="E91" s="12" t="s">
        <v>41</v>
      </c>
      <c r="F91" s="8"/>
      <c r="G91" s="8"/>
      <c r="H91" s="8"/>
      <c r="I91" s="8"/>
      <c r="J91" s="8"/>
      <c r="K91" s="8"/>
      <c r="L91" s="8"/>
      <c r="M91" s="8"/>
      <c r="N91" s="8"/>
      <c r="O91" s="8"/>
      <c r="P91" s="8"/>
      <c r="Q91" s="8"/>
      <c r="R91" s="8"/>
      <c r="S91" s="8"/>
      <c r="T91" s="8"/>
      <c r="U91" s="8"/>
      <c r="V91" s="8"/>
      <c r="W91" s="8"/>
      <c r="X91" s="8"/>
      <c r="Y91" s="8"/>
      <c r="Z91" s="8"/>
    </row>
    <row r="92">
      <c r="A92" s="10" t="s">
        <v>55</v>
      </c>
      <c r="B92" s="10" t="s">
        <v>185</v>
      </c>
      <c r="C92" s="11" t="s">
        <v>771</v>
      </c>
      <c r="D92" s="11" t="s">
        <v>772</v>
      </c>
      <c r="E92" s="12" t="s">
        <v>41</v>
      </c>
      <c r="F92" s="8"/>
      <c r="G92" s="8"/>
      <c r="H92" s="8"/>
      <c r="I92" s="8"/>
      <c r="J92" s="8"/>
      <c r="K92" s="8"/>
      <c r="L92" s="8"/>
      <c r="M92" s="8"/>
      <c r="N92" s="8"/>
      <c r="O92" s="8"/>
      <c r="P92" s="8"/>
      <c r="Q92" s="8"/>
      <c r="R92" s="8"/>
      <c r="S92" s="8"/>
      <c r="T92" s="8"/>
      <c r="U92" s="8"/>
      <c r="V92" s="8"/>
      <c r="W92" s="8"/>
      <c r="X92" s="8"/>
      <c r="Y92" s="8"/>
      <c r="Z92" s="8"/>
    </row>
    <row r="93">
      <c r="A93" s="10" t="s">
        <v>55</v>
      </c>
      <c r="B93" s="10" t="s">
        <v>185</v>
      </c>
      <c r="C93" s="11" t="s">
        <v>186</v>
      </c>
      <c r="D93" s="11" t="s">
        <v>774</v>
      </c>
      <c r="E93" s="12" t="s">
        <v>41</v>
      </c>
      <c r="F93" s="8"/>
      <c r="G93" s="8"/>
      <c r="H93" s="8"/>
      <c r="I93" s="8"/>
      <c r="J93" s="8"/>
      <c r="K93" s="8"/>
      <c r="L93" s="8"/>
      <c r="M93" s="8"/>
      <c r="N93" s="8"/>
      <c r="O93" s="8"/>
      <c r="P93" s="8"/>
      <c r="Q93" s="8"/>
      <c r="R93" s="8"/>
      <c r="S93" s="8"/>
      <c r="T93" s="8"/>
      <c r="U93" s="8"/>
      <c r="V93" s="8"/>
      <c r="W93" s="8"/>
      <c r="X93" s="8"/>
      <c r="Y93" s="8"/>
      <c r="Z93" s="8"/>
    </row>
    <row r="94">
      <c r="A94" s="10" t="s">
        <v>62</v>
      </c>
      <c r="B94" s="10" t="s">
        <v>185</v>
      </c>
      <c r="C94" s="11" t="s">
        <v>778</v>
      </c>
      <c r="D94" s="11" t="s">
        <v>779</v>
      </c>
      <c r="E94" s="12" t="s">
        <v>41</v>
      </c>
      <c r="F94" s="8"/>
      <c r="G94" s="8"/>
      <c r="H94" s="8"/>
      <c r="I94" s="8"/>
      <c r="J94" s="8"/>
      <c r="K94" s="8"/>
      <c r="L94" s="8"/>
      <c r="M94" s="8"/>
      <c r="N94" s="8"/>
      <c r="O94" s="8"/>
      <c r="P94" s="8"/>
      <c r="Q94" s="8"/>
      <c r="R94" s="8"/>
      <c r="S94" s="8"/>
      <c r="T94" s="8"/>
      <c r="U94" s="8"/>
      <c r="V94" s="8"/>
      <c r="W94" s="8"/>
      <c r="X94" s="8"/>
      <c r="Y94" s="8"/>
      <c r="Z94" s="8"/>
    </row>
    <row r="95">
      <c r="A95" s="10" t="s">
        <v>62</v>
      </c>
      <c r="B95" s="10" t="s">
        <v>185</v>
      </c>
      <c r="C95" s="11" t="s">
        <v>782</v>
      </c>
      <c r="D95" s="11" t="s">
        <v>783</v>
      </c>
      <c r="E95" s="12" t="s">
        <v>41</v>
      </c>
      <c r="F95" s="8"/>
      <c r="G95" s="8"/>
      <c r="H95" s="8"/>
      <c r="I95" s="8"/>
      <c r="J95" s="8"/>
      <c r="K95" s="8"/>
      <c r="L95" s="8"/>
      <c r="M95" s="8"/>
      <c r="N95" s="8"/>
      <c r="O95" s="8"/>
      <c r="P95" s="8"/>
      <c r="Q95" s="8"/>
      <c r="R95" s="8"/>
      <c r="S95" s="8"/>
      <c r="T95" s="8"/>
      <c r="U95" s="8"/>
      <c r="V95" s="8"/>
      <c r="W95" s="8"/>
      <c r="X95" s="8"/>
      <c r="Y95" s="8"/>
      <c r="Z95" s="8"/>
    </row>
    <row r="96">
      <c r="A96" s="10" t="s">
        <v>62</v>
      </c>
      <c r="B96" s="10" t="s">
        <v>185</v>
      </c>
      <c r="C96" s="11" t="s">
        <v>786</v>
      </c>
      <c r="D96" s="11" t="s">
        <v>787</v>
      </c>
      <c r="E96" s="12" t="s">
        <v>41</v>
      </c>
      <c r="F96" s="8"/>
      <c r="G96" s="8"/>
      <c r="H96" s="8"/>
      <c r="I96" s="8"/>
      <c r="J96" s="8"/>
      <c r="K96" s="8"/>
      <c r="L96" s="8"/>
      <c r="M96" s="8"/>
      <c r="N96" s="8"/>
      <c r="O96" s="8"/>
      <c r="P96" s="8"/>
      <c r="Q96" s="8"/>
      <c r="R96" s="8"/>
      <c r="S96" s="8"/>
      <c r="T96" s="8"/>
      <c r="U96" s="8"/>
      <c r="V96" s="8"/>
      <c r="W96" s="8"/>
      <c r="X96" s="8"/>
      <c r="Y96" s="8"/>
      <c r="Z96" s="8"/>
    </row>
    <row r="97">
      <c r="A97" s="10" t="s">
        <v>62</v>
      </c>
      <c r="B97" s="10" t="s">
        <v>185</v>
      </c>
      <c r="C97" s="11" t="s">
        <v>790</v>
      </c>
      <c r="D97" s="11" t="s">
        <v>791</v>
      </c>
      <c r="E97" s="12" t="s">
        <v>41</v>
      </c>
      <c r="F97" s="8"/>
      <c r="G97" s="8"/>
      <c r="H97" s="8"/>
      <c r="I97" s="8"/>
      <c r="J97" s="8"/>
      <c r="K97" s="8"/>
      <c r="L97" s="8"/>
      <c r="M97" s="8"/>
      <c r="N97" s="8"/>
      <c r="O97" s="8"/>
      <c r="P97" s="8"/>
      <c r="Q97" s="8"/>
      <c r="R97" s="8"/>
      <c r="S97" s="8"/>
      <c r="T97" s="8"/>
      <c r="U97" s="8"/>
      <c r="V97" s="8"/>
      <c r="W97" s="8"/>
      <c r="X97" s="8"/>
      <c r="Y97" s="8"/>
      <c r="Z97" s="8"/>
    </row>
    <row r="98">
      <c r="A98" s="10" t="s">
        <v>62</v>
      </c>
      <c r="B98" s="10" t="s">
        <v>185</v>
      </c>
      <c r="C98" s="11" t="s">
        <v>796</v>
      </c>
      <c r="D98" s="11" t="s">
        <v>797</v>
      </c>
      <c r="E98" s="12" t="s">
        <v>41</v>
      </c>
      <c r="F98" s="8"/>
      <c r="G98" s="8"/>
      <c r="H98" s="8"/>
      <c r="I98" s="8"/>
      <c r="J98" s="8"/>
      <c r="K98" s="8"/>
      <c r="L98" s="8"/>
      <c r="M98" s="8"/>
      <c r="N98" s="8"/>
      <c r="O98" s="8"/>
      <c r="P98" s="8"/>
      <c r="Q98" s="8"/>
      <c r="R98" s="8"/>
      <c r="S98" s="8"/>
      <c r="T98" s="8"/>
      <c r="U98" s="8"/>
      <c r="V98" s="8"/>
      <c r="W98" s="8"/>
      <c r="X98" s="8"/>
      <c r="Y98" s="8"/>
      <c r="Z98" s="8"/>
    </row>
    <row r="99">
      <c r="A99" s="10" t="s">
        <v>62</v>
      </c>
      <c r="B99" s="10" t="s">
        <v>185</v>
      </c>
      <c r="C99" s="11" t="s">
        <v>800</v>
      </c>
      <c r="D99" s="11" t="s">
        <v>791</v>
      </c>
      <c r="E99" s="12" t="s">
        <v>41</v>
      </c>
      <c r="F99" s="8"/>
      <c r="G99" s="8"/>
      <c r="H99" s="8"/>
      <c r="I99" s="8"/>
      <c r="J99" s="8"/>
      <c r="K99" s="8"/>
      <c r="L99" s="8"/>
      <c r="M99" s="8"/>
      <c r="N99" s="8"/>
      <c r="O99" s="8"/>
      <c r="P99" s="8"/>
      <c r="Q99" s="8"/>
      <c r="R99" s="8"/>
      <c r="S99" s="8"/>
      <c r="T99" s="8"/>
      <c r="U99" s="8"/>
      <c r="V99" s="8"/>
      <c r="W99" s="8"/>
      <c r="X99" s="8"/>
      <c r="Y99" s="8"/>
      <c r="Z99" s="8"/>
    </row>
    <row r="100">
      <c r="A100" s="10" t="s">
        <v>67</v>
      </c>
      <c r="B100" s="10" t="s">
        <v>31</v>
      </c>
      <c r="C100" s="11" t="s">
        <v>35</v>
      </c>
      <c r="D100" s="11" t="s">
        <v>804</v>
      </c>
      <c r="E100" s="12" t="s">
        <v>41</v>
      </c>
      <c r="F100" s="8"/>
      <c r="G100" s="8"/>
      <c r="H100" s="8"/>
      <c r="I100" s="8"/>
      <c r="J100" s="8"/>
      <c r="K100" s="8"/>
      <c r="L100" s="8"/>
      <c r="M100" s="8"/>
      <c r="N100" s="8"/>
      <c r="O100" s="8"/>
      <c r="P100" s="8"/>
      <c r="Q100" s="8"/>
      <c r="R100" s="8"/>
      <c r="S100" s="8"/>
      <c r="T100" s="8"/>
      <c r="U100" s="8"/>
      <c r="V100" s="8"/>
      <c r="W100" s="8"/>
      <c r="X100" s="8"/>
      <c r="Y100" s="8"/>
      <c r="Z100" s="8"/>
    </row>
    <row r="101">
      <c r="A101" s="10" t="s">
        <v>67</v>
      </c>
      <c r="B101" s="10" t="s">
        <v>31</v>
      </c>
      <c r="C101" s="11" t="s">
        <v>35</v>
      </c>
      <c r="D101" s="11" t="s">
        <v>694</v>
      </c>
      <c r="E101" s="12" t="s">
        <v>41</v>
      </c>
      <c r="F101" s="8"/>
      <c r="G101" s="8"/>
      <c r="H101" s="8"/>
      <c r="I101" s="8"/>
      <c r="J101" s="8"/>
      <c r="K101" s="8"/>
      <c r="L101" s="8"/>
      <c r="M101" s="8"/>
      <c r="N101" s="8"/>
      <c r="O101" s="8"/>
      <c r="P101" s="8"/>
      <c r="Q101" s="8"/>
      <c r="R101" s="8"/>
      <c r="S101" s="8"/>
      <c r="T101" s="8"/>
      <c r="U101" s="8"/>
      <c r="V101" s="8"/>
      <c r="W101" s="8"/>
      <c r="X101" s="8"/>
      <c r="Y101" s="8"/>
      <c r="Z101" s="8"/>
    </row>
    <row r="102">
      <c r="A102" s="10" t="s">
        <v>67</v>
      </c>
      <c r="B102" s="10" t="s">
        <v>31</v>
      </c>
      <c r="C102" s="11" t="s">
        <v>35</v>
      </c>
      <c r="D102" s="11" t="s">
        <v>812</v>
      </c>
      <c r="E102" s="12" t="s">
        <v>41</v>
      </c>
      <c r="F102" s="8"/>
      <c r="G102" s="8"/>
      <c r="H102" s="8"/>
      <c r="I102" s="8"/>
      <c r="J102" s="8"/>
      <c r="K102" s="8"/>
      <c r="L102" s="8"/>
      <c r="M102" s="8"/>
      <c r="N102" s="8"/>
      <c r="O102" s="8"/>
      <c r="P102" s="8"/>
      <c r="Q102" s="8"/>
      <c r="R102" s="8"/>
      <c r="S102" s="8"/>
      <c r="T102" s="8"/>
      <c r="U102" s="8"/>
      <c r="V102" s="8"/>
      <c r="W102" s="8"/>
      <c r="X102" s="8"/>
      <c r="Y102" s="8"/>
      <c r="Z102" s="8"/>
    </row>
    <row r="103">
      <c r="A103" s="10" t="s">
        <v>67</v>
      </c>
      <c r="B103" s="10" t="s">
        <v>31</v>
      </c>
      <c r="C103" s="11" t="s">
        <v>35</v>
      </c>
      <c r="D103" s="11" t="s">
        <v>417</v>
      </c>
      <c r="E103" s="12" t="s">
        <v>41</v>
      </c>
      <c r="F103" s="8"/>
      <c r="G103" s="8"/>
      <c r="H103" s="8"/>
      <c r="I103" s="8"/>
      <c r="J103" s="8"/>
      <c r="K103" s="8"/>
      <c r="L103" s="8"/>
      <c r="M103" s="8"/>
      <c r="N103" s="8"/>
      <c r="O103" s="8"/>
      <c r="P103" s="8"/>
      <c r="Q103" s="8"/>
      <c r="R103" s="8"/>
      <c r="S103" s="8"/>
      <c r="T103" s="8"/>
      <c r="U103" s="8"/>
      <c r="V103" s="8"/>
      <c r="W103" s="8"/>
      <c r="X103" s="8"/>
      <c r="Y103" s="8"/>
      <c r="Z103" s="8"/>
    </row>
    <row r="104">
      <c r="A104" s="10" t="s">
        <v>67</v>
      </c>
      <c r="B104" s="10" t="s">
        <v>31</v>
      </c>
      <c r="C104" s="11" t="s">
        <v>35</v>
      </c>
      <c r="D104" s="11" t="s">
        <v>816</v>
      </c>
      <c r="E104" s="12" t="s">
        <v>41</v>
      </c>
      <c r="F104" s="8"/>
      <c r="G104" s="8"/>
      <c r="H104" s="8"/>
      <c r="I104" s="8"/>
      <c r="J104" s="8"/>
      <c r="K104" s="8"/>
      <c r="L104" s="8"/>
      <c r="M104" s="8"/>
      <c r="N104" s="8"/>
      <c r="O104" s="8"/>
      <c r="P104" s="8"/>
      <c r="Q104" s="8"/>
      <c r="R104" s="8"/>
      <c r="S104" s="8"/>
      <c r="T104" s="8"/>
      <c r="U104" s="8"/>
      <c r="V104" s="8"/>
      <c r="W104" s="8"/>
      <c r="X104" s="8"/>
      <c r="Y104" s="8"/>
      <c r="Z104" s="8"/>
    </row>
    <row r="105">
      <c r="A105" s="10" t="s">
        <v>72</v>
      </c>
      <c r="B105" s="10" t="s">
        <v>31</v>
      </c>
      <c r="C105" s="11" t="s">
        <v>35</v>
      </c>
      <c r="D105" s="11" t="s">
        <v>508</v>
      </c>
      <c r="E105" s="12" t="s">
        <v>41</v>
      </c>
      <c r="F105" s="8"/>
      <c r="G105" s="8"/>
      <c r="H105" s="8"/>
      <c r="I105" s="8"/>
      <c r="J105" s="8"/>
      <c r="K105" s="8"/>
      <c r="L105" s="8"/>
      <c r="M105" s="8"/>
      <c r="N105" s="8"/>
      <c r="O105" s="8"/>
      <c r="P105" s="8"/>
      <c r="Q105" s="8"/>
      <c r="R105" s="8"/>
      <c r="S105" s="8"/>
      <c r="T105" s="8"/>
      <c r="U105" s="8"/>
      <c r="V105" s="8"/>
      <c r="W105" s="8"/>
      <c r="X105" s="8"/>
      <c r="Y105" s="8"/>
      <c r="Z105" s="8"/>
    </row>
    <row r="106">
      <c r="A106" s="10" t="s">
        <v>72</v>
      </c>
      <c r="B106" s="10" t="s">
        <v>31</v>
      </c>
      <c r="C106" s="11" t="s">
        <v>35</v>
      </c>
      <c r="D106" s="11" t="s">
        <v>515</v>
      </c>
      <c r="E106" s="12" t="s">
        <v>41</v>
      </c>
      <c r="F106" s="8"/>
      <c r="G106" s="8"/>
      <c r="H106" s="8"/>
      <c r="I106" s="8"/>
      <c r="J106" s="8"/>
      <c r="K106" s="8"/>
      <c r="L106" s="8"/>
      <c r="M106" s="8"/>
      <c r="N106" s="8"/>
      <c r="O106" s="8"/>
      <c r="P106" s="8"/>
      <c r="Q106" s="8"/>
      <c r="R106" s="8"/>
      <c r="S106" s="8"/>
      <c r="T106" s="8"/>
      <c r="U106" s="8"/>
      <c r="V106" s="8"/>
      <c r="W106" s="8"/>
      <c r="X106" s="8"/>
      <c r="Y106" s="8"/>
      <c r="Z106" s="8"/>
    </row>
    <row r="107">
      <c r="A107" s="10" t="s">
        <v>72</v>
      </c>
      <c r="B107" s="10" t="s">
        <v>31</v>
      </c>
      <c r="C107" s="11" t="s">
        <v>35</v>
      </c>
      <c r="D107" s="11" t="s">
        <v>817</v>
      </c>
      <c r="E107" s="12" t="s">
        <v>41</v>
      </c>
      <c r="F107" s="8"/>
      <c r="G107" s="8"/>
      <c r="H107" s="8"/>
      <c r="I107" s="8"/>
      <c r="J107" s="8"/>
      <c r="K107" s="8"/>
      <c r="L107" s="8"/>
      <c r="M107" s="8"/>
      <c r="N107" s="8"/>
      <c r="O107" s="8"/>
      <c r="P107" s="8"/>
      <c r="Q107" s="8"/>
      <c r="R107" s="8"/>
      <c r="S107" s="8"/>
      <c r="T107" s="8"/>
      <c r="U107" s="8"/>
      <c r="V107" s="8"/>
      <c r="W107" s="8"/>
      <c r="X107" s="8"/>
      <c r="Y107" s="8"/>
      <c r="Z107" s="8"/>
    </row>
    <row r="108">
      <c r="A108" s="10" t="s">
        <v>72</v>
      </c>
      <c r="B108" s="10" t="s">
        <v>31</v>
      </c>
      <c r="C108" s="11" t="s">
        <v>35</v>
      </c>
      <c r="D108" s="11" t="s">
        <v>459</v>
      </c>
      <c r="E108" s="12" t="s">
        <v>41</v>
      </c>
      <c r="F108" s="8"/>
      <c r="G108" s="8"/>
      <c r="H108" s="8"/>
      <c r="I108" s="8"/>
      <c r="J108" s="8"/>
      <c r="K108" s="8"/>
      <c r="L108" s="8"/>
      <c r="M108" s="8"/>
      <c r="N108" s="8"/>
      <c r="O108" s="8"/>
      <c r="P108" s="8"/>
      <c r="Q108" s="8"/>
      <c r="R108" s="8"/>
      <c r="S108" s="8"/>
      <c r="T108" s="8"/>
      <c r="U108" s="8"/>
      <c r="V108" s="8"/>
      <c r="W108" s="8"/>
      <c r="X108" s="8"/>
      <c r="Y108" s="8"/>
      <c r="Z108" s="8"/>
    </row>
    <row r="109">
      <c r="A109" s="10" t="s">
        <v>72</v>
      </c>
      <c r="B109" s="10" t="s">
        <v>31</v>
      </c>
      <c r="C109" s="11" t="s">
        <v>35</v>
      </c>
      <c r="D109" s="11" t="s">
        <v>818</v>
      </c>
      <c r="E109" s="12" t="s">
        <v>41</v>
      </c>
      <c r="F109" s="8"/>
      <c r="G109" s="8"/>
      <c r="H109" s="8"/>
      <c r="I109" s="8"/>
      <c r="J109" s="8"/>
      <c r="K109" s="8"/>
      <c r="L109" s="8"/>
      <c r="M109" s="8"/>
      <c r="N109" s="8"/>
      <c r="O109" s="8"/>
      <c r="P109" s="8"/>
      <c r="Q109" s="8"/>
      <c r="R109" s="8"/>
      <c r="S109" s="8"/>
      <c r="T109" s="8"/>
      <c r="U109" s="8"/>
      <c r="V109" s="8"/>
      <c r="W109" s="8"/>
      <c r="X109" s="8"/>
      <c r="Y109" s="8"/>
      <c r="Z109" s="8"/>
    </row>
    <row r="110">
      <c r="A110" s="10" t="s">
        <v>72</v>
      </c>
      <c r="B110" s="10" t="s">
        <v>31</v>
      </c>
      <c r="C110" s="11" t="s">
        <v>35</v>
      </c>
      <c r="D110" s="11" t="s">
        <v>489</v>
      </c>
      <c r="E110" s="12" t="s">
        <v>41</v>
      </c>
      <c r="F110" s="8"/>
      <c r="G110" s="8"/>
      <c r="H110" s="8"/>
      <c r="I110" s="8"/>
      <c r="J110" s="8"/>
      <c r="K110" s="8"/>
      <c r="L110" s="8"/>
      <c r="M110" s="8"/>
      <c r="N110" s="8"/>
      <c r="O110" s="8"/>
      <c r="P110" s="8"/>
      <c r="Q110" s="8"/>
      <c r="R110" s="8"/>
      <c r="S110" s="8"/>
      <c r="T110" s="8"/>
      <c r="U110" s="8"/>
      <c r="V110" s="8"/>
      <c r="W110" s="8"/>
      <c r="X110" s="8"/>
      <c r="Y110" s="8"/>
      <c r="Z110" s="8"/>
    </row>
    <row r="111">
      <c r="A111" s="10" t="s">
        <v>72</v>
      </c>
      <c r="B111" s="10" t="s">
        <v>31</v>
      </c>
      <c r="C111" s="11" t="s">
        <v>35</v>
      </c>
      <c r="D111" s="11" t="s">
        <v>819</v>
      </c>
      <c r="E111" s="12" t="s">
        <v>41</v>
      </c>
      <c r="F111" s="8"/>
      <c r="G111" s="8"/>
      <c r="H111" s="8"/>
      <c r="I111" s="8"/>
      <c r="J111" s="8"/>
      <c r="K111" s="8"/>
      <c r="L111" s="8"/>
      <c r="M111" s="8"/>
      <c r="N111" s="8"/>
      <c r="O111" s="8"/>
      <c r="P111" s="8"/>
      <c r="Q111" s="8"/>
      <c r="R111" s="8"/>
      <c r="S111" s="8"/>
      <c r="T111" s="8"/>
      <c r="U111" s="8"/>
      <c r="V111" s="8"/>
      <c r="W111" s="8"/>
      <c r="X111" s="8"/>
      <c r="Y111" s="8"/>
      <c r="Z111" s="8"/>
    </row>
    <row r="112">
      <c r="A112" s="10" t="s">
        <v>72</v>
      </c>
      <c r="B112" s="10" t="s">
        <v>31</v>
      </c>
      <c r="C112" s="11" t="s">
        <v>35</v>
      </c>
      <c r="D112" s="11" t="s">
        <v>820</v>
      </c>
      <c r="E112" s="12" t="s">
        <v>41</v>
      </c>
      <c r="F112" s="8"/>
      <c r="G112" s="8"/>
      <c r="H112" s="8"/>
      <c r="I112" s="8"/>
      <c r="J112" s="8"/>
      <c r="K112" s="8"/>
      <c r="L112" s="8"/>
      <c r="M112" s="8"/>
      <c r="N112" s="8"/>
      <c r="O112" s="8"/>
      <c r="P112" s="8"/>
      <c r="Q112" s="8"/>
      <c r="R112" s="8"/>
      <c r="S112" s="8"/>
      <c r="T112" s="8"/>
      <c r="U112" s="8"/>
      <c r="V112" s="8"/>
      <c r="W112" s="8"/>
      <c r="X112" s="8"/>
      <c r="Y112" s="8"/>
      <c r="Z112" s="8"/>
    </row>
    <row r="113">
      <c r="A113" s="10" t="s">
        <v>72</v>
      </c>
      <c r="B113" s="10" t="s">
        <v>31</v>
      </c>
      <c r="C113" s="11" t="s">
        <v>35</v>
      </c>
      <c r="D113" s="11" t="s">
        <v>661</v>
      </c>
      <c r="E113" s="12" t="s">
        <v>41</v>
      </c>
      <c r="F113" s="8"/>
      <c r="G113" s="8"/>
      <c r="H113" s="8"/>
      <c r="I113" s="8"/>
      <c r="J113" s="8"/>
      <c r="K113" s="8"/>
      <c r="L113" s="8"/>
      <c r="M113" s="8"/>
      <c r="N113" s="8"/>
      <c r="O113" s="8"/>
      <c r="P113" s="8"/>
      <c r="Q113" s="8"/>
      <c r="R113" s="8"/>
      <c r="S113" s="8"/>
      <c r="T113" s="8"/>
      <c r="U113" s="8"/>
      <c r="V113" s="8"/>
      <c r="W113" s="8"/>
      <c r="X113" s="8"/>
      <c r="Y113" s="8"/>
      <c r="Z113" s="8"/>
    </row>
    <row r="114">
      <c r="A114" s="10" t="s">
        <v>72</v>
      </c>
      <c r="B114" s="4" t="s">
        <v>31</v>
      </c>
      <c r="C114" s="4" t="s">
        <v>35</v>
      </c>
      <c r="D114" s="4" t="s">
        <v>821</v>
      </c>
      <c r="E114" s="12" t="s">
        <v>41</v>
      </c>
      <c r="F114" s="8"/>
      <c r="G114" s="8"/>
      <c r="H114" s="8"/>
      <c r="I114" s="8"/>
      <c r="J114" s="8"/>
      <c r="K114" s="8"/>
      <c r="L114" s="8"/>
      <c r="M114" s="8"/>
      <c r="N114" s="8"/>
      <c r="O114" s="8"/>
      <c r="P114" s="8"/>
      <c r="Q114" s="8"/>
      <c r="R114" s="8"/>
      <c r="S114" s="8"/>
      <c r="T114" s="8"/>
      <c r="U114" s="8"/>
      <c r="V114" s="8"/>
      <c r="W114" s="8"/>
      <c r="X114" s="8"/>
      <c r="Y114" s="8"/>
      <c r="Z114" s="8"/>
    </row>
    <row r="115">
      <c r="A115" s="10" t="s">
        <v>72</v>
      </c>
      <c r="B115" s="10" t="s">
        <v>31</v>
      </c>
      <c r="C115" s="66" t="s">
        <v>35</v>
      </c>
      <c r="D115" s="4" t="s">
        <v>822</v>
      </c>
      <c r="E115" s="12" t="s">
        <v>41</v>
      </c>
      <c r="F115" s="8"/>
      <c r="G115" s="8"/>
      <c r="H115" s="8"/>
      <c r="I115" s="8"/>
      <c r="J115" s="8"/>
      <c r="K115" s="8"/>
      <c r="L115" s="8"/>
      <c r="M115" s="8"/>
      <c r="N115" s="8"/>
      <c r="O115" s="8"/>
      <c r="P115" s="8"/>
      <c r="Q115" s="8"/>
      <c r="R115" s="8"/>
      <c r="S115" s="8"/>
      <c r="T115" s="8"/>
      <c r="U115" s="8"/>
      <c r="V115" s="8"/>
      <c r="W115" s="8"/>
      <c r="X115" s="8"/>
      <c r="Y115" s="8"/>
      <c r="Z115" s="8"/>
    </row>
    <row r="116">
      <c r="A116" s="10" t="s">
        <v>72</v>
      </c>
      <c r="B116" s="10" t="s">
        <v>31</v>
      </c>
      <c r="C116" s="66" t="s">
        <v>35</v>
      </c>
      <c r="D116" s="66" t="s">
        <v>823</v>
      </c>
      <c r="E116" s="12" t="s">
        <v>41</v>
      </c>
      <c r="F116" s="8"/>
      <c r="G116" s="8"/>
      <c r="H116" s="8"/>
      <c r="I116" s="8"/>
      <c r="J116" s="8"/>
      <c r="K116" s="8"/>
      <c r="L116" s="8"/>
      <c r="M116" s="8"/>
      <c r="N116" s="8"/>
      <c r="O116" s="8"/>
      <c r="P116" s="8"/>
      <c r="Q116" s="8"/>
      <c r="R116" s="8"/>
      <c r="S116" s="8"/>
      <c r="T116" s="8"/>
      <c r="U116" s="8"/>
      <c r="V116" s="8"/>
      <c r="W116" s="8"/>
      <c r="X116" s="8"/>
      <c r="Y116" s="8"/>
      <c r="Z116" s="8"/>
    </row>
    <row r="117">
      <c r="A117" s="10" t="s">
        <v>72</v>
      </c>
      <c r="B117" s="12" t="s">
        <v>31</v>
      </c>
      <c r="C117" s="66" t="s">
        <v>35</v>
      </c>
      <c r="D117" s="66" t="s">
        <v>824</v>
      </c>
      <c r="E117" s="12" t="s">
        <v>41</v>
      </c>
      <c r="F117" s="8"/>
      <c r="G117" s="8"/>
      <c r="H117" s="8"/>
      <c r="I117" s="8"/>
      <c r="J117" s="8"/>
      <c r="K117" s="8"/>
      <c r="L117" s="8"/>
      <c r="M117" s="8"/>
      <c r="N117" s="8"/>
      <c r="O117" s="8"/>
      <c r="P117" s="8"/>
      <c r="Q117" s="8"/>
      <c r="R117" s="8"/>
      <c r="S117" s="8"/>
      <c r="T117" s="8"/>
      <c r="U117" s="8"/>
      <c r="V117" s="8"/>
      <c r="W117" s="8"/>
      <c r="X117" s="8"/>
      <c r="Y117" s="8"/>
      <c r="Z117" s="8"/>
    </row>
    <row r="118">
      <c r="A118" s="10" t="s">
        <v>72</v>
      </c>
      <c r="B118" s="10" t="s">
        <v>31</v>
      </c>
      <c r="C118" s="66" t="s">
        <v>35</v>
      </c>
      <c r="D118" s="66" t="s">
        <v>825</v>
      </c>
      <c r="E118" s="12" t="s">
        <v>41</v>
      </c>
      <c r="F118" s="8"/>
      <c r="G118" s="8"/>
      <c r="H118" s="8"/>
      <c r="I118" s="8"/>
      <c r="J118" s="8"/>
      <c r="K118" s="8"/>
      <c r="L118" s="8"/>
      <c r="M118" s="8"/>
      <c r="N118" s="8"/>
      <c r="O118" s="8"/>
      <c r="P118" s="8"/>
      <c r="Q118" s="8"/>
      <c r="R118" s="8"/>
      <c r="S118" s="8"/>
      <c r="T118" s="8"/>
      <c r="U118" s="8"/>
      <c r="V118" s="8"/>
      <c r="W118" s="8"/>
      <c r="X118" s="8"/>
      <c r="Y118" s="8"/>
      <c r="Z118" s="8"/>
    </row>
    <row r="119">
      <c r="A119" s="10" t="s">
        <v>72</v>
      </c>
      <c r="B119" s="10" t="s">
        <v>31</v>
      </c>
      <c r="C119" s="66" t="s">
        <v>35</v>
      </c>
      <c r="D119" s="66" t="s">
        <v>826</v>
      </c>
      <c r="E119" s="12" t="s">
        <v>41</v>
      </c>
      <c r="F119" s="8"/>
      <c r="G119" s="8"/>
      <c r="H119" s="8"/>
      <c r="I119" s="8"/>
      <c r="J119" s="8"/>
      <c r="K119" s="8"/>
      <c r="L119" s="8"/>
      <c r="M119" s="8"/>
      <c r="N119" s="8"/>
      <c r="O119" s="8"/>
      <c r="P119" s="8"/>
      <c r="Q119" s="8"/>
      <c r="R119" s="8"/>
      <c r="S119" s="8"/>
      <c r="T119" s="8"/>
      <c r="U119" s="8"/>
      <c r="V119" s="8"/>
      <c r="W119" s="8"/>
      <c r="X119" s="8"/>
      <c r="Y119" s="8"/>
      <c r="Z119" s="8"/>
    </row>
    <row r="120">
      <c r="A120" s="10" t="s">
        <v>79</v>
      </c>
      <c r="B120" s="10" t="s">
        <v>185</v>
      </c>
      <c r="C120" s="11" t="s">
        <v>280</v>
      </c>
      <c r="D120" s="11" t="s">
        <v>827</v>
      </c>
      <c r="E120" s="12" t="s">
        <v>41</v>
      </c>
      <c r="F120" s="8"/>
      <c r="G120" s="8"/>
      <c r="H120" s="8"/>
      <c r="I120" s="8"/>
      <c r="J120" s="8"/>
      <c r="K120" s="8"/>
      <c r="L120" s="8"/>
      <c r="M120" s="8"/>
      <c r="N120" s="8"/>
      <c r="O120" s="8"/>
      <c r="P120" s="8"/>
      <c r="Q120" s="8"/>
      <c r="R120" s="8"/>
      <c r="S120" s="8"/>
      <c r="T120" s="8"/>
      <c r="U120" s="8"/>
      <c r="V120" s="8"/>
      <c r="W120" s="8"/>
      <c r="X120" s="8"/>
      <c r="Y120" s="8"/>
      <c r="Z120" s="8"/>
    </row>
    <row r="121">
      <c r="A121" s="10" t="s">
        <v>79</v>
      </c>
      <c r="B121" s="10" t="s">
        <v>185</v>
      </c>
      <c r="C121" s="11" t="s">
        <v>186</v>
      </c>
      <c r="D121" s="11" t="s">
        <v>828</v>
      </c>
      <c r="E121" s="12" t="s">
        <v>41</v>
      </c>
      <c r="F121" s="8"/>
      <c r="G121" s="8"/>
      <c r="H121" s="8"/>
      <c r="I121" s="8"/>
      <c r="J121" s="8"/>
      <c r="K121" s="8"/>
      <c r="L121" s="8"/>
      <c r="M121" s="8"/>
      <c r="N121" s="8"/>
      <c r="O121" s="8"/>
      <c r="P121" s="8"/>
      <c r="Q121" s="8"/>
      <c r="R121" s="8"/>
      <c r="S121" s="8"/>
      <c r="T121" s="8"/>
      <c r="U121" s="8"/>
      <c r="V121" s="8"/>
      <c r="W121" s="8"/>
      <c r="X121" s="8"/>
      <c r="Y121" s="8"/>
      <c r="Z121" s="8"/>
    </row>
    <row r="122">
      <c r="A122" s="10" t="s">
        <v>86</v>
      </c>
      <c r="B122" s="10" t="s">
        <v>185</v>
      </c>
      <c r="C122" s="11" t="s">
        <v>267</v>
      </c>
      <c r="D122" s="11" t="s">
        <v>829</v>
      </c>
      <c r="E122" s="12" t="s">
        <v>41</v>
      </c>
      <c r="F122" s="8"/>
      <c r="G122" s="8"/>
      <c r="H122" s="8"/>
      <c r="I122" s="8"/>
      <c r="J122" s="8"/>
      <c r="K122" s="8"/>
      <c r="L122" s="8"/>
      <c r="M122" s="8"/>
      <c r="N122" s="8"/>
      <c r="O122" s="8"/>
      <c r="P122" s="8"/>
      <c r="Q122" s="8"/>
      <c r="R122" s="8"/>
      <c r="S122" s="8"/>
      <c r="T122" s="8"/>
      <c r="U122" s="8"/>
      <c r="V122" s="8"/>
      <c r="W122" s="8"/>
      <c r="X122" s="8"/>
      <c r="Y122" s="8"/>
      <c r="Z122" s="8"/>
    </row>
    <row r="123">
      <c r="A123" s="10" t="s">
        <v>86</v>
      </c>
      <c r="B123" s="10" t="s">
        <v>185</v>
      </c>
      <c r="C123" s="11" t="s">
        <v>186</v>
      </c>
      <c r="D123" s="11" t="s">
        <v>830</v>
      </c>
      <c r="E123" s="12" t="s">
        <v>41</v>
      </c>
      <c r="F123" s="8"/>
      <c r="G123" s="8"/>
      <c r="H123" s="8"/>
      <c r="I123" s="8"/>
      <c r="J123" s="8"/>
      <c r="K123" s="8"/>
      <c r="L123" s="8"/>
      <c r="M123" s="8"/>
      <c r="N123" s="8"/>
      <c r="O123" s="8"/>
      <c r="P123" s="8"/>
      <c r="Q123" s="8"/>
      <c r="R123" s="8"/>
      <c r="S123" s="8"/>
      <c r="T123" s="8"/>
      <c r="U123" s="8"/>
      <c r="V123" s="8"/>
      <c r="W123" s="8"/>
      <c r="X123" s="8"/>
      <c r="Y123" s="8"/>
      <c r="Z123" s="8"/>
    </row>
    <row r="124">
      <c r="A124" s="10" t="s">
        <v>86</v>
      </c>
      <c r="B124" s="10" t="s">
        <v>185</v>
      </c>
      <c r="C124" s="11" t="s">
        <v>285</v>
      </c>
      <c r="D124" s="11" t="s">
        <v>831</v>
      </c>
      <c r="E124" s="12" t="s">
        <v>41</v>
      </c>
      <c r="F124" s="8"/>
      <c r="G124" s="8"/>
      <c r="H124" s="8"/>
      <c r="I124" s="8"/>
      <c r="J124" s="8"/>
      <c r="K124" s="8"/>
      <c r="L124" s="8"/>
      <c r="M124" s="8"/>
      <c r="N124" s="8"/>
      <c r="O124" s="8"/>
      <c r="P124" s="8"/>
      <c r="Q124" s="8"/>
      <c r="R124" s="8"/>
      <c r="S124" s="8"/>
      <c r="T124" s="8"/>
      <c r="U124" s="8"/>
      <c r="V124" s="8"/>
      <c r="W124" s="8"/>
      <c r="X124" s="8"/>
      <c r="Y124" s="8"/>
      <c r="Z124" s="8"/>
    </row>
    <row r="125">
      <c r="A125" s="10" t="s">
        <v>86</v>
      </c>
      <c r="B125" s="10" t="s">
        <v>185</v>
      </c>
      <c r="C125" s="11" t="s">
        <v>267</v>
      </c>
      <c r="D125" s="11" t="s">
        <v>832</v>
      </c>
      <c r="E125" s="12" t="s">
        <v>41</v>
      </c>
      <c r="F125" s="8"/>
      <c r="G125" s="8"/>
      <c r="H125" s="8"/>
      <c r="I125" s="8"/>
      <c r="J125" s="8"/>
      <c r="K125" s="8"/>
      <c r="L125" s="8"/>
      <c r="M125" s="8"/>
      <c r="N125" s="8"/>
      <c r="O125" s="8"/>
      <c r="P125" s="8"/>
      <c r="Q125" s="8"/>
      <c r="R125" s="8"/>
      <c r="S125" s="8"/>
      <c r="T125" s="8"/>
      <c r="U125" s="8"/>
      <c r="V125" s="8"/>
      <c r="W125" s="8"/>
      <c r="X125" s="8"/>
      <c r="Y125" s="8"/>
      <c r="Z125" s="8"/>
    </row>
    <row r="126">
      <c r="A126" s="10" t="s">
        <v>86</v>
      </c>
      <c r="B126" s="10" t="s">
        <v>185</v>
      </c>
      <c r="C126" s="11" t="s">
        <v>186</v>
      </c>
      <c r="D126" s="11" t="s">
        <v>833</v>
      </c>
      <c r="E126" s="12" t="s">
        <v>41</v>
      </c>
      <c r="F126" s="8"/>
      <c r="G126" s="8"/>
      <c r="H126" s="8"/>
      <c r="I126" s="8"/>
      <c r="J126" s="8"/>
      <c r="K126" s="8"/>
      <c r="L126" s="8"/>
      <c r="M126" s="8"/>
      <c r="N126" s="8"/>
      <c r="O126" s="8"/>
      <c r="P126" s="8"/>
      <c r="Q126" s="8"/>
      <c r="R126" s="8"/>
      <c r="S126" s="8"/>
      <c r="T126" s="8"/>
      <c r="U126" s="8"/>
      <c r="V126" s="8"/>
      <c r="W126" s="8"/>
      <c r="X126" s="8"/>
      <c r="Y126" s="8"/>
      <c r="Z126" s="8"/>
    </row>
    <row r="127">
      <c r="A127" s="10" t="s">
        <v>86</v>
      </c>
      <c r="B127" s="10" t="s">
        <v>185</v>
      </c>
      <c r="C127" s="11" t="s">
        <v>285</v>
      </c>
      <c r="D127" s="11" t="s">
        <v>834</v>
      </c>
      <c r="E127" s="12" t="s">
        <v>41</v>
      </c>
      <c r="F127" s="8"/>
      <c r="G127" s="8"/>
      <c r="H127" s="8"/>
      <c r="I127" s="8"/>
      <c r="J127" s="8"/>
      <c r="K127" s="8"/>
      <c r="L127" s="8"/>
      <c r="M127" s="8"/>
      <c r="N127" s="8"/>
      <c r="O127" s="8"/>
      <c r="P127" s="8"/>
      <c r="Q127" s="8"/>
      <c r="R127" s="8"/>
      <c r="S127" s="8"/>
      <c r="T127" s="8"/>
      <c r="U127" s="8"/>
      <c r="V127" s="8"/>
      <c r="W127" s="8"/>
      <c r="X127" s="8"/>
      <c r="Y127" s="8"/>
      <c r="Z127" s="8"/>
    </row>
    <row r="128">
      <c r="A128" s="10" t="s">
        <v>86</v>
      </c>
      <c r="B128" s="10" t="s">
        <v>185</v>
      </c>
      <c r="C128" s="11" t="s">
        <v>186</v>
      </c>
      <c r="D128" s="11" t="s">
        <v>835</v>
      </c>
      <c r="E128" s="12" t="s">
        <v>41</v>
      </c>
      <c r="F128" s="8"/>
      <c r="G128" s="8"/>
      <c r="H128" s="8"/>
      <c r="I128" s="8"/>
      <c r="J128" s="8"/>
      <c r="K128" s="8"/>
      <c r="L128" s="8"/>
      <c r="M128" s="8"/>
      <c r="N128" s="8"/>
      <c r="O128" s="8"/>
      <c r="P128" s="8"/>
      <c r="Q128" s="8"/>
      <c r="R128" s="8"/>
      <c r="S128" s="8"/>
      <c r="T128" s="8"/>
      <c r="U128" s="8"/>
      <c r="V128" s="8"/>
      <c r="W128" s="8"/>
      <c r="X128" s="8"/>
      <c r="Y128" s="8"/>
      <c r="Z128" s="8"/>
    </row>
    <row r="129">
      <c r="A129" s="10" t="s">
        <v>86</v>
      </c>
      <c r="B129" s="10" t="s">
        <v>185</v>
      </c>
      <c r="C129" s="11" t="s">
        <v>267</v>
      </c>
      <c r="D129" s="11" t="s">
        <v>836</v>
      </c>
      <c r="E129" s="12" t="s">
        <v>41</v>
      </c>
      <c r="F129" s="8"/>
      <c r="G129" s="8"/>
      <c r="H129" s="8"/>
      <c r="I129" s="8"/>
      <c r="J129" s="8"/>
      <c r="K129" s="8"/>
      <c r="L129" s="8"/>
      <c r="M129" s="8"/>
      <c r="N129" s="8"/>
      <c r="O129" s="8"/>
      <c r="P129" s="8"/>
      <c r="Q129" s="8"/>
      <c r="R129" s="8"/>
      <c r="S129" s="8"/>
      <c r="T129" s="8"/>
      <c r="U129" s="8"/>
      <c r="V129" s="8"/>
      <c r="W129" s="8"/>
      <c r="X129" s="8"/>
      <c r="Y129" s="8"/>
      <c r="Z129" s="8"/>
    </row>
    <row r="130">
      <c r="A130" s="10" t="s">
        <v>86</v>
      </c>
      <c r="B130" s="10" t="s">
        <v>185</v>
      </c>
      <c r="C130" s="11" t="s">
        <v>285</v>
      </c>
      <c r="D130" s="11" t="s">
        <v>837</v>
      </c>
      <c r="E130" s="12" t="s">
        <v>41</v>
      </c>
      <c r="F130" s="8"/>
      <c r="G130" s="8"/>
      <c r="H130" s="8"/>
      <c r="I130" s="8"/>
      <c r="J130" s="8"/>
      <c r="K130" s="8"/>
      <c r="L130" s="8"/>
      <c r="M130" s="8"/>
      <c r="N130" s="8"/>
      <c r="O130" s="8"/>
      <c r="P130" s="8"/>
      <c r="Q130" s="8"/>
      <c r="R130" s="8"/>
      <c r="S130" s="8"/>
      <c r="T130" s="8"/>
      <c r="U130" s="8"/>
      <c r="V130" s="8"/>
      <c r="W130" s="8"/>
      <c r="X130" s="8"/>
      <c r="Y130" s="8"/>
      <c r="Z130" s="8"/>
    </row>
    <row r="131">
      <c r="A131" s="10" t="s">
        <v>95</v>
      </c>
      <c r="B131" s="10" t="s">
        <v>185</v>
      </c>
      <c r="C131" s="11" t="s">
        <v>186</v>
      </c>
      <c r="D131" s="11" t="s">
        <v>838</v>
      </c>
      <c r="E131" s="12" t="s">
        <v>41</v>
      </c>
      <c r="F131" s="8"/>
      <c r="G131" s="8"/>
      <c r="H131" s="8"/>
      <c r="I131" s="8"/>
      <c r="J131" s="8"/>
      <c r="K131" s="8"/>
      <c r="L131" s="8"/>
      <c r="M131" s="8"/>
      <c r="N131" s="8"/>
      <c r="O131" s="8"/>
      <c r="P131" s="8"/>
      <c r="Q131" s="8"/>
      <c r="R131" s="8"/>
      <c r="S131" s="8"/>
      <c r="T131" s="8"/>
      <c r="U131" s="8"/>
      <c r="V131" s="8"/>
      <c r="W131" s="8"/>
      <c r="X131" s="8"/>
      <c r="Y131" s="8"/>
      <c r="Z131" s="8"/>
    </row>
    <row r="132">
      <c r="A132" s="10" t="s">
        <v>95</v>
      </c>
      <c r="B132" s="10" t="s">
        <v>185</v>
      </c>
      <c r="C132" s="11" t="s">
        <v>186</v>
      </c>
      <c r="D132" s="11" t="s">
        <v>839</v>
      </c>
      <c r="E132" s="12" t="s">
        <v>41</v>
      </c>
      <c r="F132" s="8"/>
      <c r="G132" s="8"/>
      <c r="H132" s="8"/>
      <c r="I132" s="8"/>
      <c r="J132" s="8"/>
      <c r="K132" s="8"/>
      <c r="L132" s="8"/>
      <c r="M132" s="8"/>
      <c r="N132" s="8"/>
      <c r="O132" s="8"/>
      <c r="P132" s="8"/>
      <c r="Q132" s="8"/>
      <c r="R132" s="8"/>
      <c r="S132" s="8"/>
      <c r="T132" s="8"/>
      <c r="U132" s="8"/>
      <c r="V132" s="8"/>
      <c r="W132" s="8"/>
      <c r="X132" s="8"/>
      <c r="Y132" s="8"/>
      <c r="Z132" s="8"/>
    </row>
    <row r="133">
      <c r="A133" s="10" t="s">
        <v>95</v>
      </c>
      <c r="B133" s="10" t="s">
        <v>185</v>
      </c>
      <c r="C133" s="11" t="s">
        <v>186</v>
      </c>
      <c r="D133" s="11" t="s">
        <v>840</v>
      </c>
      <c r="E133" s="12" t="s">
        <v>41</v>
      </c>
      <c r="F133" s="8"/>
      <c r="G133" s="8"/>
      <c r="H133" s="8"/>
      <c r="I133" s="8"/>
      <c r="J133" s="8"/>
      <c r="K133" s="8"/>
      <c r="L133" s="8"/>
      <c r="M133" s="8"/>
      <c r="N133" s="8"/>
      <c r="O133" s="8"/>
      <c r="P133" s="8"/>
      <c r="Q133" s="8"/>
      <c r="R133" s="8"/>
      <c r="S133" s="8"/>
      <c r="T133" s="8"/>
      <c r="U133" s="8"/>
      <c r="V133" s="8"/>
      <c r="W133" s="8"/>
      <c r="X133" s="8"/>
      <c r="Y133" s="8"/>
      <c r="Z133" s="8"/>
    </row>
    <row r="134">
      <c r="A134" s="10" t="s">
        <v>95</v>
      </c>
      <c r="B134" s="10" t="s">
        <v>185</v>
      </c>
      <c r="C134" s="11" t="s">
        <v>285</v>
      </c>
      <c r="D134" s="11" t="s">
        <v>841</v>
      </c>
      <c r="E134" s="12" t="s">
        <v>41</v>
      </c>
      <c r="F134" s="8"/>
      <c r="G134" s="8"/>
      <c r="H134" s="8"/>
      <c r="I134" s="8"/>
      <c r="J134" s="8"/>
      <c r="K134" s="8"/>
      <c r="L134" s="8"/>
      <c r="M134" s="8"/>
      <c r="N134" s="8"/>
      <c r="O134" s="8"/>
      <c r="P134" s="8"/>
      <c r="Q134" s="8"/>
      <c r="R134" s="8"/>
      <c r="S134" s="8"/>
      <c r="T134" s="8"/>
      <c r="U134" s="8"/>
      <c r="V134" s="8"/>
      <c r="W134" s="8"/>
      <c r="X134" s="8"/>
      <c r="Y134" s="8"/>
      <c r="Z134" s="8"/>
    </row>
    <row r="135">
      <c r="A135" s="10" t="s">
        <v>95</v>
      </c>
      <c r="B135" s="10" t="s">
        <v>185</v>
      </c>
      <c r="C135" s="11" t="s">
        <v>285</v>
      </c>
      <c r="D135" s="11" t="s">
        <v>842</v>
      </c>
      <c r="E135" s="12" t="s">
        <v>41</v>
      </c>
      <c r="F135" s="8"/>
      <c r="G135" s="8"/>
      <c r="H135" s="8"/>
      <c r="I135" s="8"/>
      <c r="J135" s="8"/>
      <c r="K135" s="8"/>
      <c r="L135" s="8"/>
      <c r="M135" s="8"/>
      <c r="N135" s="8"/>
      <c r="O135" s="8"/>
      <c r="P135" s="8"/>
      <c r="Q135" s="8"/>
      <c r="R135" s="8"/>
      <c r="S135" s="8"/>
      <c r="T135" s="8"/>
      <c r="U135" s="8"/>
      <c r="V135" s="8"/>
      <c r="W135" s="8"/>
      <c r="X135" s="8"/>
      <c r="Y135" s="8"/>
      <c r="Z135" s="8"/>
    </row>
    <row r="136">
      <c r="A136" s="10" t="s">
        <v>95</v>
      </c>
      <c r="B136" s="10" t="s">
        <v>185</v>
      </c>
      <c r="C136" s="11" t="s">
        <v>285</v>
      </c>
      <c r="D136" s="11" t="s">
        <v>843</v>
      </c>
      <c r="E136" s="12" t="s">
        <v>41</v>
      </c>
      <c r="F136" s="8"/>
      <c r="G136" s="8"/>
      <c r="H136" s="8"/>
      <c r="I136" s="8"/>
      <c r="J136" s="8"/>
      <c r="K136" s="8"/>
      <c r="L136" s="8"/>
      <c r="M136" s="8"/>
      <c r="N136" s="8"/>
      <c r="O136" s="8"/>
      <c r="P136" s="8"/>
      <c r="Q136" s="8"/>
      <c r="R136" s="8"/>
      <c r="S136" s="8"/>
      <c r="T136" s="8"/>
      <c r="U136" s="8"/>
      <c r="V136" s="8"/>
      <c r="W136" s="8"/>
      <c r="X136" s="8"/>
      <c r="Y136" s="8"/>
      <c r="Z136" s="8"/>
    </row>
    <row r="137">
      <c r="A137" s="10" t="s">
        <v>95</v>
      </c>
      <c r="B137" s="10" t="s">
        <v>31</v>
      </c>
      <c r="C137" s="11" t="s">
        <v>35</v>
      </c>
      <c r="D137" s="11" t="s">
        <v>671</v>
      </c>
      <c r="E137" s="12" t="s">
        <v>41</v>
      </c>
      <c r="F137" s="8"/>
      <c r="G137" s="8"/>
      <c r="H137" s="8"/>
      <c r="I137" s="8"/>
      <c r="J137" s="8"/>
      <c r="K137" s="8"/>
      <c r="L137" s="8"/>
      <c r="M137" s="8"/>
      <c r="N137" s="8"/>
      <c r="O137" s="8"/>
      <c r="P137" s="8"/>
      <c r="Q137" s="8"/>
      <c r="R137" s="8"/>
      <c r="S137" s="8"/>
      <c r="T137" s="8"/>
      <c r="U137" s="8"/>
      <c r="V137" s="8"/>
      <c r="W137" s="8"/>
      <c r="X137" s="8"/>
      <c r="Y137" s="8"/>
      <c r="Z137" s="8"/>
    </row>
    <row r="138">
      <c r="A138" s="10" t="s">
        <v>95</v>
      </c>
      <c r="B138" s="10" t="s">
        <v>31</v>
      </c>
      <c r="C138" s="11" t="s">
        <v>35</v>
      </c>
      <c r="D138" s="11" t="s">
        <v>672</v>
      </c>
      <c r="E138" s="12" t="s">
        <v>41</v>
      </c>
      <c r="F138" s="8"/>
      <c r="G138" s="8"/>
      <c r="H138" s="8"/>
      <c r="I138" s="8"/>
      <c r="J138" s="8"/>
      <c r="K138" s="8"/>
      <c r="L138" s="8"/>
      <c r="M138" s="8"/>
      <c r="N138" s="8"/>
      <c r="O138" s="8"/>
      <c r="P138" s="8"/>
      <c r="Q138" s="8"/>
      <c r="R138" s="8"/>
      <c r="S138" s="8"/>
      <c r="T138" s="8"/>
      <c r="U138" s="8"/>
      <c r="V138" s="8"/>
      <c r="W138" s="8"/>
      <c r="X138" s="8"/>
      <c r="Y138" s="8"/>
      <c r="Z138" s="8"/>
    </row>
    <row r="139">
      <c r="A139" s="10" t="s">
        <v>95</v>
      </c>
      <c r="B139" s="10" t="s">
        <v>31</v>
      </c>
      <c r="C139" s="11" t="s">
        <v>35</v>
      </c>
      <c r="D139" s="11" t="s">
        <v>677</v>
      </c>
      <c r="E139" s="12" t="s">
        <v>41</v>
      </c>
      <c r="F139" s="8"/>
      <c r="G139" s="8"/>
      <c r="H139" s="8"/>
      <c r="I139" s="8"/>
      <c r="J139" s="8"/>
      <c r="K139" s="8"/>
      <c r="L139" s="8"/>
      <c r="M139" s="8"/>
      <c r="N139" s="8"/>
      <c r="O139" s="8"/>
      <c r="P139" s="8"/>
      <c r="Q139" s="8"/>
      <c r="R139" s="8"/>
      <c r="S139" s="8"/>
      <c r="T139" s="8"/>
      <c r="U139" s="8"/>
      <c r="V139" s="8"/>
      <c r="W139" s="8"/>
      <c r="X139" s="8"/>
      <c r="Y139" s="8"/>
      <c r="Z139" s="8"/>
    </row>
    <row r="140">
      <c r="A140" s="61" t="s">
        <v>100</v>
      </c>
      <c r="B140" s="10" t="s">
        <v>185</v>
      </c>
      <c r="C140" s="11" t="s">
        <v>267</v>
      </c>
      <c r="D140" s="11" t="s">
        <v>844</v>
      </c>
      <c r="E140" s="12" t="s">
        <v>41</v>
      </c>
      <c r="F140" s="8"/>
      <c r="G140" s="8"/>
      <c r="H140" s="8"/>
      <c r="I140" s="8"/>
      <c r="J140" s="8"/>
      <c r="K140" s="8"/>
      <c r="L140" s="8"/>
      <c r="M140" s="8"/>
      <c r="N140" s="8"/>
      <c r="O140" s="8"/>
      <c r="P140" s="8"/>
      <c r="Q140" s="8"/>
      <c r="R140" s="8"/>
      <c r="S140" s="8"/>
      <c r="T140" s="8"/>
      <c r="U140" s="8"/>
      <c r="V140" s="8"/>
      <c r="W140" s="8"/>
      <c r="X140" s="8"/>
      <c r="Y140" s="8"/>
      <c r="Z140" s="8"/>
    </row>
    <row r="141">
      <c r="A141" s="61" t="s">
        <v>100</v>
      </c>
      <c r="B141" s="10" t="s">
        <v>294</v>
      </c>
      <c r="C141" s="11">
        <v>6103.0</v>
      </c>
      <c r="D141" s="11">
        <v>10881.0</v>
      </c>
      <c r="E141" s="12" t="s">
        <v>41</v>
      </c>
      <c r="F141" s="8"/>
      <c r="G141" s="8"/>
      <c r="H141" s="8"/>
      <c r="I141" s="8"/>
      <c r="J141" s="8"/>
      <c r="K141" s="8"/>
      <c r="L141" s="8"/>
      <c r="M141" s="8"/>
      <c r="N141" s="8"/>
      <c r="O141" s="8"/>
      <c r="P141" s="8"/>
      <c r="Q141" s="8"/>
      <c r="R141" s="8"/>
      <c r="S141" s="8"/>
      <c r="T141" s="8"/>
      <c r="U141" s="8"/>
      <c r="V141" s="8"/>
      <c r="W141" s="8"/>
      <c r="X141" s="8"/>
      <c r="Y141" s="8"/>
      <c r="Z141" s="8"/>
    </row>
    <row r="142">
      <c r="A142" s="61" t="s">
        <v>100</v>
      </c>
      <c r="B142" s="10" t="s">
        <v>294</v>
      </c>
      <c r="C142" s="11">
        <v>7000.0</v>
      </c>
      <c r="D142" s="11">
        <v>10883.0</v>
      </c>
      <c r="E142" s="12" t="s">
        <v>41</v>
      </c>
      <c r="F142" s="8"/>
      <c r="G142" s="8"/>
      <c r="H142" s="8"/>
      <c r="I142" s="8"/>
      <c r="J142" s="8"/>
      <c r="K142" s="8"/>
      <c r="L142" s="8"/>
      <c r="M142" s="8"/>
      <c r="N142" s="8"/>
      <c r="O142" s="8"/>
      <c r="P142" s="8"/>
      <c r="Q142" s="8"/>
      <c r="R142" s="8"/>
      <c r="S142" s="8"/>
      <c r="T142" s="8"/>
      <c r="U142" s="8"/>
      <c r="V142" s="8"/>
      <c r="W142" s="8"/>
      <c r="X142" s="8"/>
      <c r="Y142" s="8"/>
      <c r="Z142" s="8"/>
    </row>
    <row r="143">
      <c r="A143" s="61" t="s">
        <v>100</v>
      </c>
      <c r="B143" s="10" t="s">
        <v>185</v>
      </c>
      <c r="C143" s="11" t="s">
        <v>267</v>
      </c>
      <c r="D143" s="11" t="s">
        <v>845</v>
      </c>
      <c r="E143" s="12" t="s">
        <v>41</v>
      </c>
      <c r="F143" s="8"/>
      <c r="G143" s="8"/>
      <c r="H143" s="8"/>
      <c r="I143" s="8"/>
      <c r="J143" s="8"/>
      <c r="K143" s="8"/>
      <c r="L143" s="8"/>
      <c r="M143" s="8"/>
      <c r="N143" s="8"/>
      <c r="O143" s="8"/>
      <c r="P143" s="8"/>
      <c r="Q143" s="8"/>
      <c r="R143" s="8"/>
      <c r="S143" s="8"/>
      <c r="T143" s="8"/>
      <c r="U143" s="8"/>
      <c r="V143" s="8"/>
      <c r="W143" s="8"/>
      <c r="X143" s="8"/>
      <c r="Y143" s="8"/>
      <c r="Z143" s="8"/>
    </row>
    <row r="144">
      <c r="A144" s="61" t="s">
        <v>100</v>
      </c>
      <c r="B144" s="10" t="s">
        <v>185</v>
      </c>
      <c r="C144" s="11" t="s">
        <v>267</v>
      </c>
      <c r="D144" s="11" t="s">
        <v>846</v>
      </c>
      <c r="E144" s="12" t="s">
        <v>41</v>
      </c>
      <c r="F144" s="8"/>
      <c r="G144" s="8"/>
      <c r="H144" s="8"/>
      <c r="I144" s="8"/>
      <c r="J144" s="8"/>
      <c r="K144" s="8"/>
      <c r="L144" s="8"/>
      <c r="M144" s="8"/>
      <c r="N144" s="8"/>
      <c r="O144" s="8"/>
      <c r="P144" s="8"/>
      <c r="Q144" s="8"/>
      <c r="R144" s="8"/>
      <c r="S144" s="8"/>
      <c r="T144" s="8"/>
      <c r="U144" s="8"/>
      <c r="V144" s="8"/>
      <c r="W144" s="8"/>
      <c r="X144" s="8"/>
      <c r="Y144" s="8"/>
      <c r="Z144" s="8"/>
    </row>
    <row r="145">
      <c r="A145" s="61" t="s">
        <v>100</v>
      </c>
      <c r="B145" s="10" t="s">
        <v>185</v>
      </c>
      <c r="C145" s="11" t="s">
        <v>267</v>
      </c>
      <c r="D145" s="11" t="s">
        <v>847</v>
      </c>
      <c r="E145" s="12" t="s">
        <v>41</v>
      </c>
      <c r="F145" s="8"/>
      <c r="G145" s="8"/>
      <c r="H145" s="8"/>
      <c r="I145" s="8"/>
      <c r="J145" s="8"/>
      <c r="K145" s="8"/>
      <c r="L145" s="8"/>
      <c r="M145" s="8"/>
      <c r="N145" s="8"/>
      <c r="O145" s="8"/>
      <c r="P145" s="8"/>
      <c r="Q145" s="8"/>
      <c r="R145" s="8"/>
      <c r="S145" s="8"/>
      <c r="T145" s="8"/>
      <c r="U145" s="8"/>
      <c r="V145" s="8"/>
      <c r="W145" s="8"/>
      <c r="X145" s="8"/>
      <c r="Y145" s="8"/>
      <c r="Z145" s="8"/>
    </row>
    <row r="146">
      <c r="A146" s="61" t="s">
        <v>100</v>
      </c>
      <c r="B146" s="10" t="s">
        <v>185</v>
      </c>
      <c r="C146" s="11" t="s">
        <v>267</v>
      </c>
      <c r="D146" s="11" t="s">
        <v>848</v>
      </c>
      <c r="E146" s="12" t="s">
        <v>41</v>
      </c>
      <c r="F146" s="8"/>
      <c r="G146" s="8"/>
      <c r="H146" s="8"/>
      <c r="I146" s="8"/>
      <c r="J146" s="8"/>
      <c r="K146" s="8"/>
      <c r="L146" s="8"/>
      <c r="M146" s="8"/>
      <c r="N146" s="8"/>
      <c r="O146" s="8"/>
      <c r="P146" s="8"/>
      <c r="Q146" s="8"/>
      <c r="R146" s="8"/>
      <c r="S146" s="8"/>
      <c r="T146" s="8"/>
      <c r="U146" s="8"/>
      <c r="V146" s="8"/>
      <c r="W146" s="8"/>
      <c r="X146" s="8"/>
      <c r="Y146" s="8"/>
      <c r="Z146" s="8"/>
    </row>
    <row r="147">
      <c r="A147" s="61" t="s">
        <v>100</v>
      </c>
      <c r="B147" s="10" t="s">
        <v>185</v>
      </c>
      <c r="C147" s="11" t="s">
        <v>849</v>
      </c>
      <c r="D147" s="11" t="s">
        <v>850</v>
      </c>
      <c r="E147" s="12" t="s">
        <v>41</v>
      </c>
      <c r="F147" s="8"/>
      <c r="G147" s="8"/>
      <c r="H147" s="8"/>
      <c r="I147" s="8"/>
      <c r="J147" s="8"/>
      <c r="K147" s="8"/>
      <c r="L147" s="8"/>
      <c r="M147" s="8"/>
      <c r="N147" s="8"/>
      <c r="O147" s="8"/>
      <c r="P147" s="8"/>
      <c r="Q147" s="8"/>
      <c r="R147" s="8"/>
      <c r="S147" s="8"/>
      <c r="T147" s="8"/>
      <c r="U147" s="8"/>
      <c r="V147" s="8"/>
      <c r="W147" s="8"/>
      <c r="X147" s="8"/>
      <c r="Y147" s="8"/>
      <c r="Z147" s="8"/>
    </row>
    <row r="148">
      <c r="A148" s="61" t="s">
        <v>100</v>
      </c>
      <c r="B148" s="10" t="s">
        <v>185</v>
      </c>
      <c r="C148" s="11" t="s">
        <v>849</v>
      </c>
      <c r="D148" s="11" t="s">
        <v>851</v>
      </c>
      <c r="E148" s="12" t="s">
        <v>41</v>
      </c>
      <c r="F148" s="8"/>
      <c r="G148" s="8"/>
      <c r="H148" s="8"/>
      <c r="I148" s="8"/>
      <c r="J148" s="8"/>
      <c r="K148" s="8"/>
      <c r="L148" s="8"/>
      <c r="M148" s="8"/>
      <c r="N148" s="8"/>
      <c r="O148" s="8"/>
      <c r="P148" s="8"/>
      <c r="Q148" s="8"/>
      <c r="R148" s="8"/>
      <c r="S148" s="8"/>
      <c r="T148" s="8"/>
      <c r="U148" s="8"/>
      <c r="V148" s="8"/>
      <c r="W148" s="8"/>
      <c r="X148" s="8"/>
      <c r="Y148" s="8"/>
      <c r="Z148" s="8"/>
    </row>
    <row r="149">
      <c r="A149" s="61" t="s">
        <v>100</v>
      </c>
      <c r="B149" s="10" t="s">
        <v>185</v>
      </c>
      <c r="C149" s="11" t="s">
        <v>849</v>
      </c>
      <c r="D149" s="11" t="s">
        <v>852</v>
      </c>
      <c r="E149" s="12" t="s">
        <v>41</v>
      </c>
      <c r="F149" s="8"/>
      <c r="G149" s="8"/>
      <c r="H149" s="8"/>
      <c r="I149" s="8"/>
      <c r="J149" s="8"/>
      <c r="K149" s="8"/>
      <c r="L149" s="8"/>
      <c r="M149" s="8"/>
      <c r="N149" s="8"/>
      <c r="O149" s="8"/>
      <c r="P149" s="8"/>
      <c r="Q149" s="8"/>
      <c r="R149" s="8"/>
      <c r="S149" s="8"/>
      <c r="T149" s="8"/>
      <c r="U149" s="8"/>
      <c r="V149" s="8"/>
      <c r="W149" s="8"/>
      <c r="X149" s="8"/>
      <c r="Y149" s="8"/>
      <c r="Z149" s="8"/>
    </row>
    <row r="150">
      <c r="A150" s="61" t="s">
        <v>100</v>
      </c>
      <c r="B150" s="10" t="s">
        <v>185</v>
      </c>
      <c r="C150" s="11" t="s">
        <v>849</v>
      </c>
      <c r="D150" s="11" t="s">
        <v>853</v>
      </c>
      <c r="E150" s="12" t="s">
        <v>41</v>
      </c>
      <c r="F150" s="8"/>
      <c r="G150" s="8"/>
      <c r="H150" s="8"/>
      <c r="I150" s="8"/>
      <c r="J150" s="8"/>
      <c r="K150" s="8"/>
      <c r="L150" s="8"/>
      <c r="M150" s="8"/>
      <c r="N150" s="8"/>
      <c r="O150" s="8"/>
      <c r="P150" s="8"/>
      <c r="Q150" s="8"/>
      <c r="R150" s="8"/>
      <c r="S150" s="8"/>
      <c r="T150" s="8"/>
      <c r="U150" s="8"/>
      <c r="V150" s="8"/>
      <c r="W150" s="8"/>
      <c r="X150" s="8"/>
      <c r="Y150" s="8"/>
      <c r="Z150" s="8"/>
    </row>
    <row r="151">
      <c r="A151" s="61" t="s">
        <v>100</v>
      </c>
      <c r="B151" s="10" t="s">
        <v>185</v>
      </c>
      <c r="C151" s="11" t="s">
        <v>854</v>
      </c>
      <c r="D151" s="11" t="s">
        <v>855</v>
      </c>
      <c r="E151" s="12" t="s">
        <v>41</v>
      </c>
      <c r="F151" s="8"/>
      <c r="G151" s="8"/>
      <c r="H151" s="8"/>
      <c r="I151" s="8"/>
      <c r="J151" s="8"/>
      <c r="K151" s="8"/>
      <c r="L151" s="8"/>
      <c r="M151" s="8"/>
      <c r="N151" s="8"/>
      <c r="O151" s="8"/>
      <c r="P151" s="8"/>
      <c r="Q151" s="8"/>
      <c r="R151" s="8"/>
      <c r="S151" s="8"/>
      <c r="T151" s="8"/>
      <c r="U151" s="8"/>
      <c r="V151" s="8"/>
      <c r="W151" s="8"/>
      <c r="X151" s="8"/>
      <c r="Y151" s="8"/>
      <c r="Z151" s="8"/>
    </row>
    <row r="152">
      <c r="A152" s="61" t="s">
        <v>100</v>
      </c>
      <c r="B152" s="10" t="s">
        <v>185</v>
      </c>
      <c r="C152" s="11" t="s">
        <v>854</v>
      </c>
      <c r="D152" s="11" t="s">
        <v>856</v>
      </c>
      <c r="E152" s="12" t="s">
        <v>41</v>
      </c>
      <c r="F152" s="8"/>
      <c r="G152" s="8"/>
      <c r="H152" s="8"/>
      <c r="I152" s="8"/>
      <c r="J152" s="8"/>
      <c r="K152" s="8"/>
      <c r="L152" s="8"/>
      <c r="M152" s="8"/>
      <c r="N152" s="8"/>
      <c r="O152" s="8"/>
      <c r="P152" s="8"/>
      <c r="Q152" s="8"/>
      <c r="R152" s="8"/>
      <c r="S152" s="8"/>
      <c r="T152" s="8"/>
      <c r="U152" s="8"/>
      <c r="V152" s="8"/>
      <c r="W152" s="8"/>
      <c r="X152" s="8"/>
      <c r="Y152" s="8"/>
      <c r="Z152" s="8"/>
    </row>
    <row r="153">
      <c r="A153" s="61" t="s">
        <v>100</v>
      </c>
      <c r="B153" s="10" t="s">
        <v>185</v>
      </c>
      <c r="C153" s="11" t="s">
        <v>186</v>
      </c>
      <c r="D153" s="11" t="s">
        <v>857</v>
      </c>
      <c r="E153" s="12" t="s">
        <v>41</v>
      </c>
      <c r="F153" s="8"/>
      <c r="G153" s="8"/>
      <c r="H153" s="8"/>
      <c r="I153" s="8"/>
      <c r="J153" s="8"/>
      <c r="K153" s="8"/>
      <c r="L153" s="8"/>
      <c r="M153" s="8"/>
      <c r="N153" s="8"/>
      <c r="O153" s="8"/>
      <c r="P153" s="8"/>
      <c r="Q153" s="8"/>
      <c r="R153" s="8"/>
      <c r="S153" s="8"/>
      <c r="T153" s="8"/>
      <c r="U153" s="8"/>
      <c r="V153" s="8"/>
      <c r="W153" s="8"/>
      <c r="X153" s="8"/>
      <c r="Y153" s="8"/>
      <c r="Z153" s="8"/>
    </row>
    <row r="154">
      <c r="A154" s="61" t="s">
        <v>100</v>
      </c>
      <c r="B154" s="10" t="s">
        <v>185</v>
      </c>
      <c r="C154" s="11" t="s">
        <v>186</v>
      </c>
      <c r="D154" s="11" t="s">
        <v>858</v>
      </c>
      <c r="E154" s="12" t="s">
        <v>41</v>
      </c>
      <c r="F154" s="8"/>
      <c r="G154" s="8"/>
      <c r="H154" s="8"/>
      <c r="I154" s="8"/>
      <c r="J154" s="8"/>
      <c r="K154" s="8"/>
      <c r="L154" s="8"/>
      <c r="M154" s="8"/>
      <c r="N154" s="8"/>
      <c r="O154" s="8"/>
      <c r="P154" s="8"/>
      <c r="Q154" s="8"/>
      <c r="R154" s="8"/>
      <c r="S154" s="8"/>
      <c r="T154" s="8"/>
      <c r="U154" s="8"/>
      <c r="V154" s="8"/>
      <c r="W154" s="8"/>
      <c r="X154" s="8"/>
      <c r="Y154" s="8"/>
      <c r="Z154" s="8"/>
    </row>
    <row r="155">
      <c r="A155" s="61" t="s">
        <v>100</v>
      </c>
      <c r="B155" s="10" t="s">
        <v>185</v>
      </c>
      <c r="C155" s="11" t="s">
        <v>186</v>
      </c>
      <c r="D155" s="11" t="s">
        <v>859</v>
      </c>
      <c r="E155" s="12" t="s">
        <v>41</v>
      </c>
      <c r="F155" s="8"/>
      <c r="G155" s="8"/>
      <c r="H155" s="8"/>
      <c r="I155" s="8"/>
      <c r="J155" s="8"/>
      <c r="K155" s="8"/>
      <c r="L155" s="8"/>
      <c r="M155" s="8"/>
      <c r="N155" s="8"/>
      <c r="O155" s="8"/>
      <c r="P155" s="8"/>
      <c r="Q155" s="8"/>
      <c r="R155" s="8"/>
      <c r="S155" s="8"/>
      <c r="T155" s="8"/>
      <c r="U155" s="8"/>
      <c r="V155" s="8"/>
      <c r="W155" s="8"/>
      <c r="X155" s="8"/>
      <c r="Y155" s="8"/>
      <c r="Z155" s="8"/>
    </row>
    <row r="156">
      <c r="A156" s="61" t="s">
        <v>100</v>
      </c>
      <c r="B156" s="10" t="s">
        <v>185</v>
      </c>
      <c r="C156" s="11" t="s">
        <v>186</v>
      </c>
      <c r="D156" s="11" t="s">
        <v>860</v>
      </c>
      <c r="E156" s="12" t="s">
        <v>41</v>
      </c>
      <c r="F156" s="8"/>
      <c r="G156" s="8"/>
      <c r="H156" s="8"/>
      <c r="I156" s="8"/>
      <c r="J156" s="8"/>
      <c r="K156" s="8"/>
      <c r="L156" s="8"/>
      <c r="M156" s="8"/>
      <c r="N156" s="8"/>
      <c r="O156" s="8"/>
      <c r="P156" s="8"/>
      <c r="Q156" s="8"/>
      <c r="R156" s="8"/>
      <c r="S156" s="8"/>
      <c r="T156" s="8"/>
      <c r="U156" s="8"/>
      <c r="V156" s="8"/>
      <c r="W156" s="8"/>
      <c r="X156" s="8"/>
      <c r="Y156" s="8"/>
      <c r="Z156" s="8"/>
    </row>
    <row r="157">
      <c r="A157" s="61" t="s">
        <v>100</v>
      </c>
      <c r="B157" s="10" t="s">
        <v>185</v>
      </c>
      <c r="C157" s="11" t="s">
        <v>186</v>
      </c>
      <c r="D157" s="11" t="s">
        <v>861</v>
      </c>
      <c r="E157" s="12" t="s">
        <v>41</v>
      </c>
      <c r="F157" s="8"/>
      <c r="G157" s="8"/>
      <c r="H157" s="8"/>
      <c r="I157" s="8"/>
      <c r="J157" s="8"/>
      <c r="K157" s="8"/>
      <c r="L157" s="8"/>
      <c r="M157" s="8"/>
      <c r="N157" s="8"/>
      <c r="O157" s="8"/>
      <c r="P157" s="8"/>
      <c r="Q157" s="8"/>
      <c r="R157" s="8"/>
      <c r="S157" s="8"/>
      <c r="T157" s="8"/>
      <c r="U157" s="8"/>
      <c r="V157" s="8"/>
      <c r="W157" s="8"/>
      <c r="X157" s="8"/>
      <c r="Y157" s="8"/>
      <c r="Z157" s="8"/>
    </row>
    <row r="158">
      <c r="A158" s="61" t="s">
        <v>100</v>
      </c>
      <c r="B158" s="10" t="s">
        <v>185</v>
      </c>
      <c r="C158" s="11" t="s">
        <v>280</v>
      </c>
      <c r="D158" s="11" t="s">
        <v>862</v>
      </c>
      <c r="E158" s="12" t="s">
        <v>41</v>
      </c>
      <c r="F158" s="8"/>
      <c r="G158" s="8"/>
      <c r="H158" s="8"/>
      <c r="I158" s="8"/>
      <c r="J158" s="8"/>
      <c r="K158" s="8"/>
      <c r="L158" s="8"/>
      <c r="M158" s="8"/>
      <c r="N158" s="8"/>
      <c r="O158" s="8"/>
      <c r="P158" s="8"/>
      <c r="Q158" s="8"/>
      <c r="R158" s="8"/>
      <c r="S158" s="8"/>
      <c r="T158" s="8"/>
      <c r="U158" s="8"/>
      <c r="V158" s="8"/>
      <c r="W158" s="8"/>
      <c r="X158" s="8"/>
      <c r="Y158" s="8"/>
      <c r="Z158" s="8"/>
    </row>
    <row r="159">
      <c r="A159" s="61" t="s">
        <v>100</v>
      </c>
      <c r="B159" s="10" t="s">
        <v>185</v>
      </c>
      <c r="C159" s="11" t="s">
        <v>280</v>
      </c>
      <c r="D159" s="11" t="s">
        <v>737</v>
      </c>
      <c r="E159" s="12" t="s">
        <v>41</v>
      </c>
      <c r="F159" s="8"/>
      <c r="G159" s="8"/>
      <c r="H159" s="8"/>
      <c r="I159" s="8"/>
      <c r="J159" s="8"/>
      <c r="K159" s="8"/>
      <c r="L159" s="8"/>
      <c r="M159" s="8"/>
      <c r="N159" s="8"/>
      <c r="O159" s="8"/>
      <c r="P159" s="8"/>
      <c r="Q159" s="8"/>
      <c r="R159" s="8"/>
      <c r="S159" s="8"/>
      <c r="T159" s="8"/>
      <c r="U159" s="8"/>
      <c r="V159" s="8"/>
      <c r="W159" s="8"/>
      <c r="X159" s="8"/>
      <c r="Y159" s="8"/>
      <c r="Z159" s="8"/>
    </row>
    <row r="160">
      <c r="A160" s="61" t="s">
        <v>100</v>
      </c>
      <c r="B160" s="10" t="s">
        <v>185</v>
      </c>
      <c r="C160" s="11" t="s">
        <v>280</v>
      </c>
      <c r="D160" s="11" t="s">
        <v>863</v>
      </c>
      <c r="E160" s="12" t="s">
        <v>41</v>
      </c>
      <c r="F160" s="8"/>
      <c r="G160" s="8"/>
      <c r="H160" s="8"/>
      <c r="I160" s="8"/>
      <c r="J160" s="8"/>
      <c r="K160" s="8"/>
      <c r="L160" s="8"/>
      <c r="M160" s="8"/>
      <c r="N160" s="8"/>
      <c r="O160" s="8"/>
      <c r="P160" s="8"/>
      <c r="Q160" s="8"/>
      <c r="R160" s="8"/>
      <c r="S160" s="8"/>
      <c r="T160" s="8"/>
      <c r="U160" s="8"/>
      <c r="V160" s="8"/>
      <c r="W160" s="8"/>
      <c r="X160" s="8"/>
      <c r="Y160" s="8"/>
      <c r="Z160" s="8"/>
    </row>
    <row r="161">
      <c r="A161" s="61" t="s">
        <v>100</v>
      </c>
      <c r="B161" s="10" t="s">
        <v>185</v>
      </c>
      <c r="C161" s="11" t="s">
        <v>864</v>
      </c>
      <c r="D161" s="11" t="s">
        <v>865</v>
      </c>
      <c r="E161" s="12" t="s">
        <v>41</v>
      </c>
      <c r="F161" s="8"/>
      <c r="G161" s="8"/>
      <c r="H161" s="8"/>
      <c r="I161" s="8"/>
      <c r="J161" s="8"/>
      <c r="K161" s="8"/>
      <c r="L161" s="8"/>
      <c r="M161" s="8"/>
      <c r="N161" s="8"/>
      <c r="O161" s="8"/>
      <c r="P161" s="8"/>
      <c r="Q161" s="8"/>
      <c r="R161" s="8"/>
      <c r="S161" s="8"/>
      <c r="T161" s="8"/>
      <c r="U161" s="8"/>
      <c r="V161" s="8"/>
      <c r="W161" s="8"/>
      <c r="X161" s="8"/>
      <c r="Y161" s="8"/>
      <c r="Z161" s="8"/>
    </row>
    <row r="162">
      <c r="A162" s="61" t="s">
        <v>100</v>
      </c>
      <c r="B162" s="10" t="s">
        <v>185</v>
      </c>
      <c r="C162" s="11" t="s">
        <v>864</v>
      </c>
      <c r="D162" s="11" t="s">
        <v>866</v>
      </c>
      <c r="E162" s="12" t="s">
        <v>41</v>
      </c>
      <c r="F162" s="8"/>
      <c r="G162" s="8"/>
      <c r="H162" s="8"/>
      <c r="I162" s="8"/>
      <c r="J162" s="8"/>
      <c r="K162" s="8"/>
      <c r="L162" s="8"/>
      <c r="M162" s="8"/>
      <c r="N162" s="8"/>
      <c r="O162" s="8"/>
      <c r="P162" s="8"/>
      <c r="Q162" s="8"/>
      <c r="R162" s="8"/>
      <c r="S162" s="8"/>
      <c r="T162" s="8"/>
      <c r="U162" s="8"/>
      <c r="V162" s="8"/>
      <c r="W162" s="8"/>
      <c r="X162" s="8"/>
      <c r="Y162" s="8"/>
      <c r="Z162" s="8"/>
    </row>
    <row r="163">
      <c r="A163" s="61" t="s">
        <v>100</v>
      </c>
      <c r="B163" s="10" t="s">
        <v>185</v>
      </c>
      <c r="C163" s="11" t="s">
        <v>864</v>
      </c>
      <c r="D163" s="11" t="s">
        <v>867</v>
      </c>
      <c r="E163" s="12" t="s">
        <v>41</v>
      </c>
      <c r="F163" s="8"/>
      <c r="G163" s="8"/>
      <c r="H163" s="8"/>
      <c r="I163" s="8"/>
      <c r="J163" s="8"/>
      <c r="K163" s="8"/>
      <c r="L163" s="8"/>
      <c r="M163" s="8"/>
      <c r="N163" s="8"/>
      <c r="O163" s="8"/>
      <c r="P163" s="8"/>
      <c r="Q163" s="8"/>
      <c r="R163" s="8"/>
      <c r="S163" s="8"/>
      <c r="T163" s="8"/>
      <c r="U163" s="8"/>
      <c r="V163" s="8"/>
      <c r="W163" s="8"/>
      <c r="X163" s="8"/>
      <c r="Y163" s="8"/>
      <c r="Z163" s="8"/>
    </row>
    <row r="164">
      <c r="A164" s="61" t="s">
        <v>100</v>
      </c>
      <c r="B164" s="10" t="s">
        <v>185</v>
      </c>
      <c r="C164" s="11" t="s">
        <v>864</v>
      </c>
      <c r="D164" s="11" t="s">
        <v>868</v>
      </c>
      <c r="E164" s="12" t="s">
        <v>41</v>
      </c>
      <c r="F164" s="8"/>
      <c r="G164" s="8"/>
      <c r="H164" s="8"/>
      <c r="I164" s="8"/>
      <c r="J164" s="8"/>
      <c r="K164" s="8"/>
      <c r="L164" s="8"/>
      <c r="M164" s="8"/>
      <c r="N164" s="8"/>
      <c r="O164" s="8"/>
      <c r="P164" s="8"/>
      <c r="Q164" s="8"/>
      <c r="R164" s="8"/>
      <c r="S164" s="8"/>
      <c r="T164" s="8"/>
      <c r="U164" s="8"/>
      <c r="V164" s="8"/>
      <c r="W164" s="8"/>
      <c r="X164" s="8"/>
      <c r="Y164" s="8"/>
      <c r="Z164" s="8"/>
    </row>
    <row r="165">
      <c r="A165" s="61" t="s">
        <v>100</v>
      </c>
      <c r="B165" s="10" t="s">
        <v>185</v>
      </c>
      <c r="C165" s="11" t="s">
        <v>864</v>
      </c>
      <c r="D165" s="11" t="s">
        <v>869</v>
      </c>
      <c r="E165" s="12" t="s">
        <v>41</v>
      </c>
      <c r="F165" s="8"/>
      <c r="G165" s="8"/>
      <c r="H165" s="8"/>
      <c r="I165" s="8"/>
      <c r="J165" s="8"/>
      <c r="K165" s="8"/>
      <c r="L165" s="8"/>
      <c r="M165" s="8"/>
      <c r="N165" s="8"/>
      <c r="O165" s="8"/>
      <c r="P165" s="8"/>
      <c r="Q165" s="8"/>
      <c r="R165" s="8"/>
      <c r="S165" s="8"/>
      <c r="T165" s="8"/>
      <c r="U165" s="8"/>
      <c r="V165" s="8"/>
      <c r="W165" s="8"/>
      <c r="X165" s="8"/>
      <c r="Y165" s="8"/>
      <c r="Z165" s="8"/>
    </row>
    <row r="166">
      <c r="A166" s="61" t="s">
        <v>100</v>
      </c>
      <c r="B166" s="10" t="s">
        <v>185</v>
      </c>
      <c r="C166" s="11" t="s">
        <v>285</v>
      </c>
      <c r="D166" s="11" t="s">
        <v>870</v>
      </c>
      <c r="E166" s="12" t="s">
        <v>41</v>
      </c>
      <c r="F166" s="8"/>
      <c r="G166" s="8"/>
      <c r="H166" s="8"/>
      <c r="I166" s="8"/>
      <c r="J166" s="8"/>
      <c r="K166" s="8"/>
      <c r="L166" s="8"/>
      <c r="M166" s="8"/>
      <c r="N166" s="8"/>
      <c r="O166" s="8"/>
      <c r="P166" s="8"/>
      <c r="Q166" s="8"/>
      <c r="R166" s="8"/>
      <c r="S166" s="8"/>
      <c r="T166" s="8"/>
      <c r="U166" s="8"/>
      <c r="V166" s="8"/>
      <c r="W166" s="8"/>
      <c r="X166" s="8"/>
      <c r="Y166" s="8"/>
      <c r="Z166" s="8"/>
    </row>
    <row r="167">
      <c r="A167" s="61" t="s">
        <v>100</v>
      </c>
      <c r="B167" s="10" t="s">
        <v>185</v>
      </c>
      <c r="C167" s="11" t="s">
        <v>285</v>
      </c>
      <c r="D167" s="11" t="s">
        <v>871</v>
      </c>
      <c r="E167" s="12" t="s">
        <v>41</v>
      </c>
      <c r="F167" s="8"/>
      <c r="G167" s="8"/>
      <c r="H167" s="8"/>
      <c r="I167" s="8"/>
      <c r="J167" s="8"/>
      <c r="K167" s="8"/>
      <c r="L167" s="8"/>
      <c r="M167" s="8"/>
      <c r="N167" s="8"/>
      <c r="O167" s="8"/>
      <c r="P167" s="8"/>
      <c r="Q167" s="8"/>
      <c r="R167" s="8"/>
      <c r="S167" s="8"/>
      <c r="T167" s="8"/>
      <c r="U167" s="8"/>
      <c r="V167" s="8"/>
      <c r="W167" s="8"/>
      <c r="X167" s="8"/>
      <c r="Y167" s="8"/>
      <c r="Z167" s="8"/>
    </row>
    <row r="168">
      <c r="A168" s="61" t="s">
        <v>100</v>
      </c>
      <c r="B168" s="10" t="s">
        <v>185</v>
      </c>
      <c r="C168" s="11" t="s">
        <v>285</v>
      </c>
      <c r="D168" s="11" t="s">
        <v>872</v>
      </c>
      <c r="E168" s="12" t="s">
        <v>41</v>
      </c>
      <c r="F168" s="8"/>
      <c r="G168" s="8"/>
      <c r="H168" s="8"/>
      <c r="I168" s="8"/>
      <c r="J168" s="8"/>
      <c r="K168" s="8"/>
      <c r="L168" s="8"/>
      <c r="M168" s="8"/>
      <c r="N168" s="8"/>
      <c r="O168" s="8"/>
      <c r="P168" s="8"/>
      <c r="Q168" s="8"/>
      <c r="R168" s="8"/>
      <c r="S168" s="8"/>
      <c r="T168" s="8"/>
      <c r="U168" s="8"/>
      <c r="V168" s="8"/>
      <c r="W168" s="8"/>
      <c r="X168" s="8"/>
      <c r="Y168" s="8"/>
      <c r="Z168" s="8"/>
    </row>
    <row r="169">
      <c r="A169" s="61" t="s">
        <v>100</v>
      </c>
      <c r="B169" s="10" t="s">
        <v>185</v>
      </c>
      <c r="C169" s="11" t="s">
        <v>285</v>
      </c>
      <c r="D169" s="11" t="s">
        <v>873</v>
      </c>
      <c r="E169" s="12" t="s">
        <v>41</v>
      </c>
      <c r="F169" s="8"/>
      <c r="G169" s="8"/>
      <c r="H169" s="8"/>
      <c r="I169" s="8"/>
      <c r="J169" s="8"/>
      <c r="K169" s="8"/>
      <c r="L169" s="8"/>
      <c r="M169" s="8"/>
      <c r="N169" s="8"/>
      <c r="O169" s="8"/>
      <c r="P169" s="8"/>
      <c r="Q169" s="8"/>
      <c r="R169" s="8"/>
      <c r="S169" s="8"/>
      <c r="T169" s="8"/>
      <c r="U169" s="8"/>
      <c r="V169" s="8"/>
      <c r="W169" s="8"/>
      <c r="X169" s="8"/>
      <c r="Y169" s="8"/>
      <c r="Z169" s="8"/>
    </row>
    <row r="170">
      <c r="A170" s="61" t="s">
        <v>100</v>
      </c>
      <c r="B170" s="10" t="s">
        <v>185</v>
      </c>
      <c r="C170" s="11" t="s">
        <v>285</v>
      </c>
      <c r="D170" s="11" t="s">
        <v>874</v>
      </c>
      <c r="E170" s="12" t="s">
        <v>41</v>
      </c>
      <c r="F170" s="8"/>
      <c r="G170" s="8"/>
      <c r="H170" s="8"/>
      <c r="I170" s="8"/>
      <c r="J170" s="8"/>
      <c r="K170" s="8"/>
      <c r="L170" s="8"/>
      <c r="M170" s="8"/>
      <c r="N170" s="8"/>
      <c r="O170" s="8"/>
      <c r="P170" s="8"/>
      <c r="Q170" s="8"/>
      <c r="R170" s="8"/>
      <c r="S170" s="8"/>
      <c r="T170" s="8"/>
      <c r="U170" s="8"/>
      <c r="V170" s="8"/>
      <c r="W170" s="8"/>
      <c r="X170" s="8"/>
      <c r="Y170" s="8"/>
      <c r="Z170" s="8"/>
    </row>
    <row r="171">
      <c r="A171" s="61" t="s">
        <v>100</v>
      </c>
      <c r="B171" s="10" t="s">
        <v>185</v>
      </c>
      <c r="C171" s="11" t="s">
        <v>285</v>
      </c>
      <c r="D171" s="11" t="s">
        <v>875</v>
      </c>
      <c r="E171" s="12" t="s">
        <v>41</v>
      </c>
      <c r="F171" s="8"/>
      <c r="G171" s="8"/>
      <c r="H171" s="8"/>
      <c r="I171" s="8"/>
      <c r="J171" s="8"/>
      <c r="K171" s="8"/>
      <c r="L171" s="8"/>
      <c r="M171" s="8"/>
      <c r="N171" s="8"/>
      <c r="O171" s="8"/>
      <c r="P171" s="8"/>
      <c r="Q171" s="8"/>
      <c r="R171" s="8"/>
      <c r="S171" s="8"/>
      <c r="T171" s="8"/>
      <c r="U171" s="8"/>
      <c r="V171" s="8"/>
      <c r="W171" s="8"/>
      <c r="X171" s="8"/>
      <c r="Y171" s="8"/>
      <c r="Z171" s="8"/>
    </row>
    <row r="172">
      <c r="A172" s="61" t="s">
        <v>100</v>
      </c>
      <c r="B172" s="10" t="s">
        <v>185</v>
      </c>
      <c r="C172" s="11" t="s">
        <v>285</v>
      </c>
      <c r="D172" s="11" t="s">
        <v>876</v>
      </c>
      <c r="E172" s="12" t="s">
        <v>41</v>
      </c>
      <c r="F172" s="8"/>
      <c r="G172" s="8"/>
      <c r="H172" s="8"/>
      <c r="I172" s="8"/>
      <c r="J172" s="8"/>
      <c r="K172" s="8"/>
      <c r="L172" s="8"/>
      <c r="M172" s="8"/>
      <c r="N172" s="8"/>
      <c r="O172" s="8"/>
      <c r="P172" s="8"/>
      <c r="Q172" s="8"/>
      <c r="R172" s="8"/>
      <c r="S172" s="8"/>
      <c r="T172" s="8"/>
      <c r="U172" s="8"/>
      <c r="V172" s="8"/>
      <c r="W172" s="8"/>
      <c r="X172" s="8"/>
      <c r="Y172" s="8"/>
      <c r="Z172" s="8"/>
    </row>
    <row r="173">
      <c r="A173" s="61" t="s">
        <v>100</v>
      </c>
      <c r="B173" s="10" t="s">
        <v>185</v>
      </c>
      <c r="C173" s="11" t="s">
        <v>285</v>
      </c>
      <c r="D173" s="11" t="s">
        <v>877</v>
      </c>
      <c r="E173" s="12" t="s">
        <v>41</v>
      </c>
      <c r="F173" s="8"/>
      <c r="G173" s="8"/>
      <c r="H173" s="8"/>
      <c r="I173" s="8"/>
      <c r="J173" s="8"/>
      <c r="K173" s="8"/>
      <c r="L173" s="8"/>
      <c r="M173" s="8"/>
      <c r="N173" s="8"/>
      <c r="O173" s="8"/>
      <c r="P173" s="8"/>
      <c r="Q173" s="8"/>
      <c r="R173" s="8"/>
      <c r="S173" s="8"/>
      <c r="T173" s="8"/>
      <c r="U173" s="8"/>
      <c r="V173" s="8"/>
      <c r="W173" s="8"/>
      <c r="X173" s="8"/>
      <c r="Y173" s="8"/>
      <c r="Z173" s="8"/>
    </row>
    <row r="174">
      <c r="A174" s="61" t="s">
        <v>100</v>
      </c>
      <c r="B174" s="10" t="s">
        <v>185</v>
      </c>
      <c r="C174" s="11" t="s">
        <v>285</v>
      </c>
      <c r="D174" s="11" t="s">
        <v>878</v>
      </c>
      <c r="E174" s="12" t="s">
        <v>41</v>
      </c>
      <c r="F174" s="8"/>
      <c r="G174" s="8"/>
      <c r="H174" s="8"/>
      <c r="I174" s="8"/>
      <c r="J174" s="8"/>
      <c r="K174" s="8"/>
      <c r="L174" s="8"/>
      <c r="M174" s="8"/>
      <c r="N174" s="8"/>
      <c r="O174" s="8"/>
      <c r="P174" s="8"/>
      <c r="Q174" s="8"/>
      <c r="R174" s="8"/>
      <c r="S174" s="8"/>
      <c r="T174" s="8"/>
      <c r="U174" s="8"/>
      <c r="V174" s="8"/>
      <c r="W174" s="8"/>
      <c r="X174" s="8"/>
      <c r="Y174" s="8"/>
      <c r="Z174" s="8"/>
    </row>
    <row r="175">
      <c r="A175" s="61" t="s">
        <v>100</v>
      </c>
      <c r="B175" s="10" t="s">
        <v>185</v>
      </c>
      <c r="C175" s="11" t="s">
        <v>879</v>
      </c>
      <c r="D175" s="11">
        <v>904300.0</v>
      </c>
      <c r="E175" s="12" t="s">
        <v>41</v>
      </c>
      <c r="F175" s="8"/>
      <c r="G175" s="8"/>
      <c r="H175" s="8"/>
      <c r="I175" s="8"/>
      <c r="J175" s="8"/>
      <c r="K175" s="8"/>
      <c r="L175" s="8"/>
      <c r="M175" s="8"/>
      <c r="N175" s="8"/>
      <c r="O175" s="8"/>
      <c r="P175" s="8"/>
      <c r="Q175" s="8"/>
      <c r="R175" s="8"/>
      <c r="S175" s="8"/>
      <c r="T175" s="8"/>
      <c r="U175" s="8"/>
      <c r="V175" s="8"/>
      <c r="W175" s="8"/>
      <c r="X175" s="8"/>
      <c r="Y175" s="8"/>
      <c r="Z175" s="8"/>
    </row>
    <row r="176">
      <c r="A176" s="61" t="s">
        <v>100</v>
      </c>
      <c r="B176" s="10" t="s">
        <v>880</v>
      </c>
      <c r="C176" s="11" t="s">
        <v>881</v>
      </c>
      <c r="D176" s="11">
        <v>7045015.0</v>
      </c>
      <c r="E176" s="12" t="s">
        <v>41</v>
      </c>
      <c r="F176" s="8"/>
      <c r="G176" s="8"/>
      <c r="H176" s="8"/>
      <c r="I176" s="8"/>
      <c r="J176" s="8"/>
      <c r="K176" s="8"/>
      <c r="L176" s="8"/>
      <c r="M176" s="8"/>
      <c r="N176" s="8"/>
      <c r="O176" s="8"/>
      <c r="P176" s="8"/>
      <c r="Q176" s="8"/>
      <c r="R176" s="8"/>
      <c r="S176" s="8"/>
      <c r="T176" s="8"/>
      <c r="U176" s="8"/>
      <c r="V176" s="8"/>
      <c r="W176" s="8"/>
      <c r="X176" s="8"/>
      <c r="Y176" s="8"/>
      <c r="Z176" s="8"/>
    </row>
    <row r="177">
      <c r="A177" s="61" t="s">
        <v>100</v>
      </c>
      <c r="B177" s="10" t="s">
        <v>31</v>
      </c>
      <c r="C177" s="11" t="s">
        <v>35</v>
      </c>
      <c r="D177" s="11" t="s">
        <v>707</v>
      </c>
      <c r="E177" s="12" t="s">
        <v>41</v>
      </c>
      <c r="F177" s="8"/>
      <c r="G177" s="8"/>
      <c r="H177" s="8"/>
      <c r="I177" s="8"/>
      <c r="J177" s="8"/>
      <c r="K177" s="8"/>
      <c r="L177" s="8"/>
      <c r="M177" s="8"/>
      <c r="N177" s="8"/>
      <c r="O177" s="8"/>
      <c r="P177" s="8"/>
      <c r="Q177" s="8"/>
      <c r="R177" s="8"/>
      <c r="S177" s="8"/>
      <c r="T177" s="8"/>
      <c r="U177" s="8"/>
      <c r="V177" s="8"/>
      <c r="W177" s="8"/>
      <c r="X177" s="8"/>
      <c r="Y177" s="8"/>
      <c r="Z177" s="8"/>
    </row>
    <row r="178">
      <c r="A178" s="61" t="s">
        <v>100</v>
      </c>
      <c r="B178" s="10" t="s">
        <v>31</v>
      </c>
      <c r="C178" s="11" t="s">
        <v>35</v>
      </c>
      <c r="D178" s="11" t="s">
        <v>477</v>
      </c>
      <c r="E178" s="12" t="s">
        <v>41</v>
      </c>
      <c r="F178" s="8"/>
      <c r="G178" s="8"/>
      <c r="H178" s="8"/>
      <c r="I178" s="8"/>
      <c r="J178" s="8"/>
      <c r="K178" s="8"/>
      <c r="L178" s="8"/>
      <c r="M178" s="8"/>
      <c r="N178" s="8"/>
      <c r="O178" s="8"/>
      <c r="P178" s="8"/>
      <c r="Q178" s="8"/>
      <c r="R178" s="8"/>
      <c r="S178" s="8"/>
      <c r="T178" s="8"/>
      <c r="U178" s="8"/>
      <c r="V178" s="8"/>
      <c r="W178" s="8"/>
      <c r="X178" s="8"/>
      <c r="Y178" s="8"/>
      <c r="Z178" s="8"/>
    </row>
    <row r="179">
      <c r="A179" s="61" t="s">
        <v>100</v>
      </c>
      <c r="B179" s="10" t="s">
        <v>31</v>
      </c>
      <c r="C179" s="11" t="s">
        <v>35</v>
      </c>
      <c r="D179" s="11" t="s">
        <v>337</v>
      </c>
      <c r="E179" s="12" t="s">
        <v>41</v>
      </c>
      <c r="F179" s="8"/>
      <c r="G179" s="8"/>
      <c r="H179" s="8"/>
      <c r="I179" s="8"/>
      <c r="J179" s="8"/>
      <c r="K179" s="8"/>
      <c r="L179" s="8"/>
      <c r="M179" s="8"/>
      <c r="N179" s="8"/>
      <c r="O179" s="8"/>
      <c r="P179" s="8"/>
      <c r="Q179" s="8"/>
      <c r="R179" s="8"/>
      <c r="S179" s="8"/>
      <c r="T179" s="8"/>
      <c r="U179" s="8"/>
      <c r="V179" s="8"/>
      <c r="W179" s="8"/>
      <c r="X179" s="8"/>
      <c r="Y179" s="8"/>
      <c r="Z179" s="8"/>
    </row>
    <row r="180">
      <c r="A180" s="61" t="s">
        <v>100</v>
      </c>
      <c r="B180" s="10" t="s">
        <v>31</v>
      </c>
      <c r="C180" s="11" t="s">
        <v>35</v>
      </c>
      <c r="D180" s="11" t="s">
        <v>483</v>
      </c>
      <c r="E180" s="12" t="s">
        <v>41</v>
      </c>
      <c r="F180" s="8"/>
      <c r="G180" s="8"/>
      <c r="H180" s="8"/>
      <c r="I180" s="8"/>
      <c r="J180" s="8"/>
      <c r="K180" s="8"/>
      <c r="L180" s="8"/>
      <c r="M180" s="8"/>
      <c r="N180" s="8"/>
      <c r="O180" s="8"/>
      <c r="P180" s="8"/>
      <c r="Q180" s="8"/>
      <c r="R180" s="8"/>
      <c r="S180" s="8"/>
      <c r="T180" s="8"/>
      <c r="U180" s="8"/>
      <c r="V180" s="8"/>
      <c r="W180" s="8"/>
      <c r="X180" s="8"/>
      <c r="Y180" s="8"/>
      <c r="Z180" s="8"/>
    </row>
    <row r="181">
      <c r="A181" s="61" t="s">
        <v>100</v>
      </c>
      <c r="B181" s="10" t="s">
        <v>31</v>
      </c>
      <c r="C181" s="11" t="s">
        <v>35</v>
      </c>
      <c r="D181" s="11" t="s">
        <v>882</v>
      </c>
      <c r="E181" s="12" t="s">
        <v>41</v>
      </c>
      <c r="F181" s="8"/>
      <c r="G181" s="8"/>
      <c r="H181" s="8"/>
      <c r="I181" s="8"/>
      <c r="J181" s="8"/>
      <c r="K181" s="8"/>
      <c r="L181" s="8"/>
      <c r="M181" s="8"/>
      <c r="N181" s="8"/>
      <c r="O181" s="8"/>
      <c r="P181" s="8"/>
      <c r="Q181" s="8"/>
      <c r="R181" s="8"/>
      <c r="S181" s="8"/>
      <c r="T181" s="8"/>
      <c r="U181" s="8"/>
      <c r="V181" s="8"/>
      <c r="W181" s="8"/>
      <c r="X181" s="8"/>
      <c r="Y181" s="8"/>
      <c r="Z181" s="8"/>
    </row>
    <row r="182">
      <c r="A182" s="61" t="s">
        <v>100</v>
      </c>
      <c r="B182" s="10" t="s">
        <v>31</v>
      </c>
      <c r="C182" s="11" t="s">
        <v>35</v>
      </c>
      <c r="D182" s="11" t="s">
        <v>883</v>
      </c>
      <c r="E182" s="12" t="s">
        <v>41</v>
      </c>
      <c r="F182" s="8"/>
      <c r="G182" s="8"/>
      <c r="H182" s="8"/>
      <c r="I182" s="8"/>
      <c r="J182" s="8"/>
      <c r="K182" s="8"/>
      <c r="L182" s="8"/>
      <c r="M182" s="8"/>
      <c r="N182" s="8"/>
      <c r="O182" s="8"/>
      <c r="P182" s="8"/>
      <c r="Q182" s="8"/>
      <c r="R182" s="8"/>
      <c r="S182" s="8"/>
      <c r="T182" s="8"/>
      <c r="U182" s="8"/>
      <c r="V182" s="8"/>
      <c r="W182" s="8"/>
      <c r="X182" s="8"/>
      <c r="Y182" s="8"/>
      <c r="Z182" s="8"/>
    </row>
    <row r="183">
      <c r="A183" s="61" t="s">
        <v>100</v>
      </c>
      <c r="B183" s="10" t="s">
        <v>31</v>
      </c>
      <c r="C183" s="11" t="s">
        <v>35</v>
      </c>
      <c r="D183" s="11" t="s">
        <v>563</v>
      </c>
      <c r="E183" s="12" t="s">
        <v>41</v>
      </c>
      <c r="F183" s="8"/>
      <c r="G183" s="8"/>
      <c r="H183" s="8"/>
      <c r="I183" s="8"/>
      <c r="J183" s="8"/>
      <c r="K183" s="8"/>
      <c r="L183" s="8"/>
      <c r="M183" s="8"/>
      <c r="N183" s="8"/>
      <c r="O183" s="8"/>
      <c r="P183" s="8"/>
      <c r="Q183" s="8"/>
      <c r="R183" s="8"/>
      <c r="S183" s="8"/>
      <c r="T183" s="8"/>
      <c r="U183" s="8"/>
      <c r="V183" s="8"/>
      <c r="W183" s="8"/>
      <c r="X183" s="8"/>
      <c r="Y183" s="8"/>
      <c r="Z183" s="8"/>
    </row>
    <row r="184">
      <c r="A184" s="61" t="s">
        <v>100</v>
      </c>
      <c r="B184" s="10" t="s">
        <v>31</v>
      </c>
      <c r="C184" s="11" t="s">
        <v>35</v>
      </c>
      <c r="D184" s="11" t="s">
        <v>566</v>
      </c>
      <c r="E184" s="12" t="s">
        <v>41</v>
      </c>
      <c r="F184" s="8"/>
      <c r="G184" s="8"/>
      <c r="H184" s="8"/>
      <c r="I184" s="8"/>
      <c r="J184" s="8"/>
      <c r="K184" s="8"/>
      <c r="L184" s="8"/>
      <c r="M184" s="8"/>
      <c r="N184" s="8"/>
      <c r="O184" s="8"/>
      <c r="P184" s="8"/>
      <c r="Q184" s="8"/>
      <c r="R184" s="8"/>
      <c r="S184" s="8"/>
      <c r="T184" s="8"/>
      <c r="U184" s="8"/>
      <c r="V184" s="8"/>
      <c r="W184" s="8"/>
      <c r="X184" s="8"/>
      <c r="Y184" s="8"/>
      <c r="Z184" s="8"/>
    </row>
    <row r="185">
      <c r="A185" s="61" t="s">
        <v>100</v>
      </c>
      <c r="B185" s="10" t="s">
        <v>185</v>
      </c>
      <c r="C185" s="11" t="s">
        <v>879</v>
      </c>
      <c r="D185" s="11">
        <v>905358.0</v>
      </c>
      <c r="E185" s="12" t="s">
        <v>41</v>
      </c>
      <c r="F185" s="8"/>
      <c r="G185" s="8"/>
      <c r="H185" s="8"/>
      <c r="I185" s="8"/>
      <c r="J185" s="8"/>
      <c r="K185" s="8"/>
      <c r="L185" s="8"/>
      <c r="M185" s="8"/>
      <c r="N185" s="8"/>
      <c r="O185" s="8"/>
      <c r="P185" s="8"/>
      <c r="Q185" s="8"/>
      <c r="R185" s="8"/>
      <c r="S185" s="8"/>
      <c r="T185" s="8"/>
      <c r="U185" s="8"/>
      <c r="V185" s="8"/>
      <c r="W185" s="8"/>
      <c r="X185" s="8"/>
      <c r="Y185" s="8"/>
      <c r="Z185" s="8"/>
    </row>
    <row r="186">
      <c r="A186" s="61" t="s">
        <v>100</v>
      </c>
      <c r="B186" s="10" t="s">
        <v>185</v>
      </c>
      <c r="C186" s="11" t="s">
        <v>879</v>
      </c>
      <c r="D186" s="11">
        <v>905026.0</v>
      </c>
      <c r="E186" s="12" t="s">
        <v>41</v>
      </c>
      <c r="F186" s="8"/>
      <c r="G186" s="8"/>
      <c r="H186" s="8"/>
      <c r="I186" s="8"/>
      <c r="J186" s="8"/>
      <c r="K186" s="8"/>
      <c r="L186" s="8"/>
      <c r="M186" s="8"/>
      <c r="N186" s="8"/>
      <c r="O186" s="8"/>
      <c r="P186" s="8"/>
      <c r="Q186" s="8"/>
      <c r="R186" s="8"/>
      <c r="S186" s="8"/>
      <c r="T186" s="8"/>
      <c r="U186" s="8"/>
      <c r="V186" s="8"/>
      <c r="W186" s="8"/>
      <c r="X186" s="8"/>
      <c r="Y186" s="8"/>
      <c r="Z186" s="8"/>
    </row>
    <row r="187">
      <c r="A187" s="61" t="s">
        <v>100</v>
      </c>
      <c r="B187" s="10" t="s">
        <v>185</v>
      </c>
      <c r="C187" s="11" t="s">
        <v>879</v>
      </c>
      <c r="D187" s="11">
        <v>904885.0</v>
      </c>
      <c r="E187" s="12" t="s">
        <v>41</v>
      </c>
      <c r="F187" s="8"/>
      <c r="G187" s="8"/>
      <c r="H187" s="8"/>
      <c r="I187" s="8"/>
      <c r="J187" s="8"/>
      <c r="K187" s="8"/>
      <c r="L187" s="8"/>
      <c r="M187" s="8"/>
      <c r="N187" s="8"/>
      <c r="O187" s="8"/>
      <c r="P187" s="8"/>
      <c r="Q187" s="8"/>
      <c r="R187" s="8"/>
      <c r="S187" s="8"/>
      <c r="T187" s="8"/>
      <c r="U187" s="8"/>
      <c r="V187" s="8"/>
      <c r="W187" s="8"/>
      <c r="X187" s="8"/>
      <c r="Y187" s="8"/>
      <c r="Z187" s="8"/>
    </row>
    <row r="188">
      <c r="A188" s="61" t="s">
        <v>107</v>
      </c>
      <c r="B188" s="10" t="s">
        <v>31</v>
      </c>
      <c r="C188" s="11" t="s">
        <v>35</v>
      </c>
      <c r="D188" s="11" t="s">
        <v>343</v>
      </c>
      <c r="E188" s="12" t="s">
        <v>41</v>
      </c>
      <c r="F188" s="8"/>
      <c r="G188" s="8"/>
      <c r="H188" s="8"/>
      <c r="I188" s="8"/>
      <c r="J188" s="8"/>
      <c r="K188" s="8"/>
      <c r="L188" s="8"/>
      <c r="M188" s="8"/>
      <c r="N188" s="8"/>
      <c r="O188" s="8"/>
      <c r="P188" s="8"/>
      <c r="Q188" s="8"/>
      <c r="R188" s="8"/>
      <c r="S188" s="8"/>
      <c r="T188" s="8"/>
      <c r="U188" s="8"/>
      <c r="V188" s="8"/>
      <c r="W188" s="8"/>
      <c r="X188" s="8"/>
      <c r="Y188" s="8"/>
      <c r="Z188" s="8"/>
    </row>
    <row r="189">
      <c r="A189" s="61" t="s">
        <v>107</v>
      </c>
      <c r="B189" s="10" t="s">
        <v>31</v>
      </c>
      <c r="C189" s="11" t="s">
        <v>35</v>
      </c>
      <c r="D189" s="11" t="s">
        <v>529</v>
      </c>
      <c r="E189" s="12" t="s">
        <v>41</v>
      </c>
      <c r="F189" s="8"/>
      <c r="G189" s="8"/>
      <c r="H189" s="8"/>
      <c r="I189" s="8"/>
      <c r="J189" s="8"/>
      <c r="K189" s="8"/>
      <c r="L189" s="8"/>
      <c r="M189" s="8"/>
      <c r="N189" s="8"/>
      <c r="O189" s="8"/>
      <c r="P189" s="8"/>
      <c r="Q189" s="8"/>
      <c r="R189" s="8"/>
      <c r="S189" s="8"/>
      <c r="T189" s="8"/>
      <c r="U189" s="8"/>
      <c r="V189" s="8"/>
      <c r="W189" s="8"/>
      <c r="X189" s="8"/>
      <c r="Y189" s="8"/>
      <c r="Z189" s="8"/>
    </row>
    <row r="190">
      <c r="A190" s="61" t="s">
        <v>107</v>
      </c>
      <c r="B190" s="10" t="s">
        <v>31</v>
      </c>
      <c r="C190" s="11" t="s">
        <v>35</v>
      </c>
      <c r="D190" s="11" t="s">
        <v>884</v>
      </c>
      <c r="E190" s="12" t="s">
        <v>41</v>
      </c>
      <c r="F190" s="8"/>
      <c r="G190" s="8"/>
      <c r="H190" s="8"/>
      <c r="I190" s="8"/>
      <c r="J190" s="8"/>
      <c r="K190" s="8"/>
      <c r="L190" s="8"/>
      <c r="M190" s="8"/>
      <c r="N190" s="8"/>
      <c r="O190" s="8"/>
      <c r="P190" s="8"/>
      <c r="Q190" s="8"/>
      <c r="R190" s="8"/>
      <c r="S190" s="8"/>
      <c r="T190" s="8"/>
      <c r="U190" s="8"/>
      <c r="V190" s="8"/>
      <c r="W190" s="8"/>
      <c r="X190" s="8"/>
      <c r="Y190" s="8"/>
      <c r="Z190" s="8"/>
    </row>
    <row r="191">
      <c r="A191" s="61" t="s">
        <v>107</v>
      </c>
      <c r="B191" s="10" t="s">
        <v>31</v>
      </c>
      <c r="C191" s="11" t="s">
        <v>35</v>
      </c>
      <c r="D191" s="11" t="s">
        <v>396</v>
      </c>
      <c r="E191" s="12" t="s">
        <v>41</v>
      </c>
      <c r="F191" s="8"/>
      <c r="G191" s="8"/>
      <c r="H191" s="8"/>
      <c r="I191" s="8"/>
      <c r="J191" s="8"/>
      <c r="K191" s="8"/>
      <c r="L191" s="8"/>
      <c r="M191" s="8"/>
      <c r="N191" s="8"/>
      <c r="O191" s="8"/>
      <c r="P191" s="8"/>
      <c r="Q191" s="8"/>
      <c r="R191" s="8"/>
      <c r="S191" s="8"/>
      <c r="T191" s="8"/>
      <c r="U191" s="8"/>
      <c r="V191" s="8"/>
      <c r="W191" s="8"/>
      <c r="X191" s="8"/>
      <c r="Y191" s="8"/>
      <c r="Z191" s="8"/>
    </row>
    <row r="192">
      <c r="A192" s="61" t="s">
        <v>107</v>
      </c>
      <c r="B192" s="10" t="s">
        <v>185</v>
      </c>
      <c r="C192" s="11" t="s">
        <v>267</v>
      </c>
      <c r="D192" s="11" t="s">
        <v>885</v>
      </c>
      <c r="E192" s="12" t="s">
        <v>41</v>
      </c>
      <c r="F192" s="8"/>
      <c r="G192" s="8"/>
      <c r="H192" s="8"/>
      <c r="I192" s="8"/>
      <c r="J192" s="8"/>
      <c r="K192" s="8"/>
      <c r="L192" s="8"/>
      <c r="M192" s="8"/>
      <c r="N192" s="8"/>
      <c r="O192" s="8"/>
      <c r="P192" s="8"/>
      <c r="Q192" s="8"/>
      <c r="R192" s="8"/>
      <c r="S192" s="8"/>
      <c r="T192" s="8"/>
      <c r="U192" s="8"/>
      <c r="V192" s="8"/>
      <c r="W192" s="8"/>
      <c r="X192" s="8"/>
      <c r="Y192" s="8"/>
      <c r="Z192" s="8"/>
    </row>
    <row r="193">
      <c r="A193" s="61" t="s">
        <v>107</v>
      </c>
      <c r="B193" s="10" t="s">
        <v>185</v>
      </c>
      <c r="C193" s="11" t="s">
        <v>267</v>
      </c>
      <c r="D193" s="11" t="s">
        <v>886</v>
      </c>
      <c r="E193" s="12" t="s">
        <v>41</v>
      </c>
      <c r="F193" s="8"/>
      <c r="G193" s="8"/>
      <c r="H193" s="8"/>
      <c r="I193" s="8"/>
      <c r="J193" s="8"/>
      <c r="K193" s="8"/>
      <c r="L193" s="8"/>
      <c r="M193" s="8"/>
      <c r="N193" s="8"/>
      <c r="O193" s="8"/>
      <c r="P193" s="8"/>
      <c r="Q193" s="8"/>
      <c r="R193" s="8"/>
      <c r="S193" s="8"/>
      <c r="T193" s="8"/>
      <c r="U193" s="8"/>
      <c r="V193" s="8"/>
      <c r="W193" s="8"/>
      <c r="X193" s="8"/>
      <c r="Y193" s="8"/>
      <c r="Z193" s="8"/>
    </row>
    <row r="194">
      <c r="A194" s="61" t="s">
        <v>107</v>
      </c>
      <c r="B194" s="10" t="s">
        <v>185</v>
      </c>
      <c r="C194" s="11" t="s">
        <v>186</v>
      </c>
      <c r="D194" s="11" t="s">
        <v>887</v>
      </c>
      <c r="E194" s="12" t="s">
        <v>41</v>
      </c>
      <c r="F194" s="8"/>
      <c r="G194" s="8"/>
      <c r="H194" s="8"/>
      <c r="I194" s="8"/>
      <c r="J194" s="8"/>
      <c r="K194" s="8"/>
      <c r="L194" s="8"/>
      <c r="M194" s="8"/>
      <c r="N194" s="8"/>
      <c r="O194" s="8"/>
      <c r="P194" s="8"/>
      <c r="Q194" s="8"/>
      <c r="R194" s="8"/>
      <c r="S194" s="8"/>
      <c r="T194" s="8"/>
      <c r="U194" s="8"/>
      <c r="V194" s="8"/>
      <c r="W194" s="8"/>
      <c r="X194" s="8"/>
      <c r="Y194" s="8"/>
      <c r="Z194" s="8"/>
    </row>
    <row r="195">
      <c r="A195" s="61" t="s">
        <v>107</v>
      </c>
      <c r="B195" s="10" t="s">
        <v>185</v>
      </c>
      <c r="C195" s="11" t="s">
        <v>280</v>
      </c>
      <c r="D195" s="11" t="s">
        <v>888</v>
      </c>
      <c r="E195" s="12" t="s">
        <v>41</v>
      </c>
      <c r="F195" s="8"/>
      <c r="G195" s="8"/>
      <c r="H195" s="8"/>
      <c r="I195" s="8"/>
      <c r="J195" s="8"/>
      <c r="K195" s="8"/>
      <c r="L195" s="8"/>
      <c r="M195" s="8"/>
      <c r="N195" s="8"/>
      <c r="O195" s="8"/>
      <c r="P195" s="8"/>
      <c r="Q195" s="8"/>
      <c r="R195" s="8"/>
      <c r="S195" s="8"/>
      <c r="T195" s="8"/>
      <c r="U195" s="8"/>
      <c r="V195" s="8"/>
      <c r="W195" s="8"/>
      <c r="X195" s="8"/>
      <c r="Y195" s="8"/>
      <c r="Z195" s="8"/>
    </row>
    <row r="196">
      <c r="A196" s="61" t="s">
        <v>107</v>
      </c>
      <c r="B196" s="10" t="s">
        <v>185</v>
      </c>
      <c r="C196" s="11" t="s">
        <v>285</v>
      </c>
      <c r="D196" s="11" t="s">
        <v>889</v>
      </c>
      <c r="E196" s="12" t="s">
        <v>41</v>
      </c>
      <c r="F196" s="8"/>
      <c r="G196" s="8"/>
      <c r="H196" s="8"/>
      <c r="I196" s="8"/>
      <c r="J196" s="8"/>
      <c r="K196" s="8"/>
      <c r="L196" s="8"/>
      <c r="M196" s="8"/>
      <c r="N196" s="8"/>
      <c r="O196" s="8"/>
      <c r="P196" s="8"/>
      <c r="Q196" s="8"/>
      <c r="R196" s="8"/>
      <c r="S196" s="8"/>
      <c r="T196" s="8"/>
      <c r="U196" s="8"/>
      <c r="V196" s="8"/>
      <c r="W196" s="8"/>
      <c r="X196" s="8"/>
      <c r="Y196" s="8"/>
      <c r="Z196" s="8"/>
    </row>
    <row r="197">
      <c r="A197" s="61" t="s">
        <v>107</v>
      </c>
      <c r="B197" s="10" t="s">
        <v>880</v>
      </c>
      <c r="C197" s="11" t="s">
        <v>881</v>
      </c>
      <c r="D197" s="11">
        <v>5045015.0</v>
      </c>
      <c r="E197" s="12" t="s">
        <v>41</v>
      </c>
      <c r="F197" s="8"/>
      <c r="G197" s="8"/>
      <c r="H197" s="8"/>
      <c r="I197" s="8"/>
      <c r="J197" s="8"/>
      <c r="K197" s="8"/>
      <c r="L197" s="8"/>
      <c r="M197" s="8"/>
      <c r="N197" s="8"/>
      <c r="O197" s="8"/>
      <c r="P197" s="8"/>
      <c r="Q197" s="8"/>
      <c r="R197" s="8"/>
      <c r="S197" s="8"/>
      <c r="T197" s="8"/>
      <c r="U197" s="8"/>
      <c r="V197" s="8"/>
      <c r="W197" s="8"/>
      <c r="X197" s="8"/>
      <c r="Y197" s="8"/>
      <c r="Z197" s="8"/>
    </row>
    <row r="198">
      <c r="A198" s="61" t="s">
        <v>107</v>
      </c>
      <c r="B198" s="10" t="s">
        <v>185</v>
      </c>
      <c r="C198" s="11" t="s">
        <v>267</v>
      </c>
      <c r="D198" s="11" t="s">
        <v>890</v>
      </c>
      <c r="E198" s="12" t="s">
        <v>41</v>
      </c>
      <c r="F198" s="8"/>
      <c r="G198" s="8"/>
      <c r="H198" s="8"/>
      <c r="I198" s="8"/>
      <c r="J198" s="8"/>
      <c r="K198" s="8"/>
      <c r="L198" s="8"/>
      <c r="M198" s="8"/>
      <c r="N198" s="8"/>
      <c r="O198" s="8"/>
      <c r="P198" s="8"/>
      <c r="Q198" s="8"/>
      <c r="R198" s="8"/>
      <c r="S198" s="8"/>
      <c r="T198" s="8"/>
      <c r="U198" s="8"/>
      <c r="V198" s="8"/>
      <c r="W198" s="8"/>
      <c r="X198" s="8"/>
      <c r="Y198" s="8"/>
      <c r="Z198" s="8"/>
    </row>
    <row r="199">
      <c r="A199" s="61" t="s">
        <v>107</v>
      </c>
      <c r="B199" s="10" t="s">
        <v>185</v>
      </c>
      <c r="C199" s="11" t="s">
        <v>186</v>
      </c>
      <c r="D199" s="11" t="s">
        <v>891</v>
      </c>
      <c r="E199" s="12" t="s">
        <v>41</v>
      </c>
      <c r="F199" s="8"/>
      <c r="G199" s="8"/>
      <c r="H199" s="8"/>
      <c r="I199" s="8"/>
      <c r="J199" s="8"/>
      <c r="K199" s="8"/>
      <c r="L199" s="8"/>
      <c r="M199" s="8"/>
      <c r="N199" s="8"/>
      <c r="O199" s="8"/>
      <c r="P199" s="8"/>
      <c r="Q199" s="8"/>
      <c r="R199" s="8"/>
      <c r="S199" s="8"/>
      <c r="T199" s="8"/>
      <c r="U199" s="8"/>
      <c r="V199" s="8"/>
      <c r="W199" s="8"/>
      <c r="X199" s="8"/>
      <c r="Y199" s="8"/>
      <c r="Z199" s="8"/>
    </row>
    <row r="200">
      <c r="A200" s="61" t="s">
        <v>107</v>
      </c>
      <c r="B200" s="10" t="s">
        <v>185</v>
      </c>
      <c r="C200" s="11" t="s">
        <v>186</v>
      </c>
      <c r="D200" s="11" t="s">
        <v>892</v>
      </c>
      <c r="E200" s="12" t="s">
        <v>41</v>
      </c>
      <c r="F200" s="8"/>
      <c r="G200" s="8"/>
      <c r="H200" s="8"/>
      <c r="I200" s="8"/>
      <c r="J200" s="8"/>
      <c r="K200" s="8"/>
      <c r="L200" s="8"/>
      <c r="M200" s="8"/>
      <c r="N200" s="8"/>
      <c r="O200" s="8"/>
      <c r="P200" s="8"/>
      <c r="Q200" s="8"/>
      <c r="R200" s="8"/>
      <c r="S200" s="8"/>
      <c r="T200" s="8"/>
      <c r="U200" s="8"/>
      <c r="V200" s="8"/>
      <c r="W200" s="8"/>
      <c r="X200" s="8"/>
      <c r="Y200" s="8"/>
      <c r="Z200" s="8"/>
    </row>
    <row r="201">
      <c r="A201" s="61" t="s">
        <v>107</v>
      </c>
      <c r="B201" s="10" t="s">
        <v>185</v>
      </c>
      <c r="C201" s="11" t="s">
        <v>285</v>
      </c>
      <c r="D201" s="11" t="s">
        <v>893</v>
      </c>
      <c r="E201" s="12" t="s">
        <v>41</v>
      </c>
      <c r="F201" s="8"/>
      <c r="G201" s="8"/>
      <c r="H201" s="8"/>
      <c r="I201" s="8"/>
      <c r="J201" s="8"/>
      <c r="K201" s="8"/>
      <c r="L201" s="8"/>
      <c r="M201" s="8"/>
      <c r="N201" s="8"/>
      <c r="O201" s="8"/>
      <c r="P201" s="8"/>
      <c r="Q201" s="8"/>
      <c r="R201" s="8"/>
      <c r="S201" s="8"/>
      <c r="T201" s="8"/>
      <c r="U201" s="8"/>
      <c r="V201" s="8"/>
      <c r="W201" s="8"/>
      <c r="X201" s="8"/>
      <c r="Y201" s="8"/>
      <c r="Z201" s="8"/>
    </row>
    <row r="202">
      <c r="A202" s="61" t="s">
        <v>107</v>
      </c>
      <c r="B202" s="10" t="s">
        <v>185</v>
      </c>
      <c r="C202" s="11" t="s">
        <v>285</v>
      </c>
      <c r="D202" s="11" t="s">
        <v>894</v>
      </c>
      <c r="E202" s="12" t="s">
        <v>41</v>
      </c>
      <c r="F202" s="8"/>
      <c r="G202" s="8"/>
      <c r="H202" s="8"/>
      <c r="I202" s="8"/>
      <c r="J202" s="8"/>
      <c r="K202" s="8"/>
      <c r="L202" s="8"/>
      <c r="M202" s="8"/>
      <c r="N202" s="8"/>
      <c r="O202" s="8"/>
      <c r="P202" s="8"/>
      <c r="Q202" s="8"/>
      <c r="R202" s="8"/>
      <c r="S202" s="8"/>
      <c r="T202" s="8"/>
      <c r="U202" s="8"/>
      <c r="V202" s="8"/>
      <c r="W202" s="8"/>
      <c r="X202" s="8"/>
      <c r="Y202" s="8"/>
      <c r="Z202" s="8"/>
    </row>
    <row r="203">
      <c r="A203" s="61" t="s">
        <v>107</v>
      </c>
      <c r="B203" s="10" t="s">
        <v>185</v>
      </c>
      <c r="C203" s="11" t="s">
        <v>568</v>
      </c>
      <c r="D203" s="11">
        <v>904261.0</v>
      </c>
      <c r="E203" s="12" t="s">
        <v>41</v>
      </c>
      <c r="F203" s="8"/>
      <c r="G203" s="8"/>
      <c r="H203" s="8"/>
      <c r="I203" s="8"/>
      <c r="J203" s="8"/>
      <c r="K203" s="8"/>
      <c r="L203" s="8"/>
      <c r="M203" s="8"/>
      <c r="N203" s="8"/>
      <c r="O203" s="8"/>
      <c r="P203" s="8"/>
      <c r="Q203" s="8"/>
      <c r="R203" s="8"/>
      <c r="S203" s="8"/>
      <c r="T203" s="8"/>
      <c r="U203" s="8"/>
      <c r="V203" s="8"/>
      <c r="W203" s="8"/>
      <c r="X203" s="8"/>
      <c r="Y203" s="8"/>
      <c r="Z203" s="8"/>
    </row>
    <row r="204">
      <c r="A204" s="10" t="s">
        <v>114</v>
      </c>
      <c r="B204" s="10" t="s">
        <v>895</v>
      </c>
      <c r="C204" s="11" t="s">
        <v>896</v>
      </c>
      <c r="D204" s="11">
        <v>1311593.0</v>
      </c>
      <c r="E204" s="12" t="s">
        <v>41</v>
      </c>
      <c r="F204" s="8"/>
      <c r="G204" s="8"/>
      <c r="H204" s="8"/>
      <c r="I204" s="8"/>
      <c r="J204" s="8"/>
      <c r="K204" s="8"/>
      <c r="L204" s="8"/>
      <c r="M204" s="8"/>
      <c r="N204" s="8"/>
      <c r="O204" s="8"/>
      <c r="P204" s="8"/>
      <c r="Q204" s="8"/>
      <c r="R204" s="8"/>
      <c r="S204" s="8"/>
      <c r="T204" s="8"/>
      <c r="U204" s="8"/>
      <c r="V204" s="8"/>
      <c r="W204" s="8"/>
      <c r="X204" s="8"/>
      <c r="Y204" s="8"/>
      <c r="Z204" s="8"/>
    </row>
    <row r="205">
      <c r="A205" s="10" t="s">
        <v>122</v>
      </c>
      <c r="B205" s="10" t="s">
        <v>31</v>
      </c>
      <c r="C205" s="11" t="s">
        <v>35</v>
      </c>
      <c r="D205" s="11" t="s">
        <v>897</v>
      </c>
      <c r="E205" s="12" t="s">
        <v>41</v>
      </c>
      <c r="F205" s="8"/>
      <c r="G205" s="8"/>
      <c r="H205" s="8"/>
      <c r="I205" s="8"/>
      <c r="J205" s="8"/>
      <c r="K205" s="8"/>
      <c r="L205" s="8"/>
      <c r="M205" s="8"/>
      <c r="N205" s="8"/>
      <c r="O205" s="8"/>
      <c r="P205" s="8"/>
      <c r="Q205" s="8"/>
      <c r="R205" s="8"/>
      <c r="S205" s="8"/>
      <c r="T205" s="8"/>
      <c r="U205" s="8"/>
      <c r="V205" s="8"/>
      <c r="W205" s="8"/>
      <c r="X205" s="8"/>
      <c r="Y205" s="8"/>
      <c r="Z205" s="8"/>
    </row>
    <row r="206">
      <c r="A206" s="10" t="s">
        <v>122</v>
      </c>
      <c r="B206" s="10" t="s">
        <v>31</v>
      </c>
      <c r="C206" s="11" t="s">
        <v>35</v>
      </c>
      <c r="D206" s="11" t="s">
        <v>898</v>
      </c>
      <c r="E206" s="12" t="s">
        <v>41</v>
      </c>
      <c r="F206" s="8"/>
      <c r="G206" s="8"/>
      <c r="H206" s="8"/>
      <c r="I206" s="8"/>
      <c r="J206" s="8"/>
      <c r="K206" s="8"/>
      <c r="L206" s="8"/>
      <c r="M206" s="8"/>
      <c r="N206" s="8"/>
      <c r="O206" s="8"/>
      <c r="P206" s="8"/>
      <c r="Q206" s="8"/>
      <c r="R206" s="8"/>
      <c r="S206" s="8"/>
      <c r="T206" s="8"/>
      <c r="U206" s="8"/>
      <c r="V206" s="8"/>
      <c r="W206" s="8"/>
      <c r="X206" s="8"/>
      <c r="Y206" s="8"/>
      <c r="Z206" s="8"/>
    </row>
    <row r="207">
      <c r="A207" s="10" t="s">
        <v>122</v>
      </c>
      <c r="B207" s="10" t="s">
        <v>31</v>
      </c>
      <c r="C207" s="11" t="s">
        <v>35</v>
      </c>
      <c r="D207" s="11" t="s">
        <v>899</v>
      </c>
      <c r="E207" s="12" t="s">
        <v>41</v>
      </c>
      <c r="F207" s="8"/>
      <c r="G207" s="8"/>
      <c r="H207" s="8"/>
      <c r="I207" s="8"/>
      <c r="J207" s="8"/>
      <c r="K207" s="8"/>
      <c r="L207" s="8"/>
      <c r="M207" s="8"/>
      <c r="N207" s="8"/>
      <c r="O207" s="8"/>
      <c r="P207" s="8"/>
      <c r="Q207" s="8"/>
      <c r="R207" s="8"/>
      <c r="S207" s="8"/>
      <c r="T207" s="8"/>
      <c r="U207" s="8"/>
      <c r="V207" s="8"/>
      <c r="W207" s="8"/>
      <c r="X207" s="8"/>
      <c r="Y207" s="8"/>
      <c r="Z207" s="8"/>
    </row>
    <row r="208">
      <c r="A208" s="10" t="s">
        <v>122</v>
      </c>
      <c r="B208" s="10" t="s">
        <v>900</v>
      </c>
      <c r="C208" s="11" t="s">
        <v>901</v>
      </c>
      <c r="D208" s="11">
        <v>3.22270092E8</v>
      </c>
      <c r="E208" s="12" t="s">
        <v>41</v>
      </c>
      <c r="F208" s="8"/>
      <c r="G208" s="8"/>
      <c r="H208" s="8"/>
      <c r="I208" s="8"/>
      <c r="J208" s="8"/>
      <c r="K208" s="8"/>
      <c r="L208" s="8"/>
      <c r="M208" s="8"/>
      <c r="N208" s="8"/>
      <c r="O208" s="8"/>
      <c r="P208" s="8"/>
      <c r="Q208" s="8"/>
      <c r="R208" s="8"/>
      <c r="S208" s="8"/>
      <c r="T208" s="8"/>
      <c r="U208" s="8"/>
      <c r="V208" s="8"/>
      <c r="W208" s="8"/>
      <c r="X208" s="8"/>
      <c r="Y208" s="8"/>
      <c r="Z208" s="8"/>
    </row>
    <row r="209">
      <c r="A209" s="10" t="s">
        <v>122</v>
      </c>
      <c r="B209" s="10" t="s">
        <v>900</v>
      </c>
      <c r="C209" s="11" t="s">
        <v>901</v>
      </c>
      <c r="D209" s="11">
        <v>3.22270103E8</v>
      </c>
      <c r="E209" s="12" t="s">
        <v>41</v>
      </c>
      <c r="F209" s="8"/>
      <c r="G209" s="8"/>
      <c r="H209" s="8"/>
      <c r="I209" s="8"/>
      <c r="J209" s="8"/>
      <c r="K209" s="8"/>
      <c r="L209" s="8"/>
      <c r="M209" s="8"/>
      <c r="N209" s="8"/>
      <c r="O209" s="8"/>
      <c r="P209" s="8"/>
      <c r="Q209" s="8"/>
      <c r="R209" s="8"/>
      <c r="S209" s="8"/>
      <c r="T209" s="8"/>
      <c r="U209" s="8"/>
      <c r="V209" s="8"/>
      <c r="W209" s="8"/>
      <c r="X209" s="8"/>
      <c r="Y209" s="8"/>
      <c r="Z209" s="8"/>
    </row>
    <row r="210">
      <c r="A210" s="10" t="s">
        <v>122</v>
      </c>
      <c r="B210" s="10" t="s">
        <v>900</v>
      </c>
      <c r="C210" s="11" t="s">
        <v>901</v>
      </c>
      <c r="D210" s="11">
        <v>3.22270104E8</v>
      </c>
      <c r="E210" s="12" t="s">
        <v>41</v>
      </c>
      <c r="F210" s="8"/>
      <c r="G210" s="8"/>
      <c r="H210" s="8"/>
      <c r="I210" s="8"/>
      <c r="J210" s="8"/>
      <c r="K210" s="8"/>
      <c r="L210" s="8"/>
      <c r="M210" s="8"/>
      <c r="N210" s="8"/>
      <c r="O210" s="8"/>
      <c r="P210" s="8"/>
      <c r="Q210" s="8"/>
      <c r="R210" s="8"/>
      <c r="S210" s="8"/>
      <c r="T210" s="8"/>
      <c r="U210" s="8"/>
      <c r="V210" s="8"/>
      <c r="W210" s="8"/>
      <c r="X210" s="8"/>
      <c r="Y210" s="8"/>
      <c r="Z210" s="8"/>
    </row>
    <row r="211">
      <c r="A211" s="10" t="s">
        <v>129</v>
      </c>
      <c r="B211" s="10" t="s">
        <v>185</v>
      </c>
      <c r="C211" s="11" t="s">
        <v>186</v>
      </c>
      <c r="D211" s="11" t="s">
        <v>902</v>
      </c>
      <c r="E211" s="12" t="s">
        <v>41</v>
      </c>
      <c r="F211" s="8"/>
      <c r="G211" s="8"/>
      <c r="H211" s="8"/>
      <c r="I211" s="8"/>
      <c r="J211" s="8"/>
      <c r="K211" s="8"/>
      <c r="L211" s="8"/>
      <c r="M211" s="8"/>
      <c r="N211" s="8"/>
      <c r="O211" s="8"/>
      <c r="P211" s="8"/>
      <c r="Q211" s="8"/>
      <c r="R211" s="8"/>
      <c r="S211" s="8"/>
      <c r="T211" s="8"/>
      <c r="U211" s="8"/>
      <c r="V211" s="8"/>
      <c r="W211" s="8"/>
      <c r="X211" s="8"/>
      <c r="Y211" s="8"/>
      <c r="Z211" s="8"/>
    </row>
    <row r="212">
      <c r="A212" s="10" t="s">
        <v>129</v>
      </c>
      <c r="B212" s="10" t="s">
        <v>185</v>
      </c>
      <c r="C212" s="11" t="s">
        <v>267</v>
      </c>
      <c r="D212" s="11" t="s">
        <v>903</v>
      </c>
      <c r="E212" s="12" t="s">
        <v>41</v>
      </c>
      <c r="F212" s="8"/>
      <c r="G212" s="8"/>
      <c r="H212" s="8"/>
      <c r="I212" s="8"/>
      <c r="J212" s="8"/>
      <c r="K212" s="8"/>
      <c r="L212" s="8"/>
      <c r="M212" s="8"/>
      <c r="N212" s="8"/>
      <c r="O212" s="8"/>
      <c r="P212" s="8"/>
      <c r="Q212" s="8"/>
      <c r="R212" s="8"/>
      <c r="S212" s="8"/>
      <c r="T212" s="8"/>
      <c r="U212" s="8"/>
      <c r="V212" s="8"/>
      <c r="W212" s="8"/>
      <c r="X212" s="8"/>
      <c r="Y212" s="8"/>
      <c r="Z212" s="8"/>
    </row>
    <row r="213">
      <c r="A213" s="10" t="s">
        <v>129</v>
      </c>
      <c r="B213" s="10" t="s">
        <v>185</v>
      </c>
      <c r="C213" s="11" t="s">
        <v>632</v>
      </c>
      <c r="D213" s="11" t="s">
        <v>633</v>
      </c>
      <c r="E213" s="12" t="s">
        <v>41</v>
      </c>
      <c r="F213" s="8"/>
      <c r="G213" s="8"/>
      <c r="H213" s="8"/>
      <c r="I213" s="8"/>
      <c r="J213" s="8"/>
      <c r="K213" s="8"/>
      <c r="L213" s="8"/>
      <c r="M213" s="8"/>
      <c r="N213" s="8"/>
      <c r="O213" s="8"/>
      <c r="P213" s="8"/>
      <c r="Q213" s="8"/>
      <c r="R213" s="8"/>
      <c r="S213" s="8"/>
      <c r="T213" s="8"/>
      <c r="U213" s="8"/>
      <c r="V213" s="8"/>
      <c r="W213" s="8"/>
      <c r="X213" s="8"/>
      <c r="Y213" s="8"/>
      <c r="Z213" s="8"/>
    </row>
    <row r="214">
      <c r="A214" s="10" t="s">
        <v>135</v>
      </c>
      <c r="B214" s="10" t="s">
        <v>185</v>
      </c>
      <c r="C214" s="11" t="s">
        <v>904</v>
      </c>
      <c r="D214" s="11">
        <v>904096.0</v>
      </c>
      <c r="E214" s="12" t="s">
        <v>41</v>
      </c>
      <c r="F214" s="8"/>
      <c r="G214" s="8"/>
      <c r="H214" s="8"/>
      <c r="I214" s="8"/>
      <c r="J214" s="8"/>
      <c r="K214" s="8"/>
      <c r="L214" s="8"/>
      <c r="M214" s="8"/>
      <c r="N214" s="8"/>
      <c r="O214" s="8"/>
      <c r="P214" s="8"/>
      <c r="Q214" s="8"/>
      <c r="R214" s="8"/>
      <c r="S214" s="8"/>
      <c r="T214" s="8"/>
      <c r="U214" s="8"/>
      <c r="V214" s="8"/>
      <c r="W214" s="8"/>
      <c r="X214" s="8"/>
      <c r="Y214" s="8"/>
      <c r="Z214" s="8"/>
    </row>
    <row r="215">
      <c r="A215" s="10" t="s">
        <v>143</v>
      </c>
      <c r="B215" s="10" t="s">
        <v>31</v>
      </c>
      <c r="C215" s="11" t="s">
        <v>35</v>
      </c>
      <c r="D215" s="11" t="s">
        <v>680</v>
      </c>
      <c r="E215" s="12" t="s">
        <v>41</v>
      </c>
      <c r="F215" s="8"/>
      <c r="G215" s="8"/>
      <c r="H215" s="8"/>
      <c r="I215" s="8"/>
      <c r="J215" s="8"/>
      <c r="K215" s="8"/>
      <c r="L215" s="8"/>
      <c r="M215" s="8"/>
      <c r="N215" s="8"/>
      <c r="O215" s="8"/>
      <c r="P215" s="8"/>
      <c r="Q215" s="8"/>
      <c r="R215" s="8"/>
      <c r="S215" s="8"/>
      <c r="T215" s="8"/>
      <c r="U215" s="8"/>
      <c r="V215" s="8"/>
      <c r="W215" s="8"/>
      <c r="X215" s="8"/>
      <c r="Y215" s="8"/>
      <c r="Z215" s="8"/>
    </row>
    <row r="216">
      <c r="A216" s="10" t="s">
        <v>150</v>
      </c>
      <c r="B216" s="10" t="s">
        <v>185</v>
      </c>
      <c r="C216" s="11" t="s">
        <v>267</v>
      </c>
      <c r="D216" s="11" t="s">
        <v>905</v>
      </c>
      <c r="E216" s="12" t="s">
        <v>41</v>
      </c>
      <c r="F216" s="8"/>
      <c r="G216" s="8"/>
      <c r="H216" s="8"/>
      <c r="I216" s="8"/>
      <c r="J216" s="8"/>
      <c r="K216" s="8"/>
      <c r="L216" s="8"/>
      <c r="M216" s="8"/>
      <c r="N216" s="8"/>
      <c r="O216" s="8"/>
      <c r="P216" s="8"/>
      <c r="Q216" s="8"/>
      <c r="R216" s="8"/>
      <c r="S216" s="8"/>
      <c r="T216" s="8"/>
      <c r="U216" s="8"/>
      <c r="V216" s="8"/>
      <c r="W216" s="8"/>
      <c r="X216" s="8"/>
      <c r="Y216" s="8"/>
      <c r="Z216" s="8"/>
    </row>
    <row r="217">
      <c r="A217" s="10" t="s">
        <v>150</v>
      </c>
      <c r="B217" s="10" t="s">
        <v>185</v>
      </c>
      <c r="C217" s="11" t="s">
        <v>186</v>
      </c>
      <c r="D217" s="11" t="s">
        <v>906</v>
      </c>
      <c r="E217" s="12" t="s">
        <v>41</v>
      </c>
      <c r="F217" s="8"/>
      <c r="G217" s="8"/>
      <c r="H217" s="8"/>
      <c r="I217" s="8"/>
      <c r="J217" s="8"/>
      <c r="K217" s="8"/>
      <c r="L217" s="8"/>
      <c r="M217" s="8"/>
      <c r="N217" s="8"/>
      <c r="O217" s="8"/>
      <c r="P217" s="8"/>
      <c r="Q217" s="8"/>
      <c r="R217" s="8"/>
      <c r="S217" s="8"/>
      <c r="T217" s="8"/>
      <c r="U217" s="8"/>
      <c r="V217" s="8"/>
      <c r="W217" s="8"/>
      <c r="X217" s="8"/>
      <c r="Y217" s="8"/>
      <c r="Z217" s="8"/>
    </row>
    <row r="218">
      <c r="A218" s="10" t="s">
        <v>150</v>
      </c>
      <c r="B218" s="10" t="s">
        <v>185</v>
      </c>
      <c r="C218" s="11" t="s">
        <v>280</v>
      </c>
      <c r="D218" s="11" t="s">
        <v>907</v>
      </c>
      <c r="E218" s="12" t="s">
        <v>41</v>
      </c>
      <c r="F218" s="8"/>
      <c r="G218" s="8"/>
      <c r="H218" s="8"/>
      <c r="I218" s="8"/>
      <c r="J218" s="8"/>
      <c r="K218" s="8"/>
      <c r="L218" s="8"/>
      <c r="M218" s="8"/>
      <c r="N218" s="8"/>
      <c r="O218" s="8"/>
      <c r="P218" s="8"/>
      <c r="Q218" s="8"/>
      <c r="R218" s="8"/>
      <c r="S218" s="8"/>
      <c r="T218" s="8"/>
      <c r="U218" s="8"/>
      <c r="V218" s="8"/>
      <c r="W218" s="8"/>
      <c r="X218" s="8"/>
      <c r="Y218" s="8"/>
      <c r="Z218" s="8"/>
    </row>
    <row r="219">
      <c r="A219" s="10" t="s">
        <v>150</v>
      </c>
      <c r="B219" s="10" t="s">
        <v>185</v>
      </c>
      <c r="C219" s="11" t="s">
        <v>285</v>
      </c>
      <c r="D219" s="11" t="s">
        <v>908</v>
      </c>
      <c r="E219" s="12" t="s">
        <v>41</v>
      </c>
      <c r="F219" s="8"/>
      <c r="G219" s="8"/>
      <c r="H219" s="8"/>
      <c r="I219" s="8"/>
      <c r="J219" s="8"/>
      <c r="K219" s="8"/>
      <c r="L219" s="8"/>
      <c r="M219" s="8"/>
      <c r="N219" s="8"/>
      <c r="O219" s="8"/>
      <c r="P219" s="8"/>
      <c r="Q219" s="8"/>
      <c r="R219" s="8"/>
      <c r="S219" s="8"/>
      <c r="T219" s="8"/>
      <c r="U219" s="8"/>
      <c r="V219" s="8"/>
      <c r="W219" s="8"/>
      <c r="X219" s="8"/>
      <c r="Y219" s="8"/>
      <c r="Z219" s="8"/>
    </row>
    <row r="220">
      <c r="A220" s="10" t="s">
        <v>157</v>
      </c>
      <c r="B220" s="10" t="s">
        <v>185</v>
      </c>
      <c r="C220" s="11" t="s">
        <v>267</v>
      </c>
      <c r="D220" s="11" t="s">
        <v>909</v>
      </c>
      <c r="E220" s="12" t="s">
        <v>41</v>
      </c>
      <c r="F220" s="8"/>
      <c r="G220" s="8"/>
      <c r="H220" s="8"/>
      <c r="I220" s="8"/>
      <c r="J220" s="8"/>
      <c r="K220" s="8"/>
      <c r="L220" s="8"/>
      <c r="M220" s="8"/>
      <c r="N220" s="8"/>
      <c r="O220" s="8"/>
      <c r="P220" s="8"/>
      <c r="Q220" s="8"/>
      <c r="R220" s="8"/>
      <c r="S220" s="8"/>
      <c r="T220" s="8"/>
      <c r="U220" s="8"/>
      <c r="V220" s="8"/>
      <c r="W220" s="8"/>
      <c r="X220" s="8"/>
      <c r="Y220" s="8"/>
      <c r="Z220" s="8"/>
    </row>
    <row r="221">
      <c r="A221" s="10" t="s">
        <v>157</v>
      </c>
      <c r="B221" s="10" t="s">
        <v>185</v>
      </c>
      <c r="C221" s="11" t="s">
        <v>186</v>
      </c>
      <c r="D221" s="11" t="s">
        <v>910</v>
      </c>
      <c r="E221" s="12" t="s">
        <v>41</v>
      </c>
      <c r="F221" s="8"/>
      <c r="G221" s="8"/>
      <c r="H221" s="8"/>
      <c r="I221" s="8"/>
      <c r="J221" s="8"/>
      <c r="K221" s="8"/>
      <c r="L221" s="8"/>
      <c r="M221" s="8"/>
      <c r="N221" s="8"/>
      <c r="O221" s="8"/>
      <c r="P221" s="8"/>
      <c r="Q221" s="8"/>
      <c r="R221" s="8"/>
      <c r="S221" s="8"/>
      <c r="T221" s="8"/>
      <c r="U221" s="8"/>
      <c r="V221" s="8"/>
      <c r="W221" s="8"/>
      <c r="X221" s="8"/>
      <c r="Y221" s="8"/>
      <c r="Z221" s="8"/>
    </row>
    <row r="222">
      <c r="A222" s="10" t="s">
        <v>157</v>
      </c>
      <c r="B222" s="10" t="s">
        <v>185</v>
      </c>
      <c r="C222" s="11" t="s">
        <v>280</v>
      </c>
      <c r="D222" s="11" t="s">
        <v>911</v>
      </c>
      <c r="E222" s="12" t="s">
        <v>41</v>
      </c>
      <c r="F222" s="8"/>
      <c r="G222" s="8"/>
      <c r="H222" s="8"/>
      <c r="I222" s="8"/>
      <c r="J222" s="8"/>
      <c r="K222" s="8"/>
      <c r="L222" s="8"/>
      <c r="M222" s="8"/>
      <c r="N222" s="8"/>
      <c r="O222" s="8"/>
      <c r="P222" s="8"/>
      <c r="Q222" s="8"/>
      <c r="R222" s="8"/>
      <c r="S222" s="8"/>
      <c r="T222" s="8"/>
      <c r="U222" s="8"/>
      <c r="V222" s="8"/>
      <c r="W222" s="8"/>
      <c r="X222" s="8"/>
      <c r="Y222" s="8"/>
      <c r="Z222" s="8"/>
    </row>
    <row r="223">
      <c r="A223" s="10" t="s">
        <v>157</v>
      </c>
      <c r="B223" s="10" t="s">
        <v>185</v>
      </c>
      <c r="C223" s="11" t="s">
        <v>285</v>
      </c>
      <c r="D223" s="11" t="s">
        <v>912</v>
      </c>
      <c r="E223" s="12" t="s">
        <v>41</v>
      </c>
      <c r="F223" s="8"/>
      <c r="G223" s="8"/>
      <c r="H223" s="8"/>
      <c r="I223" s="8"/>
      <c r="J223" s="8"/>
      <c r="K223" s="8"/>
      <c r="L223" s="8"/>
      <c r="M223" s="8"/>
      <c r="N223" s="8"/>
      <c r="O223" s="8"/>
      <c r="P223" s="8"/>
      <c r="Q223" s="8"/>
      <c r="R223" s="8"/>
      <c r="S223" s="8"/>
      <c r="T223" s="8"/>
      <c r="U223" s="8"/>
      <c r="V223" s="8"/>
      <c r="W223" s="8"/>
      <c r="X223" s="8"/>
      <c r="Y223" s="8"/>
      <c r="Z223" s="8"/>
    </row>
    <row r="224">
      <c r="A224" s="10" t="s">
        <v>157</v>
      </c>
      <c r="B224" s="10" t="s">
        <v>31</v>
      </c>
      <c r="C224" s="11" t="s">
        <v>35</v>
      </c>
      <c r="D224" s="11" t="s">
        <v>913</v>
      </c>
      <c r="E224" s="12" t="s">
        <v>41</v>
      </c>
      <c r="F224" s="8"/>
      <c r="G224" s="8"/>
      <c r="H224" s="8"/>
      <c r="I224" s="8"/>
      <c r="J224" s="8"/>
      <c r="K224" s="8"/>
      <c r="L224" s="8"/>
      <c r="M224" s="8"/>
      <c r="N224" s="8"/>
      <c r="O224" s="8"/>
      <c r="P224" s="8"/>
      <c r="Q224" s="8"/>
      <c r="R224" s="8"/>
      <c r="S224" s="8"/>
      <c r="T224" s="8"/>
      <c r="U224" s="8"/>
      <c r="V224" s="8"/>
      <c r="W224" s="8"/>
      <c r="X224" s="8"/>
      <c r="Y224" s="8"/>
      <c r="Z224" s="8"/>
    </row>
    <row r="225">
      <c r="A225" s="10" t="s">
        <v>157</v>
      </c>
      <c r="B225" s="10" t="s">
        <v>31</v>
      </c>
      <c r="C225" s="11" t="s">
        <v>35</v>
      </c>
      <c r="D225" s="11" t="s">
        <v>431</v>
      </c>
      <c r="E225" s="12" t="s">
        <v>41</v>
      </c>
      <c r="F225" s="8"/>
      <c r="G225" s="8"/>
      <c r="H225" s="8"/>
      <c r="I225" s="8"/>
      <c r="J225" s="8"/>
      <c r="K225" s="8"/>
      <c r="L225" s="8"/>
      <c r="M225" s="8"/>
      <c r="N225" s="8"/>
      <c r="O225" s="8"/>
      <c r="P225" s="8"/>
      <c r="Q225" s="8"/>
      <c r="R225" s="8"/>
      <c r="S225" s="8"/>
      <c r="T225" s="8"/>
      <c r="U225" s="8"/>
      <c r="V225" s="8"/>
      <c r="W225" s="8"/>
      <c r="X225" s="8"/>
      <c r="Y225" s="8"/>
      <c r="Z225" s="8"/>
    </row>
    <row r="226">
      <c r="A226" s="10" t="s">
        <v>157</v>
      </c>
      <c r="B226" s="10" t="s">
        <v>31</v>
      </c>
      <c r="C226" s="11" t="s">
        <v>35</v>
      </c>
      <c r="D226" s="11" t="s">
        <v>914</v>
      </c>
      <c r="E226" s="12" t="s">
        <v>41</v>
      </c>
      <c r="F226" s="8"/>
      <c r="G226" s="8"/>
      <c r="H226" s="8"/>
      <c r="I226" s="8"/>
      <c r="J226" s="8"/>
      <c r="K226" s="8"/>
      <c r="L226" s="8"/>
      <c r="M226" s="8"/>
      <c r="N226" s="8"/>
      <c r="O226" s="8"/>
      <c r="P226" s="8"/>
      <c r="Q226" s="8"/>
      <c r="R226" s="8"/>
      <c r="S226" s="8"/>
      <c r="T226" s="8"/>
      <c r="U226" s="8"/>
      <c r="V226" s="8"/>
      <c r="W226" s="8"/>
      <c r="X226" s="8"/>
      <c r="Y226" s="8"/>
      <c r="Z226" s="8"/>
    </row>
    <row r="227">
      <c r="A227" s="10" t="s">
        <v>157</v>
      </c>
      <c r="B227" s="10" t="s">
        <v>31</v>
      </c>
      <c r="C227" s="11" t="s">
        <v>35</v>
      </c>
      <c r="D227" s="11" t="s">
        <v>537</v>
      </c>
      <c r="E227" s="12" t="s">
        <v>41</v>
      </c>
      <c r="F227" s="8"/>
      <c r="G227" s="8"/>
      <c r="H227" s="8"/>
      <c r="I227" s="8"/>
      <c r="J227" s="8"/>
      <c r="K227" s="8"/>
      <c r="L227" s="8"/>
      <c r="M227" s="8"/>
      <c r="N227" s="8"/>
      <c r="O227" s="8"/>
      <c r="P227" s="8"/>
      <c r="Q227" s="8"/>
      <c r="R227" s="8"/>
      <c r="S227" s="8"/>
      <c r="T227" s="8"/>
      <c r="U227" s="8"/>
      <c r="V227" s="8"/>
      <c r="W227" s="8"/>
      <c r="X227" s="8"/>
      <c r="Y227" s="8"/>
      <c r="Z227" s="8"/>
    </row>
    <row r="228">
      <c r="A228" s="10" t="s">
        <v>157</v>
      </c>
      <c r="B228" s="10" t="s">
        <v>31</v>
      </c>
      <c r="C228" s="11" t="s">
        <v>35</v>
      </c>
      <c r="D228" s="11" t="s">
        <v>734</v>
      </c>
      <c r="E228" s="12" t="s">
        <v>41</v>
      </c>
      <c r="F228" s="8"/>
      <c r="G228" s="8"/>
      <c r="H228" s="8"/>
      <c r="I228" s="8"/>
      <c r="J228" s="8"/>
      <c r="K228" s="8"/>
      <c r="L228" s="8"/>
      <c r="M228" s="8"/>
      <c r="N228" s="8"/>
      <c r="O228" s="8"/>
      <c r="P228" s="8"/>
      <c r="Q228" s="8"/>
      <c r="R228" s="8"/>
      <c r="S228" s="8"/>
      <c r="T228" s="8"/>
      <c r="U228" s="8"/>
      <c r="V228" s="8"/>
      <c r="W228" s="8"/>
      <c r="X228" s="8"/>
      <c r="Y228" s="8"/>
      <c r="Z228" s="8"/>
    </row>
    <row r="229">
      <c r="A229" s="10" t="s">
        <v>157</v>
      </c>
      <c r="B229" s="10" t="s">
        <v>31</v>
      </c>
      <c r="C229" s="11" t="s">
        <v>35</v>
      </c>
      <c r="D229" s="11" t="s">
        <v>593</v>
      </c>
      <c r="E229" s="12" t="s">
        <v>41</v>
      </c>
      <c r="F229" s="8"/>
      <c r="G229" s="8"/>
      <c r="H229" s="8"/>
      <c r="I229" s="8"/>
      <c r="J229" s="8"/>
      <c r="K229" s="8"/>
      <c r="L229" s="8"/>
      <c r="M229" s="8"/>
      <c r="N229" s="8"/>
      <c r="O229" s="8"/>
      <c r="P229" s="8"/>
      <c r="Q229" s="8"/>
      <c r="R229" s="8"/>
      <c r="S229" s="8"/>
      <c r="T229" s="8"/>
      <c r="U229" s="8"/>
      <c r="V229" s="8"/>
      <c r="W229" s="8"/>
      <c r="X229" s="8"/>
      <c r="Y229" s="8"/>
      <c r="Z229" s="8"/>
    </row>
    <row r="230">
      <c r="A230" s="10" t="s">
        <v>157</v>
      </c>
      <c r="B230" s="10" t="s">
        <v>31</v>
      </c>
      <c r="C230" s="11" t="s">
        <v>35</v>
      </c>
      <c r="D230" s="11" t="s">
        <v>915</v>
      </c>
      <c r="E230" s="12" t="s">
        <v>41</v>
      </c>
      <c r="F230" s="8"/>
      <c r="G230" s="8"/>
      <c r="H230" s="8"/>
      <c r="I230" s="8"/>
      <c r="J230" s="8"/>
      <c r="K230" s="8"/>
      <c r="L230" s="8"/>
      <c r="M230" s="8"/>
      <c r="N230" s="8"/>
      <c r="O230" s="8"/>
      <c r="P230" s="8"/>
      <c r="Q230" s="8"/>
      <c r="R230" s="8"/>
      <c r="S230" s="8"/>
      <c r="T230" s="8"/>
      <c r="U230" s="8"/>
      <c r="V230" s="8"/>
      <c r="W230" s="8"/>
      <c r="X230" s="8"/>
      <c r="Y230" s="8"/>
      <c r="Z230" s="8"/>
    </row>
    <row r="231">
      <c r="A231" s="10" t="s">
        <v>157</v>
      </c>
      <c r="B231" s="10" t="s">
        <v>31</v>
      </c>
      <c r="C231" s="11" t="s">
        <v>35</v>
      </c>
      <c r="D231" s="11" t="s">
        <v>916</v>
      </c>
      <c r="E231" s="12" t="s">
        <v>41</v>
      </c>
      <c r="F231" s="8"/>
      <c r="G231" s="8"/>
      <c r="H231" s="8"/>
      <c r="I231" s="8"/>
      <c r="J231" s="8"/>
      <c r="K231" s="8"/>
      <c r="L231" s="8"/>
      <c r="M231" s="8"/>
      <c r="N231" s="8"/>
      <c r="O231" s="8"/>
      <c r="P231" s="8"/>
      <c r="Q231" s="8"/>
      <c r="R231" s="8"/>
      <c r="S231" s="8"/>
      <c r="T231" s="8"/>
      <c r="U231" s="8"/>
      <c r="V231" s="8"/>
      <c r="W231" s="8"/>
      <c r="X231" s="8"/>
      <c r="Y231" s="8"/>
      <c r="Z231" s="8"/>
    </row>
    <row r="232">
      <c r="A232" s="10" t="s">
        <v>157</v>
      </c>
      <c r="B232" s="10" t="s">
        <v>31</v>
      </c>
      <c r="C232" s="11" t="s">
        <v>35</v>
      </c>
      <c r="D232" s="11" t="s">
        <v>539</v>
      </c>
      <c r="E232" s="12" t="s">
        <v>41</v>
      </c>
      <c r="F232" s="8"/>
      <c r="G232" s="8"/>
      <c r="H232" s="8"/>
      <c r="I232" s="8"/>
      <c r="J232" s="8"/>
      <c r="K232" s="8"/>
      <c r="L232" s="8"/>
      <c r="M232" s="8"/>
      <c r="N232" s="8"/>
      <c r="O232" s="8"/>
      <c r="P232" s="8"/>
      <c r="Q232" s="8"/>
      <c r="R232" s="8"/>
      <c r="S232" s="8"/>
      <c r="T232" s="8"/>
      <c r="U232" s="8"/>
      <c r="V232" s="8"/>
      <c r="W232" s="8"/>
      <c r="X232" s="8"/>
      <c r="Y232" s="8"/>
      <c r="Z232" s="8"/>
    </row>
    <row r="233">
      <c r="A233" s="10" t="s">
        <v>157</v>
      </c>
      <c r="B233" s="10" t="s">
        <v>31</v>
      </c>
      <c r="C233" s="11" t="s">
        <v>35</v>
      </c>
      <c r="D233" s="11" t="s">
        <v>561</v>
      </c>
      <c r="E233" s="12" t="s">
        <v>41</v>
      </c>
      <c r="F233" s="8"/>
      <c r="G233" s="8"/>
      <c r="H233" s="8"/>
      <c r="I233" s="8"/>
      <c r="J233" s="8"/>
      <c r="K233" s="8"/>
      <c r="L233" s="8"/>
      <c r="M233" s="8"/>
      <c r="N233" s="8"/>
      <c r="O233" s="8"/>
      <c r="P233" s="8"/>
      <c r="Q233" s="8"/>
      <c r="R233" s="8"/>
      <c r="S233" s="8"/>
      <c r="T233" s="8"/>
      <c r="U233" s="8"/>
      <c r="V233" s="8"/>
      <c r="W233" s="8"/>
      <c r="X233" s="8"/>
      <c r="Y233" s="8"/>
      <c r="Z233" s="8"/>
    </row>
    <row r="234">
      <c r="A234" s="10" t="s">
        <v>157</v>
      </c>
      <c r="B234" s="10" t="s">
        <v>31</v>
      </c>
      <c r="C234" s="11" t="s">
        <v>35</v>
      </c>
      <c r="D234" s="11" t="s">
        <v>600</v>
      </c>
      <c r="E234" s="12" t="s">
        <v>41</v>
      </c>
      <c r="F234" s="8"/>
      <c r="G234" s="8"/>
      <c r="H234" s="8"/>
      <c r="I234" s="8"/>
      <c r="J234" s="8"/>
      <c r="K234" s="8"/>
      <c r="L234" s="8"/>
      <c r="M234" s="8"/>
      <c r="N234" s="8"/>
      <c r="O234" s="8"/>
      <c r="P234" s="8"/>
      <c r="Q234" s="8"/>
      <c r="R234" s="8"/>
      <c r="S234" s="8"/>
      <c r="T234" s="8"/>
      <c r="U234" s="8"/>
      <c r="V234" s="8"/>
      <c r="W234" s="8"/>
      <c r="X234" s="8"/>
      <c r="Y234" s="8"/>
      <c r="Z234" s="8"/>
    </row>
    <row r="235">
      <c r="A235" s="10" t="s">
        <v>157</v>
      </c>
      <c r="B235" s="10" t="s">
        <v>31</v>
      </c>
      <c r="C235" s="11" t="s">
        <v>35</v>
      </c>
      <c r="D235" s="11" t="s">
        <v>917</v>
      </c>
      <c r="E235" s="12" t="s">
        <v>41</v>
      </c>
      <c r="F235" s="8"/>
      <c r="G235" s="8"/>
      <c r="H235" s="8"/>
      <c r="I235" s="8"/>
      <c r="J235" s="8"/>
      <c r="K235" s="8"/>
      <c r="L235" s="8"/>
      <c r="M235" s="8"/>
      <c r="N235" s="8"/>
      <c r="O235" s="8"/>
      <c r="P235" s="8"/>
      <c r="Q235" s="8"/>
      <c r="R235" s="8"/>
      <c r="S235" s="8"/>
      <c r="T235" s="8"/>
      <c r="U235" s="8"/>
      <c r="V235" s="8"/>
      <c r="W235" s="8"/>
      <c r="X235" s="8"/>
      <c r="Y235" s="8"/>
      <c r="Z235" s="8"/>
    </row>
    <row r="236">
      <c r="A236" s="10" t="s">
        <v>157</v>
      </c>
      <c r="B236" s="10" t="s">
        <v>31</v>
      </c>
      <c r="C236" s="11" t="s">
        <v>35</v>
      </c>
      <c r="D236" s="11" t="s">
        <v>544</v>
      </c>
      <c r="E236" s="12" t="s">
        <v>41</v>
      </c>
      <c r="F236" s="8"/>
      <c r="G236" s="8"/>
      <c r="H236" s="8"/>
      <c r="I236" s="8"/>
      <c r="J236" s="8"/>
      <c r="K236" s="8"/>
      <c r="L236" s="8"/>
      <c r="M236" s="8"/>
      <c r="N236" s="8"/>
      <c r="O236" s="8"/>
      <c r="P236" s="8"/>
      <c r="Q236" s="8"/>
      <c r="R236" s="8"/>
      <c r="S236" s="8"/>
      <c r="T236" s="8"/>
      <c r="U236" s="8"/>
      <c r="V236" s="8"/>
      <c r="W236" s="8"/>
      <c r="X236" s="8"/>
      <c r="Y236" s="8"/>
      <c r="Z236" s="8"/>
    </row>
    <row r="237">
      <c r="A237" s="10" t="s">
        <v>157</v>
      </c>
      <c r="B237" s="10" t="s">
        <v>31</v>
      </c>
      <c r="C237" s="11" t="s">
        <v>35</v>
      </c>
      <c r="D237" s="11" t="s">
        <v>402</v>
      </c>
      <c r="E237" s="12" t="s">
        <v>41</v>
      </c>
      <c r="F237" s="8"/>
      <c r="G237" s="8"/>
      <c r="H237" s="8"/>
      <c r="I237" s="8"/>
      <c r="J237" s="8"/>
      <c r="K237" s="8"/>
      <c r="L237" s="8"/>
      <c r="M237" s="8"/>
      <c r="N237" s="8"/>
      <c r="O237" s="8"/>
      <c r="P237" s="8"/>
      <c r="Q237" s="8"/>
      <c r="R237" s="8"/>
      <c r="S237" s="8"/>
      <c r="T237" s="8"/>
      <c r="U237" s="8"/>
      <c r="V237" s="8"/>
      <c r="W237" s="8"/>
      <c r="X237" s="8"/>
      <c r="Y237" s="8"/>
      <c r="Z237" s="8"/>
    </row>
    <row r="238">
      <c r="A238" s="61" t="s">
        <v>163</v>
      </c>
      <c r="B238" s="10" t="s">
        <v>185</v>
      </c>
      <c r="C238" s="11" t="s">
        <v>280</v>
      </c>
      <c r="D238" s="11" t="s">
        <v>918</v>
      </c>
      <c r="E238" s="12" t="s">
        <v>41</v>
      </c>
      <c r="F238" s="8"/>
      <c r="G238" s="8"/>
      <c r="H238" s="8"/>
      <c r="I238" s="8"/>
      <c r="J238" s="8"/>
      <c r="K238" s="8"/>
      <c r="L238" s="8"/>
      <c r="M238" s="8"/>
      <c r="N238" s="8"/>
      <c r="O238" s="8"/>
      <c r="P238" s="8"/>
      <c r="Q238" s="8"/>
      <c r="R238" s="8"/>
      <c r="S238" s="8"/>
      <c r="T238" s="8"/>
      <c r="U238" s="8"/>
      <c r="V238" s="8"/>
      <c r="W238" s="8"/>
      <c r="X238" s="8"/>
      <c r="Y238" s="8"/>
      <c r="Z238" s="8"/>
    </row>
    <row r="239">
      <c r="A239" s="61" t="s">
        <v>163</v>
      </c>
      <c r="B239" s="10" t="s">
        <v>185</v>
      </c>
      <c r="C239" s="11" t="s">
        <v>186</v>
      </c>
      <c r="D239" s="11" t="s">
        <v>919</v>
      </c>
      <c r="E239" s="12" t="s">
        <v>41</v>
      </c>
      <c r="F239" s="8"/>
      <c r="G239" s="8"/>
      <c r="H239" s="8"/>
      <c r="I239" s="8"/>
      <c r="J239" s="8"/>
      <c r="K239" s="8"/>
      <c r="L239" s="8"/>
      <c r="M239" s="8"/>
      <c r="N239" s="8"/>
      <c r="O239" s="8"/>
      <c r="P239" s="8"/>
      <c r="Q239" s="8"/>
      <c r="R239" s="8"/>
      <c r="S239" s="8"/>
      <c r="T239" s="8"/>
      <c r="U239" s="8"/>
      <c r="V239" s="8"/>
      <c r="W239" s="8"/>
      <c r="X239" s="8"/>
      <c r="Y239" s="8"/>
      <c r="Z239" s="8"/>
    </row>
    <row r="240">
      <c r="A240" s="61" t="s">
        <v>163</v>
      </c>
      <c r="B240" s="10" t="s">
        <v>185</v>
      </c>
      <c r="C240" s="11" t="s">
        <v>267</v>
      </c>
      <c r="D240" s="11" t="s">
        <v>920</v>
      </c>
      <c r="E240" s="12" t="s">
        <v>41</v>
      </c>
      <c r="F240" s="8"/>
      <c r="G240" s="8"/>
      <c r="H240" s="8"/>
      <c r="I240" s="8"/>
      <c r="J240" s="8"/>
      <c r="K240" s="8"/>
      <c r="L240" s="8"/>
      <c r="M240" s="8"/>
      <c r="N240" s="8"/>
      <c r="O240" s="8"/>
      <c r="P240" s="8"/>
      <c r="Q240" s="8"/>
      <c r="R240" s="8"/>
      <c r="S240" s="8"/>
      <c r="T240" s="8"/>
      <c r="U240" s="8"/>
      <c r="V240" s="8"/>
      <c r="W240" s="8"/>
      <c r="X240" s="8"/>
      <c r="Y240" s="8"/>
      <c r="Z240" s="8"/>
    </row>
    <row r="241">
      <c r="A241" s="61" t="s">
        <v>163</v>
      </c>
      <c r="B241" s="10" t="s">
        <v>31</v>
      </c>
      <c r="C241" s="11" t="s">
        <v>35</v>
      </c>
      <c r="D241" s="11" t="s">
        <v>466</v>
      </c>
      <c r="E241" s="12" t="s">
        <v>41</v>
      </c>
      <c r="F241" s="8"/>
      <c r="G241" s="8"/>
      <c r="H241" s="8"/>
      <c r="I241" s="8"/>
      <c r="J241" s="8"/>
      <c r="K241" s="8"/>
      <c r="L241" s="8"/>
      <c r="M241" s="8"/>
      <c r="N241" s="8"/>
      <c r="O241" s="8"/>
      <c r="P241" s="8"/>
      <c r="Q241" s="8"/>
      <c r="R241" s="8"/>
      <c r="S241" s="8"/>
      <c r="T241" s="8"/>
      <c r="U241" s="8"/>
      <c r="V241" s="8"/>
      <c r="W241" s="8"/>
      <c r="X241" s="8"/>
      <c r="Y241" s="8"/>
      <c r="Z241" s="8"/>
    </row>
    <row r="242">
      <c r="A242" s="61" t="s">
        <v>163</v>
      </c>
      <c r="B242" s="10" t="s">
        <v>31</v>
      </c>
      <c r="C242" s="11" t="s">
        <v>35</v>
      </c>
      <c r="D242" s="11" t="s">
        <v>455</v>
      </c>
      <c r="E242" s="12" t="s">
        <v>41</v>
      </c>
      <c r="F242" s="8"/>
      <c r="G242" s="8"/>
      <c r="H242" s="8"/>
      <c r="I242" s="8"/>
      <c r="J242" s="8"/>
      <c r="K242" s="8"/>
      <c r="L242" s="8"/>
      <c r="M242" s="8"/>
      <c r="N242" s="8"/>
      <c r="O242" s="8"/>
      <c r="P242" s="8"/>
      <c r="Q242" s="8"/>
      <c r="R242" s="8"/>
      <c r="S242" s="8"/>
      <c r="T242" s="8"/>
      <c r="U242" s="8"/>
      <c r="V242" s="8"/>
      <c r="W242" s="8"/>
      <c r="X242" s="8"/>
      <c r="Y242" s="8"/>
      <c r="Z242" s="8"/>
    </row>
    <row r="243">
      <c r="A243" s="61" t="s">
        <v>163</v>
      </c>
      <c r="B243" s="10" t="s">
        <v>31</v>
      </c>
      <c r="C243" s="11" t="s">
        <v>35</v>
      </c>
      <c r="D243" s="11" t="s">
        <v>408</v>
      </c>
      <c r="E243" s="12" t="s">
        <v>41</v>
      </c>
      <c r="F243" s="8"/>
      <c r="G243" s="8"/>
      <c r="H243" s="8"/>
      <c r="I243" s="8"/>
      <c r="J243" s="8"/>
      <c r="K243" s="8"/>
      <c r="L243" s="8"/>
      <c r="M243" s="8"/>
      <c r="N243" s="8"/>
      <c r="O243" s="8"/>
      <c r="P243" s="8"/>
      <c r="Q243" s="8"/>
      <c r="R243" s="8"/>
      <c r="S243" s="8"/>
      <c r="T243" s="8"/>
      <c r="U243" s="8"/>
      <c r="V243" s="8"/>
      <c r="W243" s="8"/>
      <c r="X243" s="8"/>
      <c r="Y243" s="8"/>
      <c r="Z243" s="8"/>
    </row>
    <row r="244">
      <c r="A244" s="61" t="s">
        <v>171</v>
      </c>
      <c r="B244" s="10" t="s">
        <v>185</v>
      </c>
      <c r="C244" s="11" t="s">
        <v>280</v>
      </c>
      <c r="D244" s="11" t="s">
        <v>921</v>
      </c>
      <c r="E244" s="12" t="s">
        <v>41</v>
      </c>
      <c r="F244" s="8"/>
      <c r="G244" s="8"/>
      <c r="H244" s="8"/>
      <c r="I244" s="8"/>
      <c r="J244" s="8"/>
      <c r="K244" s="8"/>
      <c r="L244" s="8"/>
      <c r="M244" s="8"/>
      <c r="N244" s="8"/>
      <c r="O244" s="8"/>
      <c r="P244" s="8"/>
      <c r="Q244" s="8"/>
      <c r="R244" s="8"/>
      <c r="S244" s="8"/>
      <c r="T244" s="8"/>
      <c r="U244" s="8"/>
      <c r="V244" s="8"/>
      <c r="W244" s="8"/>
      <c r="X244" s="8"/>
      <c r="Y244" s="8"/>
      <c r="Z244" s="8"/>
    </row>
    <row r="245">
      <c r="A245" s="61" t="s">
        <v>171</v>
      </c>
      <c r="B245" s="10" t="s">
        <v>185</v>
      </c>
      <c r="C245" s="11" t="s">
        <v>186</v>
      </c>
      <c r="D245" s="11" t="s">
        <v>922</v>
      </c>
      <c r="E245" s="12" t="s">
        <v>41</v>
      </c>
      <c r="F245" s="8"/>
      <c r="G245" s="8"/>
      <c r="H245" s="8"/>
      <c r="I245" s="8"/>
      <c r="J245" s="8"/>
      <c r="K245" s="8"/>
      <c r="L245" s="8"/>
      <c r="M245" s="8"/>
      <c r="N245" s="8"/>
      <c r="O245" s="8"/>
      <c r="P245" s="8"/>
      <c r="Q245" s="8"/>
      <c r="R245" s="8"/>
      <c r="S245" s="8"/>
      <c r="T245" s="8"/>
      <c r="U245" s="8"/>
      <c r="V245" s="8"/>
      <c r="W245" s="8"/>
      <c r="X245" s="8"/>
      <c r="Y245" s="8"/>
      <c r="Z245" s="8"/>
    </row>
    <row r="246">
      <c r="A246" s="10" t="s">
        <v>177</v>
      </c>
      <c r="B246" s="10" t="s">
        <v>185</v>
      </c>
      <c r="C246" s="11" t="s">
        <v>280</v>
      </c>
      <c r="D246" s="11" t="s">
        <v>923</v>
      </c>
      <c r="E246" s="12" t="s">
        <v>41</v>
      </c>
      <c r="F246" s="8"/>
      <c r="G246" s="8"/>
      <c r="H246" s="8"/>
      <c r="I246" s="8"/>
      <c r="J246" s="8"/>
      <c r="K246" s="8"/>
      <c r="L246" s="8"/>
      <c r="M246" s="8"/>
      <c r="N246" s="8"/>
      <c r="O246" s="8"/>
      <c r="P246" s="8"/>
      <c r="Q246" s="8"/>
      <c r="R246" s="8"/>
      <c r="S246" s="8"/>
      <c r="T246" s="8"/>
      <c r="U246" s="8"/>
      <c r="V246" s="8"/>
      <c r="W246" s="8"/>
      <c r="X246" s="8"/>
      <c r="Y246" s="8"/>
      <c r="Z246" s="8"/>
    </row>
    <row r="247">
      <c r="A247" s="10" t="s">
        <v>177</v>
      </c>
      <c r="B247" s="10" t="s">
        <v>185</v>
      </c>
      <c r="C247" s="11" t="s">
        <v>186</v>
      </c>
      <c r="D247" s="11" t="s">
        <v>924</v>
      </c>
      <c r="E247" s="12" t="s">
        <v>41</v>
      </c>
      <c r="F247" s="8"/>
      <c r="G247" s="8"/>
      <c r="H247" s="8"/>
      <c r="I247" s="8"/>
      <c r="J247" s="8"/>
      <c r="K247" s="8"/>
      <c r="L247" s="8"/>
      <c r="M247" s="8"/>
      <c r="N247" s="8"/>
      <c r="O247" s="8"/>
      <c r="P247" s="8"/>
      <c r="Q247" s="8"/>
      <c r="R247" s="8"/>
      <c r="S247" s="8"/>
      <c r="T247" s="8"/>
      <c r="U247" s="8"/>
      <c r="V247" s="8"/>
      <c r="W247" s="8"/>
      <c r="X247" s="8"/>
      <c r="Y247" s="8"/>
      <c r="Z247" s="8"/>
    </row>
    <row r="248">
      <c r="A248" s="10" t="s">
        <v>177</v>
      </c>
      <c r="B248" s="10" t="s">
        <v>185</v>
      </c>
      <c r="C248" s="11" t="s">
        <v>186</v>
      </c>
      <c r="D248" s="11" t="s">
        <v>925</v>
      </c>
      <c r="E248" s="12" t="s">
        <v>41</v>
      </c>
      <c r="F248" s="8"/>
      <c r="G248" s="8"/>
      <c r="H248" s="8"/>
      <c r="I248" s="8"/>
      <c r="J248" s="8"/>
      <c r="K248" s="8"/>
      <c r="L248" s="8"/>
      <c r="M248" s="8"/>
      <c r="N248" s="8"/>
      <c r="O248" s="8"/>
      <c r="P248" s="8"/>
      <c r="Q248" s="8"/>
      <c r="R248" s="8"/>
      <c r="S248" s="8"/>
      <c r="T248" s="8"/>
      <c r="U248" s="8"/>
      <c r="V248" s="8"/>
      <c r="W248" s="8"/>
      <c r="X248" s="8"/>
      <c r="Y248" s="8"/>
      <c r="Z248" s="8"/>
    </row>
    <row r="249">
      <c r="A249" s="10" t="s">
        <v>177</v>
      </c>
      <c r="B249" s="10" t="s">
        <v>185</v>
      </c>
      <c r="C249" s="11" t="s">
        <v>186</v>
      </c>
      <c r="D249" s="11" t="s">
        <v>749</v>
      </c>
      <c r="E249" s="12" t="s">
        <v>41</v>
      </c>
      <c r="F249" s="8"/>
      <c r="G249" s="8"/>
      <c r="H249" s="8"/>
      <c r="I249" s="8"/>
      <c r="J249" s="8"/>
      <c r="K249" s="8"/>
      <c r="L249" s="8"/>
      <c r="M249" s="8"/>
      <c r="N249" s="8"/>
      <c r="O249" s="8"/>
      <c r="P249" s="8"/>
      <c r="Q249" s="8"/>
      <c r="R249" s="8"/>
      <c r="S249" s="8"/>
      <c r="T249" s="8"/>
      <c r="U249" s="8"/>
      <c r="V249" s="8"/>
      <c r="W249" s="8"/>
      <c r="X249" s="8"/>
      <c r="Y249" s="8"/>
      <c r="Z249" s="8"/>
    </row>
    <row r="250">
      <c r="A250" s="10" t="s">
        <v>177</v>
      </c>
      <c r="B250" s="10" t="s">
        <v>185</v>
      </c>
      <c r="C250" s="11" t="s">
        <v>854</v>
      </c>
      <c r="D250" s="11" t="s">
        <v>926</v>
      </c>
      <c r="E250" s="12" t="s">
        <v>41</v>
      </c>
      <c r="F250" s="8"/>
      <c r="G250" s="8"/>
      <c r="H250" s="8"/>
      <c r="I250" s="8"/>
      <c r="J250" s="8"/>
      <c r="K250" s="8"/>
      <c r="L250" s="8"/>
      <c r="M250" s="8"/>
      <c r="N250" s="8"/>
      <c r="O250" s="8"/>
      <c r="P250" s="8"/>
      <c r="Q250" s="8"/>
      <c r="R250" s="8"/>
      <c r="S250" s="8"/>
      <c r="T250" s="8"/>
      <c r="U250" s="8"/>
      <c r="V250" s="8"/>
      <c r="W250" s="8"/>
      <c r="X250" s="8"/>
      <c r="Y250" s="8"/>
      <c r="Z250" s="8"/>
    </row>
    <row r="251">
      <c r="A251" s="10" t="s">
        <v>177</v>
      </c>
      <c r="B251" s="10" t="s">
        <v>185</v>
      </c>
      <c r="C251" s="11" t="s">
        <v>285</v>
      </c>
      <c r="D251" s="11" t="s">
        <v>927</v>
      </c>
      <c r="E251" s="12" t="s">
        <v>41</v>
      </c>
      <c r="F251" s="8"/>
      <c r="G251" s="8"/>
      <c r="H251" s="8"/>
      <c r="I251" s="8"/>
      <c r="J251" s="8"/>
      <c r="K251" s="8"/>
      <c r="L251" s="8"/>
      <c r="M251" s="8"/>
      <c r="N251" s="8"/>
      <c r="O251" s="8"/>
      <c r="P251" s="8"/>
      <c r="Q251" s="8"/>
      <c r="R251" s="8"/>
      <c r="S251" s="8"/>
      <c r="T251" s="8"/>
      <c r="U251" s="8"/>
      <c r="V251" s="8"/>
      <c r="W251" s="8"/>
      <c r="X251" s="8"/>
      <c r="Y251" s="8"/>
      <c r="Z251" s="8"/>
    </row>
    <row r="252">
      <c r="A252" s="10" t="s">
        <v>177</v>
      </c>
      <c r="B252" s="10" t="s">
        <v>185</v>
      </c>
      <c r="C252" s="11" t="s">
        <v>864</v>
      </c>
      <c r="D252" s="11" t="s">
        <v>928</v>
      </c>
      <c r="E252" s="12" t="s">
        <v>41</v>
      </c>
      <c r="F252" s="8"/>
      <c r="G252" s="8"/>
      <c r="H252" s="8"/>
      <c r="I252" s="8"/>
      <c r="J252" s="8"/>
      <c r="K252" s="8"/>
      <c r="L252" s="8"/>
      <c r="M252" s="8"/>
      <c r="N252" s="8"/>
      <c r="O252" s="8"/>
      <c r="P252" s="8"/>
      <c r="Q252" s="8"/>
      <c r="R252" s="8"/>
      <c r="S252" s="8"/>
      <c r="T252" s="8"/>
      <c r="U252" s="8"/>
      <c r="V252" s="8"/>
      <c r="W252" s="8"/>
      <c r="X252" s="8"/>
      <c r="Y252" s="8"/>
      <c r="Z252" s="8"/>
    </row>
    <row r="253">
      <c r="A253" s="10" t="s">
        <v>177</v>
      </c>
      <c r="B253" s="10" t="s">
        <v>185</v>
      </c>
      <c r="C253" s="11" t="s">
        <v>849</v>
      </c>
      <c r="D253" s="11" t="s">
        <v>926</v>
      </c>
      <c r="E253" s="12" t="s">
        <v>41</v>
      </c>
      <c r="F253" s="8"/>
      <c r="G253" s="8"/>
      <c r="H253" s="8"/>
      <c r="I253" s="8"/>
      <c r="J253" s="8"/>
      <c r="K253" s="8"/>
      <c r="L253" s="8"/>
      <c r="M253" s="8"/>
      <c r="N253" s="8"/>
      <c r="O253" s="8"/>
      <c r="P253" s="8"/>
      <c r="Q253" s="8"/>
      <c r="R253" s="8"/>
      <c r="S253" s="8"/>
      <c r="T253" s="8"/>
      <c r="U253" s="8"/>
      <c r="V253" s="8"/>
      <c r="W253" s="8"/>
      <c r="X253" s="8"/>
      <c r="Y253" s="8"/>
      <c r="Z253" s="8"/>
    </row>
    <row r="254">
      <c r="A254" s="10" t="s">
        <v>177</v>
      </c>
      <c r="B254" s="10" t="s">
        <v>185</v>
      </c>
      <c r="C254" s="11" t="s">
        <v>879</v>
      </c>
      <c r="D254" s="11">
        <v>905345.0</v>
      </c>
      <c r="E254" s="12" t="s">
        <v>41</v>
      </c>
      <c r="F254" s="8"/>
      <c r="G254" s="8"/>
      <c r="H254" s="8"/>
      <c r="I254" s="8"/>
      <c r="J254" s="8"/>
      <c r="K254" s="8"/>
      <c r="L254" s="8"/>
      <c r="M254" s="8"/>
      <c r="N254" s="8"/>
      <c r="O254" s="8"/>
      <c r="P254" s="8"/>
      <c r="Q254" s="8"/>
      <c r="R254" s="8"/>
      <c r="S254" s="8"/>
      <c r="T254" s="8"/>
      <c r="U254" s="8"/>
      <c r="V254" s="8"/>
      <c r="W254" s="8"/>
      <c r="X254" s="8"/>
      <c r="Y254" s="8"/>
      <c r="Z254" s="8"/>
    </row>
    <row r="255">
      <c r="A255" s="10" t="s">
        <v>177</v>
      </c>
      <c r="B255" s="10" t="s">
        <v>31</v>
      </c>
      <c r="C255" s="11" t="s">
        <v>35</v>
      </c>
      <c r="D255" s="11" t="s">
        <v>929</v>
      </c>
      <c r="E255" s="12" t="s">
        <v>41</v>
      </c>
      <c r="F255" s="8"/>
      <c r="G255" s="8"/>
      <c r="H255" s="8"/>
      <c r="I255" s="8"/>
      <c r="J255" s="8"/>
      <c r="K255" s="8"/>
      <c r="L255" s="8"/>
      <c r="M255" s="8"/>
      <c r="N255" s="8"/>
      <c r="O255" s="8"/>
      <c r="P255" s="8"/>
      <c r="Q255" s="8"/>
      <c r="R255" s="8"/>
      <c r="S255" s="8"/>
      <c r="T255" s="8"/>
      <c r="U255" s="8"/>
      <c r="V255" s="8"/>
      <c r="W255" s="8"/>
      <c r="X255" s="8"/>
      <c r="Y255" s="8"/>
      <c r="Z255" s="8"/>
    </row>
    <row r="256">
      <c r="A256" s="10" t="s">
        <v>184</v>
      </c>
      <c r="B256" s="10" t="s">
        <v>31</v>
      </c>
      <c r="C256" s="11" t="s">
        <v>35</v>
      </c>
      <c r="D256" s="11" t="s">
        <v>930</v>
      </c>
      <c r="E256" s="12" t="s">
        <v>41</v>
      </c>
      <c r="F256" s="8"/>
      <c r="G256" s="8"/>
      <c r="H256" s="8"/>
      <c r="I256" s="8"/>
      <c r="J256" s="8"/>
      <c r="K256" s="8"/>
      <c r="L256" s="8"/>
      <c r="M256" s="8"/>
      <c r="N256" s="8"/>
      <c r="O256" s="8"/>
      <c r="P256" s="8"/>
      <c r="Q256" s="8"/>
      <c r="R256" s="8"/>
      <c r="S256" s="8"/>
      <c r="T256" s="8"/>
      <c r="U256" s="8"/>
      <c r="V256" s="8"/>
      <c r="W256" s="8"/>
      <c r="X256" s="8"/>
      <c r="Y256" s="8"/>
      <c r="Z256" s="8"/>
    </row>
    <row r="257">
      <c r="A257" s="10" t="s">
        <v>184</v>
      </c>
      <c r="B257" s="10" t="s">
        <v>31</v>
      </c>
      <c r="C257" s="11" t="s">
        <v>35</v>
      </c>
      <c r="D257" s="11" t="s">
        <v>931</v>
      </c>
      <c r="E257" s="12" t="s">
        <v>41</v>
      </c>
      <c r="F257" s="8"/>
      <c r="G257" s="8"/>
      <c r="H257" s="8"/>
      <c r="I257" s="8"/>
      <c r="J257" s="8"/>
      <c r="K257" s="8"/>
      <c r="L257" s="8"/>
      <c r="M257" s="8"/>
      <c r="N257" s="8"/>
      <c r="O257" s="8"/>
      <c r="P257" s="8"/>
      <c r="Q257" s="8"/>
      <c r="R257" s="8"/>
      <c r="S257" s="8"/>
      <c r="T257" s="8"/>
      <c r="U257" s="8"/>
      <c r="V257" s="8"/>
      <c r="W257" s="8"/>
      <c r="X257" s="8"/>
      <c r="Y257" s="8"/>
      <c r="Z257" s="8"/>
    </row>
    <row r="258">
      <c r="A258" s="10" t="s">
        <v>184</v>
      </c>
      <c r="B258" s="10" t="s">
        <v>31</v>
      </c>
      <c r="C258" s="11" t="s">
        <v>182</v>
      </c>
      <c r="D258" s="11">
        <v>2.8024038E7</v>
      </c>
      <c r="E258" s="12" t="s">
        <v>41</v>
      </c>
      <c r="F258" s="8"/>
      <c r="G258" s="8"/>
      <c r="H258" s="8"/>
      <c r="I258" s="8"/>
      <c r="J258" s="8"/>
      <c r="K258" s="8"/>
      <c r="L258" s="8"/>
      <c r="M258" s="8"/>
      <c r="N258" s="8"/>
      <c r="O258" s="8"/>
      <c r="P258" s="8"/>
      <c r="Q258" s="8"/>
      <c r="R258" s="8"/>
      <c r="S258" s="8"/>
      <c r="T258" s="8"/>
      <c r="U258" s="8"/>
      <c r="V258" s="8"/>
      <c r="W258" s="8"/>
      <c r="X258" s="8"/>
      <c r="Y258" s="8"/>
      <c r="Z258" s="8"/>
    </row>
    <row r="259">
      <c r="A259" s="10" t="s">
        <v>184</v>
      </c>
      <c r="B259" s="10" t="s">
        <v>31</v>
      </c>
      <c r="C259" s="11" t="s">
        <v>182</v>
      </c>
      <c r="D259" s="11">
        <v>2.8024035E7</v>
      </c>
      <c r="E259" s="12" t="s">
        <v>41</v>
      </c>
      <c r="F259" s="8"/>
      <c r="G259" s="8"/>
      <c r="H259" s="8"/>
      <c r="I259" s="8"/>
      <c r="J259" s="8"/>
      <c r="K259" s="8"/>
      <c r="L259" s="8"/>
      <c r="M259" s="8"/>
      <c r="N259" s="8"/>
      <c r="O259" s="8"/>
      <c r="P259" s="8"/>
      <c r="Q259" s="8"/>
      <c r="R259" s="8"/>
      <c r="S259" s="8"/>
      <c r="T259" s="8"/>
      <c r="U259" s="8"/>
      <c r="V259" s="8"/>
      <c r="W259" s="8"/>
      <c r="X259" s="8"/>
      <c r="Y259" s="8"/>
      <c r="Z259" s="8"/>
    </row>
    <row r="260">
      <c r="A260" s="10" t="s">
        <v>184</v>
      </c>
      <c r="B260" s="10" t="s">
        <v>31</v>
      </c>
      <c r="C260" s="11" t="s">
        <v>932</v>
      </c>
      <c r="D260" s="67">
        <v>2.72013E18</v>
      </c>
      <c r="E260" s="12" t="s">
        <v>41</v>
      </c>
      <c r="F260" s="8"/>
      <c r="G260" s="8"/>
      <c r="H260" s="8"/>
      <c r="I260" s="8"/>
      <c r="J260" s="8"/>
      <c r="K260" s="8"/>
      <c r="L260" s="8"/>
      <c r="M260" s="8"/>
      <c r="N260" s="8"/>
      <c r="O260" s="8"/>
      <c r="P260" s="8"/>
      <c r="Q260" s="8"/>
      <c r="R260" s="8"/>
      <c r="S260" s="8"/>
      <c r="T260" s="8"/>
      <c r="U260" s="8"/>
      <c r="V260" s="8"/>
      <c r="W260" s="8"/>
      <c r="X260" s="8"/>
      <c r="Y260" s="8"/>
      <c r="Z260" s="8"/>
    </row>
    <row r="261">
      <c r="A261" s="10" t="s">
        <v>184</v>
      </c>
      <c r="B261" s="10" t="s">
        <v>31</v>
      </c>
      <c r="C261" s="11" t="s">
        <v>932</v>
      </c>
      <c r="D261" s="67">
        <v>4.2101E17</v>
      </c>
      <c r="E261" s="12" t="s">
        <v>41</v>
      </c>
      <c r="F261" s="8"/>
      <c r="G261" s="8"/>
      <c r="H261" s="8"/>
      <c r="I261" s="8"/>
      <c r="J261" s="8"/>
      <c r="K261" s="8"/>
      <c r="L261" s="8"/>
      <c r="M261" s="8"/>
      <c r="N261" s="8"/>
      <c r="O261" s="8"/>
      <c r="P261" s="8"/>
      <c r="Q261" s="8"/>
      <c r="R261" s="8"/>
      <c r="S261" s="8"/>
      <c r="T261" s="8"/>
      <c r="U261" s="8"/>
      <c r="V261" s="8"/>
      <c r="W261" s="8"/>
      <c r="X261" s="8"/>
      <c r="Y261" s="8"/>
      <c r="Z261" s="8"/>
    </row>
    <row r="262">
      <c r="A262" s="10" t="s">
        <v>192</v>
      </c>
      <c r="B262" s="10" t="s">
        <v>31</v>
      </c>
      <c r="C262" s="11" t="s">
        <v>35</v>
      </c>
      <c r="D262" s="11" t="s">
        <v>470</v>
      </c>
      <c r="E262" s="12" t="s">
        <v>41</v>
      </c>
      <c r="F262" s="8"/>
      <c r="G262" s="8"/>
      <c r="H262" s="8"/>
      <c r="I262" s="8"/>
      <c r="J262" s="8"/>
      <c r="K262" s="8"/>
      <c r="L262" s="8"/>
      <c r="M262" s="8"/>
      <c r="N262" s="8"/>
      <c r="O262" s="8"/>
      <c r="P262" s="8"/>
      <c r="Q262" s="8"/>
      <c r="R262" s="8"/>
      <c r="S262" s="8"/>
      <c r="T262" s="8"/>
      <c r="U262" s="8"/>
      <c r="V262" s="8"/>
      <c r="W262" s="8"/>
      <c r="X262" s="8"/>
      <c r="Y262" s="8"/>
      <c r="Z262" s="8"/>
    </row>
    <row r="263">
      <c r="A263" s="10" t="s">
        <v>933</v>
      </c>
      <c r="B263" s="10" t="s">
        <v>185</v>
      </c>
      <c r="C263" s="11" t="s">
        <v>267</v>
      </c>
      <c r="D263" s="11" t="s">
        <v>934</v>
      </c>
      <c r="E263" s="12" t="s">
        <v>41</v>
      </c>
      <c r="F263" s="8"/>
      <c r="G263" s="8"/>
      <c r="H263" s="8"/>
      <c r="I263" s="8"/>
      <c r="J263" s="8"/>
      <c r="K263" s="8"/>
      <c r="L263" s="8"/>
      <c r="M263" s="8"/>
      <c r="N263" s="8"/>
      <c r="O263" s="8"/>
      <c r="P263" s="8"/>
      <c r="Q263" s="8"/>
      <c r="R263" s="8"/>
      <c r="S263" s="8"/>
      <c r="T263" s="8"/>
      <c r="U263" s="8"/>
      <c r="V263" s="8"/>
      <c r="W263" s="8"/>
      <c r="X263" s="8"/>
      <c r="Y263" s="8"/>
      <c r="Z263" s="8"/>
    </row>
    <row r="264">
      <c r="A264" s="10" t="s">
        <v>197</v>
      </c>
      <c r="B264" s="10" t="s">
        <v>185</v>
      </c>
      <c r="C264" s="11" t="s">
        <v>186</v>
      </c>
      <c r="D264" s="11" t="s">
        <v>935</v>
      </c>
      <c r="E264" s="12" t="s">
        <v>41</v>
      </c>
      <c r="F264" s="8"/>
      <c r="G264" s="8"/>
      <c r="H264" s="8"/>
      <c r="I264" s="8"/>
      <c r="J264" s="8"/>
      <c r="K264" s="8"/>
      <c r="L264" s="8"/>
      <c r="M264" s="8"/>
      <c r="N264" s="8"/>
      <c r="O264" s="8"/>
      <c r="P264" s="8"/>
      <c r="Q264" s="8"/>
      <c r="R264" s="8"/>
      <c r="S264" s="8"/>
      <c r="T264" s="8"/>
      <c r="U264" s="8"/>
      <c r="V264" s="8"/>
      <c r="W264" s="8"/>
      <c r="X264" s="8"/>
      <c r="Y264" s="8"/>
      <c r="Z264" s="8"/>
    </row>
    <row r="265">
      <c r="A265" s="10" t="s">
        <v>197</v>
      </c>
      <c r="B265" s="10" t="s">
        <v>185</v>
      </c>
      <c r="C265" s="11" t="s">
        <v>186</v>
      </c>
      <c r="D265" s="11" t="s">
        <v>533</v>
      </c>
      <c r="E265" s="12" t="s">
        <v>41</v>
      </c>
      <c r="F265" s="8"/>
      <c r="G265" s="8"/>
      <c r="H265" s="8"/>
      <c r="I265" s="8"/>
      <c r="J265" s="8"/>
      <c r="K265" s="8"/>
      <c r="L265" s="8"/>
      <c r="M265" s="8"/>
      <c r="N265" s="8"/>
      <c r="O265" s="8"/>
      <c r="P265" s="8"/>
      <c r="Q265" s="8"/>
      <c r="R265" s="8"/>
      <c r="S265" s="8"/>
      <c r="T265" s="8"/>
      <c r="U265" s="8"/>
      <c r="V265" s="8"/>
      <c r="W265" s="8"/>
      <c r="X265" s="8"/>
      <c r="Y265" s="8"/>
      <c r="Z265" s="8"/>
    </row>
    <row r="266">
      <c r="A266" s="10" t="s">
        <v>197</v>
      </c>
      <c r="B266" s="10" t="s">
        <v>185</v>
      </c>
      <c r="C266" s="11" t="s">
        <v>186</v>
      </c>
      <c r="D266" s="11" t="s">
        <v>936</v>
      </c>
      <c r="E266" s="12" t="s">
        <v>41</v>
      </c>
      <c r="F266" s="8"/>
      <c r="G266" s="8"/>
      <c r="H266" s="8"/>
      <c r="I266" s="8"/>
      <c r="J266" s="8"/>
      <c r="K266" s="8"/>
      <c r="L266" s="8"/>
      <c r="M266" s="8"/>
      <c r="N266" s="8"/>
      <c r="O266" s="8"/>
      <c r="P266" s="8"/>
      <c r="Q266" s="8"/>
      <c r="R266" s="8"/>
      <c r="S266" s="8"/>
      <c r="T266" s="8"/>
      <c r="U266" s="8"/>
      <c r="V266" s="8"/>
      <c r="W266" s="8"/>
      <c r="X266" s="8"/>
      <c r="Y266" s="8"/>
      <c r="Z266" s="8"/>
    </row>
    <row r="267">
      <c r="A267" s="10" t="s">
        <v>197</v>
      </c>
      <c r="B267" s="10" t="s">
        <v>185</v>
      </c>
      <c r="C267" s="11" t="s">
        <v>186</v>
      </c>
      <c r="D267" s="11" t="s">
        <v>373</v>
      </c>
      <c r="E267" s="12" t="s">
        <v>41</v>
      </c>
      <c r="F267" s="8"/>
      <c r="G267" s="8"/>
      <c r="H267" s="8"/>
      <c r="I267" s="8"/>
      <c r="J267" s="8"/>
      <c r="K267" s="8"/>
      <c r="L267" s="8"/>
      <c r="M267" s="8"/>
      <c r="N267" s="8"/>
      <c r="O267" s="8"/>
      <c r="P267" s="8"/>
      <c r="Q267" s="8"/>
      <c r="R267" s="8"/>
      <c r="S267" s="8"/>
      <c r="T267" s="8"/>
      <c r="U267" s="8"/>
      <c r="V267" s="8"/>
      <c r="W267" s="8"/>
      <c r="X267" s="8"/>
      <c r="Y267" s="8"/>
      <c r="Z267" s="8"/>
    </row>
    <row r="268">
      <c r="A268" s="10" t="s">
        <v>197</v>
      </c>
      <c r="B268" s="10" t="s">
        <v>185</v>
      </c>
      <c r="C268" s="11" t="s">
        <v>186</v>
      </c>
      <c r="D268" s="11" t="s">
        <v>461</v>
      </c>
      <c r="E268" s="12" t="s">
        <v>41</v>
      </c>
      <c r="F268" s="8"/>
      <c r="G268" s="8"/>
      <c r="H268" s="8"/>
      <c r="I268" s="8"/>
      <c r="J268" s="8"/>
      <c r="K268" s="8"/>
      <c r="L268" s="8"/>
      <c r="M268" s="8"/>
      <c r="N268" s="8"/>
      <c r="O268" s="8"/>
      <c r="P268" s="8"/>
      <c r="Q268" s="8"/>
      <c r="R268" s="8"/>
      <c r="S268" s="8"/>
      <c r="T268" s="8"/>
      <c r="U268" s="8"/>
      <c r="V268" s="8"/>
      <c r="W268" s="8"/>
      <c r="X268" s="8"/>
      <c r="Y268" s="8"/>
      <c r="Z268" s="8"/>
    </row>
    <row r="269">
      <c r="A269" s="10" t="s">
        <v>197</v>
      </c>
      <c r="B269" s="10" t="s">
        <v>185</v>
      </c>
      <c r="C269" s="11" t="s">
        <v>186</v>
      </c>
      <c r="D269" s="11" t="s">
        <v>937</v>
      </c>
      <c r="E269" s="12" t="s">
        <v>41</v>
      </c>
      <c r="F269" s="8"/>
      <c r="G269" s="8"/>
      <c r="H269" s="8"/>
      <c r="I269" s="8"/>
      <c r="J269" s="8"/>
      <c r="K269" s="8"/>
      <c r="L269" s="8"/>
      <c r="M269" s="8"/>
      <c r="N269" s="8"/>
      <c r="O269" s="8"/>
      <c r="P269" s="8"/>
      <c r="Q269" s="8"/>
      <c r="R269" s="8"/>
      <c r="S269" s="8"/>
      <c r="T269" s="8"/>
      <c r="U269" s="8"/>
      <c r="V269" s="8"/>
      <c r="W269" s="8"/>
      <c r="X269" s="8"/>
      <c r="Y269" s="8"/>
      <c r="Z269" s="8"/>
    </row>
    <row r="270">
      <c r="A270" s="10" t="s">
        <v>197</v>
      </c>
      <c r="B270" s="10" t="s">
        <v>185</v>
      </c>
      <c r="C270" s="11" t="s">
        <v>267</v>
      </c>
      <c r="D270" s="11" t="s">
        <v>518</v>
      </c>
      <c r="E270" s="12" t="s">
        <v>41</v>
      </c>
      <c r="F270" s="8"/>
      <c r="G270" s="8"/>
      <c r="H270" s="8"/>
      <c r="I270" s="8"/>
      <c r="J270" s="8"/>
      <c r="K270" s="8"/>
      <c r="L270" s="8"/>
      <c r="M270" s="8"/>
      <c r="N270" s="8"/>
      <c r="O270" s="8"/>
      <c r="P270" s="8"/>
      <c r="Q270" s="8"/>
      <c r="R270" s="8"/>
      <c r="S270" s="8"/>
      <c r="T270" s="8"/>
      <c r="U270" s="8"/>
      <c r="V270" s="8"/>
      <c r="W270" s="8"/>
      <c r="X270" s="8"/>
      <c r="Y270" s="8"/>
      <c r="Z270" s="8"/>
    </row>
    <row r="271">
      <c r="A271" s="10" t="s">
        <v>197</v>
      </c>
      <c r="B271" s="10" t="s">
        <v>185</v>
      </c>
      <c r="C271" s="11" t="s">
        <v>267</v>
      </c>
      <c r="D271" s="11" t="s">
        <v>938</v>
      </c>
      <c r="E271" s="12" t="s">
        <v>41</v>
      </c>
      <c r="F271" s="8"/>
      <c r="G271" s="8"/>
      <c r="H271" s="8"/>
      <c r="I271" s="8"/>
      <c r="J271" s="8"/>
      <c r="K271" s="8"/>
      <c r="L271" s="8"/>
      <c r="M271" s="8"/>
      <c r="N271" s="8"/>
      <c r="O271" s="8"/>
      <c r="P271" s="8"/>
      <c r="Q271" s="8"/>
      <c r="R271" s="8"/>
      <c r="S271" s="8"/>
      <c r="T271" s="8"/>
      <c r="U271" s="8"/>
      <c r="V271" s="8"/>
      <c r="W271" s="8"/>
      <c r="X271" s="8"/>
      <c r="Y271" s="8"/>
      <c r="Z271" s="8"/>
    </row>
    <row r="272">
      <c r="A272" s="10" t="s">
        <v>197</v>
      </c>
      <c r="B272" s="10" t="s">
        <v>185</v>
      </c>
      <c r="C272" s="11" t="s">
        <v>285</v>
      </c>
      <c r="D272" s="11" t="s">
        <v>939</v>
      </c>
      <c r="E272" s="12" t="s">
        <v>41</v>
      </c>
      <c r="F272" s="8"/>
      <c r="G272" s="8"/>
      <c r="H272" s="8"/>
      <c r="I272" s="8"/>
      <c r="J272" s="8"/>
      <c r="K272" s="8"/>
      <c r="L272" s="8"/>
      <c r="M272" s="8"/>
      <c r="N272" s="8"/>
      <c r="O272" s="8"/>
      <c r="P272" s="8"/>
      <c r="Q272" s="8"/>
      <c r="R272" s="8"/>
      <c r="S272" s="8"/>
      <c r="T272" s="8"/>
      <c r="U272" s="8"/>
      <c r="V272" s="8"/>
      <c r="W272" s="8"/>
      <c r="X272" s="8"/>
      <c r="Y272" s="8"/>
      <c r="Z272" s="8"/>
    </row>
    <row r="273">
      <c r="A273" s="10" t="s">
        <v>197</v>
      </c>
      <c r="B273" s="10" t="s">
        <v>185</v>
      </c>
      <c r="C273" s="11" t="s">
        <v>267</v>
      </c>
      <c r="D273" s="11" t="s">
        <v>940</v>
      </c>
      <c r="E273" s="12" t="s">
        <v>41</v>
      </c>
      <c r="F273" s="8"/>
      <c r="G273" s="8"/>
      <c r="H273" s="8"/>
      <c r="I273" s="8"/>
      <c r="J273" s="8"/>
      <c r="K273" s="8"/>
      <c r="L273" s="8"/>
      <c r="M273" s="8"/>
      <c r="N273" s="8"/>
      <c r="O273" s="8"/>
      <c r="P273" s="8"/>
      <c r="Q273" s="8"/>
      <c r="R273" s="8"/>
      <c r="S273" s="8"/>
      <c r="T273" s="8"/>
      <c r="U273" s="8"/>
      <c r="V273" s="8"/>
      <c r="W273" s="8"/>
      <c r="X273" s="8"/>
      <c r="Y273" s="8"/>
      <c r="Z273" s="8"/>
    </row>
    <row r="274">
      <c r="A274" s="10" t="s">
        <v>197</v>
      </c>
      <c r="B274" s="10" t="s">
        <v>185</v>
      </c>
      <c r="C274" s="11" t="s">
        <v>568</v>
      </c>
      <c r="D274" s="11">
        <v>903944.0</v>
      </c>
      <c r="E274" s="12" t="s">
        <v>41</v>
      </c>
      <c r="F274" s="8"/>
      <c r="G274" s="8"/>
      <c r="H274" s="8"/>
      <c r="I274" s="8"/>
      <c r="J274" s="8"/>
      <c r="K274" s="8"/>
      <c r="L274" s="8"/>
      <c r="M274" s="8"/>
      <c r="N274" s="8"/>
      <c r="O274" s="8"/>
      <c r="P274" s="8"/>
      <c r="Q274" s="8"/>
      <c r="R274" s="8"/>
      <c r="S274" s="8"/>
      <c r="T274" s="8"/>
      <c r="U274" s="8"/>
      <c r="V274" s="8"/>
      <c r="W274" s="8"/>
      <c r="X274" s="8"/>
      <c r="Y274" s="8"/>
      <c r="Z274" s="8"/>
    </row>
    <row r="275">
      <c r="A275" s="10" t="s">
        <v>197</v>
      </c>
      <c r="B275" s="10" t="s">
        <v>185</v>
      </c>
      <c r="C275" s="11" t="s">
        <v>267</v>
      </c>
      <c r="D275" s="11" t="s">
        <v>941</v>
      </c>
      <c r="E275" s="12" t="s">
        <v>41</v>
      </c>
      <c r="F275" s="8"/>
      <c r="G275" s="8"/>
      <c r="H275" s="8"/>
      <c r="I275" s="8"/>
      <c r="J275" s="8"/>
      <c r="K275" s="8"/>
      <c r="L275" s="8"/>
      <c r="M275" s="8"/>
      <c r="N275" s="8"/>
      <c r="O275" s="8"/>
      <c r="P275" s="8"/>
      <c r="Q275" s="8"/>
      <c r="R275" s="8"/>
      <c r="S275" s="8"/>
      <c r="T275" s="8"/>
      <c r="U275" s="8"/>
      <c r="V275" s="8"/>
      <c r="W275" s="8"/>
      <c r="X275" s="8"/>
      <c r="Y275" s="8"/>
      <c r="Z275" s="8"/>
    </row>
    <row r="276">
      <c r="A276" s="10" t="s">
        <v>197</v>
      </c>
      <c r="B276" s="10" t="s">
        <v>185</v>
      </c>
      <c r="C276" s="11" t="s">
        <v>186</v>
      </c>
      <c r="D276" s="11" t="s">
        <v>942</v>
      </c>
      <c r="E276" s="12" t="s">
        <v>41</v>
      </c>
      <c r="F276" s="8"/>
      <c r="G276" s="8"/>
      <c r="H276" s="8"/>
      <c r="I276" s="8"/>
      <c r="J276" s="8"/>
      <c r="K276" s="8"/>
      <c r="L276" s="8"/>
      <c r="M276" s="8"/>
      <c r="N276" s="8"/>
      <c r="O276" s="8"/>
      <c r="P276" s="8"/>
      <c r="Q276" s="8"/>
      <c r="R276" s="8"/>
      <c r="S276" s="8"/>
      <c r="T276" s="8"/>
      <c r="U276" s="8"/>
      <c r="V276" s="8"/>
      <c r="W276" s="8"/>
      <c r="X276" s="8"/>
      <c r="Y276" s="8"/>
      <c r="Z276" s="8"/>
    </row>
    <row r="277">
      <c r="A277" s="10" t="s">
        <v>197</v>
      </c>
      <c r="B277" s="10" t="s">
        <v>185</v>
      </c>
      <c r="C277" s="11" t="s">
        <v>186</v>
      </c>
      <c r="D277" s="11" t="s">
        <v>523</v>
      </c>
      <c r="E277" s="12" t="s">
        <v>41</v>
      </c>
      <c r="F277" s="8"/>
      <c r="G277" s="8"/>
      <c r="H277" s="8"/>
      <c r="I277" s="8"/>
      <c r="J277" s="8"/>
      <c r="K277" s="8"/>
      <c r="L277" s="8"/>
      <c r="M277" s="8"/>
      <c r="N277" s="8"/>
      <c r="O277" s="8"/>
      <c r="P277" s="8"/>
      <c r="Q277" s="8"/>
      <c r="R277" s="8"/>
      <c r="S277" s="8"/>
      <c r="T277" s="8"/>
      <c r="U277" s="8"/>
      <c r="V277" s="8"/>
      <c r="W277" s="8"/>
      <c r="X277" s="8"/>
      <c r="Y277" s="8"/>
      <c r="Z277" s="8"/>
    </row>
    <row r="278">
      <c r="A278" s="10" t="s">
        <v>197</v>
      </c>
      <c r="B278" s="10" t="s">
        <v>185</v>
      </c>
      <c r="C278" s="11" t="s">
        <v>186</v>
      </c>
      <c r="D278" s="11" t="s">
        <v>943</v>
      </c>
      <c r="E278" s="12" t="s">
        <v>41</v>
      </c>
      <c r="F278" s="8"/>
      <c r="G278" s="8"/>
      <c r="H278" s="8"/>
      <c r="I278" s="8"/>
      <c r="J278" s="8"/>
      <c r="K278" s="8"/>
      <c r="L278" s="8"/>
      <c r="M278" s="8"/>
      <c r="N278" s="8"/>
      <c r="O278" s="8"/>
      <c r="P278" s="8"/>
      <c r="Q278" s="8"/>
      <c r="R278" s="8"/>
      <c r="S278" s="8"/>
      <c r="T278" s="8"/>
      <c r="U278" s="8"/>
      <c r="V278" s="8"/>
      <c r="W278" s="8"/>
      <c r="X278" s="8"/>
      <c r="Y278" s="8"/>
      <c r="Z278" s="8"/>
    </row>
    <row r="279">
      <c r="A279" s="10" t="s">
        <v>197</v>
      </c>
      <c r="B279" s="10" t="s">
        <v>185</v>
      </c>
      <c r="C279" s="11" t="s">
        <v>186</v>
      </c>
      <c r="D279" s="11" t="s">
        <v>944</v>
      </c>
      <c r="E279" s="12" t="s">
        <v>41</v>
      </c>
      <c r="F279" s="8"/>
      <c r="G279" s="8"/>
      <c r="H279" s="8"/>
      <c r="I279" s="8"/>
      <c r="J279" s="8"/>
      <c r="K279" s="8"/>
      <c r="L279" s="8"/>
      <c r="M279" s="8"/>
      <c r="N279" s="8"/>
      <c r="O279" s="8"/>
      <c r="P279" s="8"/>
      <c r="Q279" s="8"/>
      <c r="R279" s="8"/>
      <c r="S279" s="8"/>
      <c r="T279" s="8"/>
      <c r="U279" s="8"/>
      <c r="V279" s="8"/>
      <c r="W279" s="8"/>
      <c r="X279" s="8"/>
      <c r="Y279" s="8"/>
      <c r="Z279" s="8"/>
    </row>
    <row r="280">
      <c r="A280" s="10" t="s">
        <v>197</v>
      </c>
      <c r="B280" s="10" t="s">
        <v>185</v>
      </c>
      <c r="C280" s="11" t="s">
        <v>186</v>
      </c>
      <c r="D280" s="11" t="s">
        <v>945</v>
      </c>
      <c r="E280" s="12" t="s">
        <v>41</v>
      </c>
      <c r="F280" s="8"/>
      <c r="G280" s="8"/>
      <c r="H280" s="8"/>
      <c r="I280" s="8"/>
      <c r="J280" s="8"/>
      <c r="K280" s="8"/>
      <c r="L280" s="8"/>
      <c r="M280" s="8"/>
      <c r="N280" s="8"/>
      <c r="O280" s="8"/>
      <c r="P280" s="8"/>
      <c r="Q280" s="8"/>
      <c r="R280" s="8"/>
      <c r="S280" s="8"/>
      <c r="T280" s="8"/>
      <c r="U280" s="8"/>
      <c r="V280" s="8"/>
      <c r="W280" s="8"/>
      <c r="X280" s="8"/>
      <c r="Y280" s="8"/>
      <c r="Z280" s="8"/>
    </row>
    <row r="281">
      <c r="A281" s="10" t="s">
        <v>197</v>
      </c>
      <c r="B281" s="10" t="s">
        <v>185</v>
      </c>
      <c r="C281" s="11" t="s">
        <v>267</v>
      </c>
      <c r="D281" s="11" t="s">
        <v>946</v>
      </c>
      <c r="E281" s="12" t="s">
        <v>41</v>
      </c>
      <c r="F281" s="8"/>
      <c r="G281" s="8"/>
      <c r="H281" s="8"/>
      <c r="I281" s="8"/>
      <c r="J281" s="8"/>
      <c r="K281" s="8"/>
      <c r="L281" s="8"/>
      <c r="M281" s="8"/>
      <c r="N281" s="8"/>
      <c r="O281" s="8"/>
      <c r="P281" s="8"/>
      <c r="Q281" s="8"/>
      <c r="R281" s="8"/>
      <c r="S281" s="8"/>
      <c r="T281" s="8"/>
      <c r="U281" s="8"/>
      <c r="V281" s="8"/>
      <c r="W281" s="8"/>
      <c r="X281" s="8"/>
      <c r="Y281" s="8"/>
      <c r="Z281" s="8"/>
    </row>
    <row r="282">
      <c r="A282" s="10" t="s">
        <v>197</v>
      </c>
      <c r="B282" s="10" t="s">
        <v>185</v>
      </c>
      <c r="C282" s="11" t="s">
        <v>267</v>
      </c>
      <c r="D282" s="11" t="s">
        <v>506</v>
      </c>
      <c r="E282" s="12" t="s">
        <v>41</v>
      </c>
      <c r="F282" s="8"/>
      <c r="G282" s="8"/>
      <c r="H282" s="8"/>
      <c r="I282" s="8"/>
      <c r="J282" s="8"/>
      <c r="K282" s="8"/>
      <c r="L282" s="8"/>
      <c r="M282" s="8"/>
      <c r="N282" s="8"/>
      <c r="O282" s="8"/>
      <c r="P282" s="8"/>
      <c r="Q282" s="8"/>
      <c r="R282" s="8"/>
      <c r="S282" s="8"/>
      <c r="T282" s="8"/>
      <c r="U282" s="8"/>
      <c r="V282" s="8"/>
      <c r="W282" s="8"/>
      <c r="X282" s="8"/>
      <c r="Y282" s="8"/>
      <c r="Z282" s="8"/>
    </row>
    <row r="283">
      <c r="A283" s="10" t="s">
        <v>197</v>
      </c>
      <c r="B283" s="10" t="s">
        <v>185</v>
      </c>
      <c r="C283" s="11" t="s">
        <v>267</v>
      </c>
      <c r="D283" s="11" t="s">
        <v>464</v>
      </c>
      <c r="E283" s="12" t="s">
        <v>41</v>
      </c>
      <c r="F283" s="8"/>
      <c r="G283" s="8"/>
      <c r="H283" s="8"/>
      <c r="I283" s="8"/>
      <c r="J283" s="8"/>
      <c r="K283" s="8"/>
      <c r="L283" s="8"/>
      <c r="M283" s="8"/>
      <c r="N283" s="8"/>
      <c r="O283" s="8"/>
      <c r="P283" s="8"/>
      <c r="Q283" s="8"/>
      <c r="R283" s="8"/>
      <c r="S283" s="8"/>
      <c r="T283" s="8"/>
      <c r="U283" s="8"/>
      <c r="V283" s="8"/>
      <c r="W283" s="8"/>
      <c r="X283" s="8"/>
      <c r="Y283" s="8"/>
      <c r="Z283" s="8"/>
    </row>
    <row r="284">
      <c r="A284" s="10" t="s">
        <v>197</v>
      </c>
      <c r="B284" s="10" t="s">
        <v>185</v>
      </c>
      <c r="C284" s="11" t="s">
        <v>267</v>
      </c>
      <c r="D284" s="11" t="s">
        <v>393</v>
      </c>
      <c r="E284" s="12" t="s">
        <v>41</v>
      </c>
      <c r="F284" s="8"/>
      <c r="G284" s="8"/>
      <c r="H284" s="8"/>
      <c r="I284" s="8"/>
      <c r="J284" s="8"/>
      <c r="K284" s="8"/>
      <c r="L284" s="8"/>
      <c r="M284" s="8"/>
      <c r="N284" s="8"/>
      <c r="O284" s="8"/>
      <c r="P284" s="8"/>
      <c r="Q284" s="8"/>
      <c r="R284" s="8"/>
      <c r="S284" s="8"/>
      <c r="T284" s="8"/>
      <c r="U284" s="8"/>
      <c r="V284" s="8"/>
      <c r="W284" s="8"/>
      <c r="X284" s="8"/>
      <c r="Y284" s="8"/>
      <c r="Z284" s="8"/>
    </row>
    <row r="285">
      <c r="A285" s="10" t="s">
        <v>197</v>
      </c>
      <c r="B285" s="10" t="s">
        <v>185</v>
      </c>
      <c r="C285" s="11" t="s">
        <v>285</v>
      </c>
      <c r="D285" s="11" t="s">
        <v>558</v>
      </c>
      <c r="E285" s="12" t="s">
        <v>41</v>
      </c>
      <c r="F285" s="8"/>
      <c r="G285" s="8"/>
      <c r="H285" s="8"/>
      <c r="I285" s="8"/>
      <c r="J285" s="8"/>
      <c r="K285" s="8"/>
      <c r="L285" s="8"/>
      <c r="M285" s="8"/>
      <c r="N285" s="8"/>
      <c r="O285" s="8"/>
      <c r="P285" s="8"/>
      <c r="Q285" s="8"/>
      <c r="R285" s="8"/>
      <c r="S285" s="8"/>
      <c r="T285" s="8"/>
      <c r="U285" s="8"/>
      <c r="V285" s="8"/>
      <c r="W285" s="8"/>
      <c r="X285" s="8"/>
      <c r="Y285" s="8"/>
      <c r="Z285" s="8"/>
    </row>
    <row r="286">
      <c r="A286" s="10" t="s">
        <v>197</v>
      </c>
      <c r="B286" s="10" t="s">
        <v>185</v>
      </c>
      <c r="C286" s="11" t="s">
        <v>285</v>
      </c>
      <c r="D286" s="11" t="s">
        <v>400</v>
      </c>
      <c r="E286" s="12" t="s">
        <v>41</v>
      </c>
      <c r="F286" s="8"/>
      <c r="G286" s="8"/>
      <c r="H286" s="8"/>
      <c r="I286" s="8"/>
      <c r="J286" s="8"/>
      <c r="K286" s="8"/>
      <c r="L286" s="8"/>
      <c r="M286" s="8"/>
      <c r="N286" s="8"/>
      <c r="O286" s="8"/>
      <c r="P286" s="8"/>
      <c r="Q286" s="8"/>
      <c r="R286" s="8"/>
      <c r="S286" s="8"/>
      <c r="T286" s="8"/>
      <c r="U286" s="8"/>
      <c r="V286" s="8"/>
      <c r="W286" s="8"/>
      <c r="X286" s="8"/>
      <c r="Y286" s="8"/>
      <c r="Z286" s="8"/>
    </row>
    <row r="287">
      <c r="A287" s="10" t="s">
        <v>197</v>
      </c>
      <c r="B287" s="10" t="s">
        <v>185</v>
      </c>
      <c r="C287" s="11" t="s">
        <v>285</v>
      </c>
      <c r="D287" s="11" t="s">
        <v>406</v>
      </c>
      <c r="E287" s="12" t="s">
        <v>41</v>
      </c>
      <c r="F287" s="8"/>
      <c r="G287" s="8"/>
      <c r="H287" s="8"/>
      <c r="I287" s="8"/>
      <c r="J287" s="8"/>
      <c r="K287" s="8"/>
      <c r="L287" s="8"/>
      <c r="M287" s="8"/>
      <c r="N287" s="8"/>
      <c r="O287" s="8"/>
      <c r="P287" s="8"/>
      <c r="Q287" s="8"/>
      <c r="R287" s="8"/>
      <c r="S287" s="8"/>
      <c r="T287" s="8"/>
      <c r="U287" s="8"/>
      <c r="V287" s="8"/>
      <c r="W287" s="8"/>
      <c r="X287" s="8"/>
      <c r="Y287" s="8"/>
      <c r="Z287" s="8"/>
    </row>
    <row r="288">
      <c r="A288" s="10" t="s">
        <v>197</v>
      </c>
      <c r="B288" s="10" t="s">
        <v>185</v>
      </c>
      <c r="C288" s="11" t="s">
        <v>285</v>
      </c>
      <c r="D288" s="11" t="s">
        <v>947</v>
      </c>
      <c r="E288" s="12" t="s">
        <v>41</v>
      </c>
      <c r="F288" s="8"/>
      <c r="G288" s="8"/>
      <c r="H288" s="8"/>
      <c r="I288" s="8"/>
      <c r="J288" s="8"/>
      <c r="K288" s="8"/>
      <c r="L288" s="8"/>
      <c r="M288" s="8"/>
      <c r="N288" s="8"/>
      <c r="O288" s="8"/>
      <c r="P288" s="8"/>
      <c r="Q288" s="8"/>
      <c r="R288" s="8"/>
      <c r="S288" s="8"/>
      <c r="T288" s="8"/>
      <c r="U288" s="8"/>
      <c r="V288" s="8"/>
      <c r="W288" s="8"/>
      <c r="X288" s="8"/>
      <c r="Y288" s="8"/>
      <c r="Z288" s="8"/>
    </row>
    <row r="289">
      <c r="A289" s="10" t="s">
        <v>197</v>
      </c>
      <c r="B289" s="10" t="s">
        <v>185</v>
      </c>
      <c r="C289" s="11" t="s">
        <v>280</v>
      </c>
      <c r="D289" s="11" t="s">
        <v>948</v>
      </c>
      <c r="E289" s="12" t="s">
        <v>41</v>
      </c>
      <c r="F289" s="8"/>
      <c r="G289" s="8"/>
      <c r="H289" s="8"/>
      <c r="I289" s="8"/>
      <c r="J289" s="8"/>
      <c r="K289" s="8"/>
      <c r="L289" s="8"/>
      <c r="M289" s="8"/>
      <c r="N289" s="8"/>
      <c r="O289" s="8"/>
      <c r="P289" s="8"/>
      <c r="Q289" s="8"/>
      <c r="R289" s="8"/>
      <c r="S289" s="8"/>
      <c r="T289" s="8"/>
      <c r="U289" s="8"/>
      <c r="V289" s="8"/>
      <c r="W289" s="8"/>
      <c r="X289" s="8"/>
      <c r="Y289" s="8"/>
      <c r="Z289" s="8"/>
    </row>
    <row r="290">
      <c r="A290" s="10" t="s">
        <v>197</v>
      </c>
      <c r="B290" s="10" t="s">
        <v>185</v>
      </c>
      <c r="C290" s="11" t="s">
        <v>280</v>
      </c>
      <c r="D290" s="11" t="s">
        <v>453</v>
      </c>
      <c r="E290" s="12" t="s">
        <v>41</v>
      </c>
      <c r="F290" s="8"/>
      <c r="G290" s="8"/>
      <c r="H290" s="8"/>
      <c r="I290" s="8"/>
      <c r="J290" s="8"/>
      <c r="K290" s="8"/>
      <c r="L290" s="8"/>
      <c r="M290" s="8"/>
      <c r="N290" s="8"/>
      <c r="O290" s="8"/>
      <c r="P290" s="8"/>
      <c r="Q290" s="8"/>
      <c r="R290" s="8"/>
      <c r="S290" s="8"/>
      <c r="T290" s="8"/>
      <c r="U290" s="8"/>
      <c r="V290" s="8"/>
      <c r="W290" s="8"/>
      <c r="X290" s="8"/>
      <c r="Y290" s="8"/>
      <c r="Z290" s="8"/>
    </row>
    <row r="291">
      <c r="A291" s="10" t="s">
        <v>197</v>
      </c>
      <c r="B291" s="10" t="s">
        <v>185</v>
      </c>
      <c r="C291" s="11" t="s">
        <v>280</v>
      </c>
      <c r="D291" s="11" t="s">
        <v>382</v>
      </c>
      <c r="E291" s="12" t="s">
        <v>41</v>
      </c>
      <c r="F291" s="8"/>
      <c r="G291" s="8"/>
      <c r="H291" s="8"/>
      <c r="I291" s="8"/>
      <c r="J291" s="8"/>
      <c r="K291" s="8"/>
      <c r="L291" s="8"/>
      <c r="M291" s="8"/>
      <c r="N291" s="8"/>
      <c r="O291" s="8"/>
      <c r="P291" s="8"/>
      <c r="Q291" s="8"/>
      <c r="R291" s="8"/>
      <c r="S291" s="8"/>
      <c r="T291" s="8"/>
      <c r="U291" s="8"/>
      <c r="V291" s="8"/>
      <c r="W291" s="8"/>
      <c r="X291" s="8"/>
      <c r="Y291" s="8"/>
      <c r="Z291" s="8"/>
    </row>
    <row r="292">
      <c r="A292" s="10" t="s">
        <v>197</v>
      </c>
      <c r="B292" s="10" t="s">
        <v>185</v>
      </c>
      <c r="C292" s="11" t="s">
        <v>285</v>
      </c>
      <c r="D292" s="11" t="s">
        <v>513</v>
      </c>
      <c r="E292" s="12" t="s">
        <v>41</v>
      </c>
      <c r="F292" s="8"/>
      <c r="G292" s="8"/>
      <c r="H292" s="8"/>
      <c r="I292" s="8"/>
      <c r="J292" s="8"/>
      <c r="K292" s="8"/>
      <c r="L292" s="8"/>
      <c r="M292" s="8"/>
      <c r="N292" s="8"/>
      <c r="O292" s="8"/>
      <c r="P292" s="8"/>
      <c r="Q292" s="8"/>
      <c r="R292" s="8"/>
      <c r="S292" s="8"/>
      <c r="T292" s="8"/>
      <c r="U292" s="8"/>
      <c r="V292" s="8"/>
      <c r="W292" s="8"/>
      <c r="X292" s="8"/>
      <c r="Y292" s="8"/>
      <c r="Z292" s="8"/>
    </row>
    <row r="293">
      <c r="A293" s="10" t="s">
        <v>197</v>
      </c>
      <c r="B293" s="10" t="s">
        <v>185</v>
      </c>
      <c r="C293" s="11" t="s">
        <v>280</v>
      </c>
      <c r="D293" s="11" t="s">
        <v>441</v>
      </c>
      <c r="E293" s="12" t="s">
        <v>41</v>
      </c>
      <c r="F293" s="8"/>
      <c r="G293" s="8"/>
      <c r="H293" s="8"/>
      <c r="I293" s="8"/>
      <c r="J293" s="8"/>
      <c r="K293" s="8"/>
      <c r="L293" s="8"/>
      <c r="M293" s="8"/>
      <c r="N293" s="8"/>
      <c r="O293" s="8"/>
      <c r="P293" s="8"/>
      <c r="Q293" s="8"/>
      <c r="R293" s="8"/>
      <c r="S293" s="8"/>
      <c r="T293" s="8"/>
      <c r="U293" s="8"/>
      <c r="V293" s="8"/>
      <c r="W293" s="8"/>
      <c r="X293" s="8"/>
      <c r="Y293" s="8"/>
      <c r="Z293" s="8"/>
    </row>
    <row r="294">
      <c r="A294" s="10" t="s">
        <v>197</v>
      </c>
      <c r="B294" s="10" t="s">
        <v>31</v>
      </c>
      <c r="C294" s="11" t="s">
        <v>35</v>
      </c>
      <c r="D294" s="11" t="s">
        <v>949</v>
      </c>
      <c r="E294" s="12" t="s">
        <v>41</v>
      </c>
      <c r="F294" s="8"/>
      <c r="G294" s="8"/>
      <c r="H294" s="8"/>
      <c r="I294" s="8"/>
      <c r="J294" s="8"/>
      <c r="K294" s="8"/>
      <c r="L294" s="8"/>
      <c r="M294" s="8"/>
      <c r="N294" s="8"/>
      <c r="O294" s="8"/>
      <c r="P294" s="8"/>
      <c r="Q294" s="8"/>
      <c r="R294" s="8"/>
      <c r="S294" s="8"/>
      <c r="T294" s="8"/>
      <c r="U294" s="8"/>
      <c r="V294" s="8"/>
      <c r="W294" s="8"/>
      <c r="X294" s="8"/>
      <c r="Y294" s="8"/>
      <c r="Z294" s="8"/>
    </row>
    <row r="295">
      <c r="A295" s="10" t="s">
        <v>197</v>
      </c>
      <c r="B295" s="10" t="s">
        <v>31</v>
      </c>
      <c r="C295" s="11" t="s">
        <v>35</v>
      </c>
      <c r="D295" s="11" t="s">
        <v>950</v>
      </c>
      <c r="E295" s="12" t="s">
        <v>41</v>
      </c>
      <c r="F295" s="8"/>
      <c r="G295" s="8"/>
      <c r="H295" s="8"/>
      <c r="I295" s="8"/>
      <c r="J295" s="8"/>
      <c r="K295" s="8"/>
      <c r="L295" s="8"/>
      <c r="M295" s="8"/>
      <c r="N295" s="8"/>
      <c r="O295" s="8"/>
      <c r="P295" s="8"/>
      <c r="Q295" s="8"/>
      <c r="R295" s="8"/>
      <c r="S295" s="8"/>
      <c r="T295" s="8"/>
      <c r="U295" s="8"/>
      <c r="V295" s="8"/>
      <c r="W295" s="8"/>
      <c r="X295" s="8"/>
      <c r="Y295" s="8"/>
      <c r="Z295" s="8"/>
    </row>
    <row r="296">
      <c r="A296" s="10" t="s">
        <v>197</v>
      </c>
      <c r="B296" s="10" t="s">
        <v>31</v>
      </c>
      <c r="C296" s="11" t="s">
        <v>35</v>
      </c>
      <c r="D296" s="11" t="s">
        <v>951</v>
      </c>
      <c r="E296" s="12" t="s">
        <v>41</v>
      </c>
      <c r="F296" s="8"/>
      <c r="G296" s="8"/>
      <c r="H296" s="8"/>
      <c r="I296" s="8"/>
      <c r="J296" s="8"/>
      <c r="K296" s="8"/>
      <c r="L296" s="8"/>
      <c r="M296" s="8"/>
      <c r="N296" s="8"/>
      <c r="O296" s="8"/>
      <c r="P296" s="8"/>
      <c r="Q296" s="8"/>
      <c r="R296" s="8"/>
      <c r="S296" s="8"/>
      <c r="T296" s="8"/>
      <c r="U296" s="8"/>
      <c r="V296" s="8"/>
      <c r="W296" s="8"/>
      <c r="X296" s="8"/>
      <c r="Y296" s="8"/>
      <c r="Z296" s="8"/>
    </row>
    <row r="297">
      <c r="A297" s="10" t="s">
        <v>197</v>
      </c>
      <c r="B297" s="10" t="s">
        <v>31</v>
      </c>
      <c r="C297" s="11" t="s">
        <v>35</v>
      </c>
      <c r="D297" s="11" t="s">
        <v>952</v>
      </c>
      <c r="E297" s="12" t="s">
        <v>41</v>
      </c>
      <c r="F297" s="8"/>
      <c r="G297" s="8"/>
      <c r="H297" s="8"/>
      <c r="I297" s="8"/>
      <c r="J297" s="8"/>
      <c r="K297" s="8"/>
      <c r="L297" s="8"/>
      <c r="M297" s="8"/>
      <c r="N297" s="8"/>
      <c r="O297" s="8"/>
      <c r="P297" s="8"/>
      <c r="Q297" s="8"/>
      <c r="R297" s="8"/>
      <c r="S297" s="8"/>
      <c r="T297" s="8"/>
      <c r="U297" s="8"/>
      <c r="V297" s="8"/>
      <c r="W297" s="8"/>
      <c r="X297" s="8"/>
      <c r="Y297" s="8"/>
      <c r="Z297" s="8"/>
    </row>
    <row r="298">
      <c r="A298" s="10" t="s">
        <v>197</v>
      </c>
      <c r="B298" s="10" t="s">
        <v>31</v>
      </c>
      <c r="C298" s="11" t="s">
        <v>35</v>
      </c>
      <c r="D298" s="11" t="s">
        <v>953</v>
      </c>
      <c r="E298" s="12" t="s">
        <v>41</v>
      </c>
      <c r="F298" s="8"/>
      <c r="G298" s="8"/>
      <c r="H298" s="8"/>
      <c r="I298" s="8"/>
      <c r="J298" s="8"/>
      <c r="K298" s="8"/>
      <c r="L298" s="8"/>
      <c r="M298" s="8"/>
      <c r="N298" s="8"/>
      <c r="O298" s="8"/>
      <c r="P298" s="8"/>
      <c r="Q298" s="8"/>
      <c r="R298" s="8"/>
      <c r="S298" s="8"/>
      <c r="T298" s="8"/>
      <c r="U298" s="8"/>
      <c r="V298" s="8"/>
      <c r="W298" s="8"/>
      <c r="X298" s="8"/>
      <c r="Y298" s="8"/>
      <c r="Z298" s="8"/>
    </row>
    <row r="299">
      <c r="A299" s="10" t="s">
        <v>197</v>
      </c>
      <c r="B299" s="10" t="s">
        <v>31</v>
      </c>
      <c r="C299" s="11" t="s">
        <v>35</v>
      </c>
      <c r="D299" s="11" t="s">
        <v>569</v>
      </c>
      <c r="E299" s="12" t="s">
        <v>41</v>
      </c>
      <c r="F299" s="8"/>
      <c r="G299" s="8"/>
      <c r="H299" s="8"/>
      <c r="I299" s="8"/>
      <c r="J299" s="8"/>
      <c r="K299" s="8"/>
      <c r="L299" s="8"/>
      <c r="M299" s="8"/>
      <c r="N299" s="8"/>
      <c r="O299" s="8"/>
      <c r="P299" s="8"/>
      <c r="Q299" s="8"/>
      <c r="R299" s="8"/>
      <c r="S299" s="8"/>
      <c r="T299" s="8"/>
      <c r="U299" s="8"/>
      <c r="V299" s="8"/>
      <c r="W299" s="8"/>
      <c r="X299" s="8"/>
      <c r="Y299" s="8"/>
      <c r="Z299" s="8"/>
    </row>
    <row r="300">
      <c r="A300" s="10" t="s">
        <v>197</v>
      </c>
      <c r="B300" s="10" t="s">
        <v>31</v>
      </c>
      <c r="C300" s="11" t="s">
        <v>35</v>
      </c>
      <c r="D300" s="11" t="s">
        <v>573</v>
      </c>
      <c r="E300" s="12" t="s">
        <v>41</v>
      </c>
      <c r="F300" s="8"/>
      <c r="G300" s="8"/>
      <c r="H300" s="8"/>
      <c r="I300" s="8"/>
      <c r="J300" s="8"/>
      <c r="K300" s="8"/>
      <c r="L300" s="8"/>
      <c r="M300" s="8"/>
      <c r="N300" s="8"/>
      <c r="O300" s="8"/>
      <c r="P300" s="8"/>
      <c r="Q300" s="8"/>
      <c r="R300" s="8"/>
      <c r="S300" s="8"/>
      <c r="T300" s="8"/>
      <c r="U300" s="8"/>
      <c r="V300" s="8"/>
      <c r="W300" s="8"/>
      <c r="X300" s="8"/>
      <c r="Y300" s="8"/>
      <c r="Z300" s="8"/>
    </row>
    <row r="301">
      <c r="A301" s="10" t="s">
        <v>197</v>
      </c>
      <c r="B301" s="10" t="s">
        <v>31</v>
      </c>
      <c r="C301" s="11" t="s">
        <v>35</v>
      </c>
      <c r="D301" s="11" t="s">
        <v>690</v>
      </c>
      <c r="E301" s="12" t="s">
        <v>41</v>
      </c>
      <c r="F301" s="8"/>
      <c r="G301" s="8"/>
      <c r="H301" s="8"/>
      <c r="I301" s="8"/>
      <c r="J301" s="8"/>
      <c r="K301" s="8"/>
      <c r="L301" s="8"/>
      <c r="M301" s="8"/>
      <c r="N301" s="8"/>
      <c r="O301" s="8"/>
      <c r="P301" s="8"/>
      <c r="Q301" s="8"/>
      <c r="R301" s="8"/>
      <c r="S301" s="8"/>
      <c r="T301" s="8"/>
      <c r="U301" s="8"/>
      <c r="V301" s="8"/>
      <c r="W301" s="8"/>
      <c r="X301" s="8"/>
      <c r="Y301" s="8"/>
      <c r="Z301" s="8"/>
    </row>
    <row r="302">
      <c r="A302" s="10" t="s">
        <v>197</v>
      </c>
      <c r="B302" s="10" t="s">
        <v>31</v>
      </c>
      <c r="C302" s="11" t="s">
        <v>35</v>
      </c>
      <c r="D302" s="11" t="s">
        <v>954</v>
      </c>
      <c r="E302" s="12" t="s">
        <v>41</v>
      </c>
      <c r="F302" s="8"/>
      <c r="G302" s="8"/>
      <c r="H302" s="8"/>
      <c r="I302" s="8"/>
      <c r="J302" s="8"/>
      <c r="K302" s="8"/>
      <c r="L302" s="8"/>
      <c r="M302" s="8"/>
      <c r="N302" s="8"/>
      <c r="O302" s="8"/>
      <c r="P302" s="8"/>
      <c r="Q302" s="8"/>
      <c r="R302" s="8"/>
      <c r="S302" s="8"/>
      <c r="T302" s="8"/>
      <c r="U302" s="8"/>
      <c r="V302" s="8"/>
      <c r="W302" s="8"/>
      <c r="X302" s="8"/>
      <c r="Y302" s="8"/>
      <c r="Z302" s="8"/>
    </row>
    <row r="303">
      <c r="A303" s="10" t="s">
        <v>197</v>
      </c>
      <c r="B303" s="10" t="s">
        <v>31</v>
      </c>
      <c r="C303" s="11" t="s">
        <v>35</v>
      </c>
      <c r="D303" s="11" t="s">
        <v>319</v>
      </c>
      <c r="E303" s="12" t="s">
        <v>41</v>
      </c>
      <c r="F303" s="8"/>
      <c r="G303" s="8"/>
      <c r="H303" s="8"/>
      <c r="I303" s="8"/>
      <c r="J303" s="8"/>
      <c r="K303" s="8"/>
      <c r="L303" s="8"/>
      <c r="M303" s="8"/>
      <c r="N303" s="8"/>
      <c r="O303" s="8"/>
      <c r="P303" s="8"/>
      <c r="Q303" s="8"/>
      <c r="R303" s="8"/>
      <c r="S303" s="8"/>
      <c r="T303" s="8"/>
      <c r="U303" s="8"/>
      <c r="V303" s="8"/>
      <c r="W303" s="8"/>
      <c r="X303" s="8"/>
      <c r="Y303" s="8"/>
      <c r="Z303" s="8"/>
    </row>
    <row r="304">
      <c r="A304" s="10" t="s">
        <v>197</v>
      </c>
      <c r="B304" s="10" t="s">
        <v>31</v>
      </c>
      <c r="C304" s="11" t="s">
        <v>35</v>
      </c>
      <c r="D304" s="11" t="s">
        <v>955</v>
      </c>
      <c r="E304" s="12" t="s">
        <v>41</v>
      </c>
      <c r="F304" s="8"/>
      <c r="G304" s="8"/>
      <c r="H304" s="8"/>
      <c r="I304" s="8"/>
      <c r="J304" s="8"/>
      <c r="K304" s="8"/>
      <c r="L304" s="8"/>
      <c r="M304" s="8"/>
      <c r="N304" s="8"/>
      <c r="O304" s="8"/>
      <c r="P304" s="8"/>
      <c r="Q304" s="8"/>
      <c r="R304" s="8"/>
      <c r="S304" s="8"/>
      <c r="T304" s="8"/>
      <c r="U304" s="8"/>
      <c r="V304" s="8"/>
      <c r="W304" s="8"/>
      <c r="X304" s="8"/>
      <c r="Y304" s="8"/>
      <c r="Z304" s="8"/>
    </row>
    <row r="305">
      <c r="A305" s="10" t="s">
        <v>205</v>
      </c>
      <c r="B305" s="10" t="s">
        <v>185</v>
      </c>
      <c r="C305" s="11" t="s">
        <v>186</v>
      </c>
      <c r="D305" s="11" t="s">
        <v>387</v>
      </c>
      <c r="E305" s="12" t="s">
        <v>41</v>
      </c>
      <c r="F305" s="8"/>
      <c r="G305" s="8"/>
      <c r="H305" s="8"/>
      <c r="I305" s="8"/>
      <c r="J305" s="8"/>
      <c r="K305" s="8"/>
      <c r="L305" s="8"/>
      <c r="M305" s="8"/>
      <c r="N305" s="8"/>
      <c r="O305" s="8"/>
      <c r="P305" s="8"/>
      <c r="Q305" s="8"/>
      <c r="R305" s="8"/>
      <c r="S305" s="8"/>
      <c r="T305" s="8"/>
      <c r="U305" s="8"/>
      <c r="V305" s="8"/>
      <c r="W305" s="8"/>
      <c r="X305" s="8"/>
      <c r="Y305" s="8"/>
      <c r="Z305" s="8"/>
    </row>
    <row r="306">
      <c r="A306" s="10" t="s">
        <v>205</v>
      </c>
      <c r="B306" s="10" t="s">
        <v>185</v>
      </c>
      <c r="C306" s="11" t="s">
        <v>285</v>
      </c>
      <c r="D306" s="11" t="s">
        <v>956</v>
      </c>
      <c r="E306" s="12" t="s">
        <v>41</v>
      </c>
      <c r="F306" s="8"/>
      <c r="G306" s="8"/>
      <c r="H306" s="8"/>
      <c r="I306" s="8"/>
      <c r="J306" s="8"/>
      <c r="K306" s="8"/>
      <c r="L306" s="8"/>
      <c r="M306" s="8"/>
      <c r="N306" s="8"/>
      <c r="O306" s="8"/>
      <c r="P306" s="8"/>
      <c r="Q306" s="8"/>
      <c r="R306" s="8"/>
      <c r="S306" s="8"/>
      <c r="T306" s="8"/>
      <c r="U306" s="8"/>
      <c r="V306" s="8"/>
      <c r="W306" s="8"/>
      <c r="X306" s="8"/>
      <c r="Y306" s="8"/>
      <c r="Z306" s="8"/>
    </row>
    <row r="307">
      <c r="A307" s="10" t="s">
        <v>205</v>
      </c>
      <c r="B307" s="10" t="s">
        <v>185</v>
      </c>
      <c r="C307" s="11" t="s">
        <v>267</v>
      </c>
      <c r="D307" s="11" t="s">
        <v>957</v>
      </c>
      <c r="E307" s="12" t="s">
        <v>41</v>
      </c>
      <c r="F307" s="8"/>
      <c r="G307" s="8"/>
      <c r="H307" s="8"/>
      <c r="I307" s="8"/>
      <c r="J307" s="8"/>
      <c r="K307" s="8"/>
      <c r="L307" s="8"/>
      <c r="M307" s="8"/>
      <c r="N307" s="8"/>
      <c r="O307" s="8"/>
      <c r="P307" s="8"/>
      <c r="Q307" s="8"/>
      <c r="R307" s="8"/>
      <c r="S307" s="8"/>
      <c r="T307" s="8"/>
      <c r="U307" s="8"/>
      <c r="V307" s="8"/>
      <c r="W307" s="8"/>
      <c r="X307" s="8"/>
      <c r="Y307" s="8"/>
      <c r="Z307" s="8"/>
    </row>
    <row r="308">
      <c r="A308" s="10" t="s">
        <v>205</v>
      </c>
      <c r="B308" s="10" t="s">
        <v>185</v>
      </c>
      <c r="C308" s="11" t="s">
        <v>186</v>
      </c>
      <c r="D308" s="11" t="s">
        <v>958</v>
      </c>
      <c r="E308" s="12" t="s">
        <v>41</v>
      </c>
      <c r="F308" s="8"/>
      <c r="G308" s="8"/>
      <c r="H308" s="8"/>
      <c r="I308" s="8"/>
      <c r="J308" s="8"/>
      <c r="K308" s="8"/>
      <c r="L308" s="8"/>
      <c r="M308" s="8"/>
      <c r="N308" s="8"/>
      <c r="O308" s="8"/>
      <c r="P308" s="8"/>
      <c r="Q308" s="8"/>
      <c r="R308" s="8"/>
      <c r="S308" s="8"/>
      <c r="T308" s="8"/>
      <c r="U308" s="8"/>
      <c r="V308" s="8"/>
      <c r="W308" s="8"/>
      <c r="X308" s="8"/>
      <c r="Y308" s="8"/>
      <c r="Z308" s="8"/>
    </row>
    <row r="309">
      <c r="A309" s="10" t="s">
        <v>205</v>
      </c>
      <c r="B309" s="10" t="s">
        <v>185</v>
      </c>
      <c r="C309" s="11" t="s">
        <v>267</v>
      </c>
      <c r="D309" s="11" t="s">
        <v>959</v>
      </c>
      <c r="E309" s="12" t="s">
        <v>41</v>
      </c>
      <c r="F309" s="8"/>
      <c r="G309" s="8"/>
      <c r="H309" s="8"/>
      <c r="I309" s="8"/>
      <c r="J309" s="8"/>
      <c r="K309" s="8"/>
      <c r="L309" s="8"/>
      <c r="M309" s="8"/>
      <c r="N309" s="8"/>
      <c r="O309" s="8"/>
      <c r="P309" s="8"/>
      <c r="Q309" s="8"/>
      <c r="R309" s="8"/>
      <c r="S309" s="8"/>
      <c r="T309" s="8"/>
      <c r="U309" s="8"/>
      <c r="V309" s="8"/>
      <c r="W309" s="8"/>
      <c r="X309" s="8"/>
      <c r="Y309" s="8"/>
      <c r="Z309" s="8"/>
    </row>
    <row r="310">
      <c r="A310" s="10" t="s">
        <v>205</v>
      </c>
      <c r="B310" s="10" t="s">
        <v>185</v>
      </c>
      <c r="C310" s="11" t="s">
        <v>280</v>
      </c>
      <c r="D310" s="11" t="s">
        <v>960</v>
      </c>
      <c r="E310" s="12" t="s">
        <v>41</v>
      </c>
      <c r="F310" s="8"/>
      <c r="G310" s="8"/>
      <c r="H310" s="8"/>
      <c r="I310" s="8"/>
      <c r="J310" s="8"/>
      <c r="K310" s="8"/>
      <c r="L310" s="8"/>
      <c r="M310" s="8"/>
      <c r="N310" s="8"/>
      <c r="O310" s="8"/>
      <c r="P310" s="8"/>
      <c r="Q310" s="8"/>
      <c r="R310" s="8"/>
      <c r="S310" s="8"/>
      <c r="T310" s="8"/>
      <c r="U310" s="8"/>
      <c r="V310" s="8"/>
      <c r="W310" s="8"/>
      <c r="X310" s="8"/>
      <c r="Y310" s="8"/>
      <c r="Z310" s="8"/>
    </row>
    <row r="311">
      <c r="A311" s="10" t="s">
        <v>205</v>
      </c>
      <c r="B311" s="10" t="s">
        <v>185</v>
      </c>
      <c r="C311" s="11" t="s">
        <v>267</v>
      </c>
      <c r="D311" s="11" t="s">
        <v>961</v>
      </c>
      <c r="E311" s="12" t="s">
        <v>41</v>
      </c>
      <c r="F311" s="8"/>
      <c r="G311" s="8"/>
      <c r="H311" s="8"/>
      <c r="I311" s="8"/>
      <c r="J311" s="8"/>
      <c r="K311" s="8"/>
      <c r="L311" s="8"/>
      <c r="M311" s="8"/>
      <c r="N311" s="8"/>
      <c r="O311" s="8"/>
      <c r="P311" s="8"/>
      <c r="Q311" s="8"/>
      <c r="R311" s="8"/>
      <c r="S311" s="8"/>
      <c r="T311" s="8"/>
      <c r="U311" s="8"/>
      <c r="V311" s="8"/>
      <c r="W311" s="8"/>
      <c r="X311" s="8"/>
      <c r="Y311" s="8"/>
      <c r="Z311" s="8"/>
    </row>
    <row r="312">
      <c r="A312" s="10" t="s">
        <v>205</v>
      </c>
      <c r="B312" s="10" t="s">
        <v>185</v>
      </c>
      <c r="C312" s="11" t="s">
        <v>186</v>
      </c>
      <c r="D312" s="11" t="s">
        <v>962</v>
      </c>
      <c r="E312" s="12" t="s">
        <v>41</v>
      </c>
      <c r="F312" s="8"/>
      <c r="G312" s="8"/>
      <c r="H312" s="8"/>
      <c r="I312" s="8"/>
      <c r="J312" s="8"/>
      <c r="K312" s="8"/>
      <c r="L312" s="8"/>
      <c r="M312" s="8"/>
      <c r="N312" s="8"/>
      <c r="O312" s="8"/>
      <c r="P312" s="8"/>
      <c r="Q312" s="8"/>
      <c r="R312" s="8"/>
      <c r="S312" s="8"/>
      <c r="T312" s="8"/>
      <c r="U312" s="8"/>
      <c r="V312" s="8"/>
      <c r="W312" s="8"/>
      <c r="X312" s="8"/>
      <c r="Y312" s="8"/>
      <c r="Z312" s="8"/>
    </row>
    <row r="313">
      <c r="A313" s="10" t="s">
        <v>205</v>
      </c>
      <c r="B313" s="10" t="s">
        <v>185</v>
      </c>
      <c r="C313" s="11" t="s">
        <v>186</v>
      </c>
      <c r="D313" s="11" t="s">
        <v>963</v>
      </c>
      <c r="E313" s="12" t="s">
        <v>41</v>
      </c>
      <c r="F313" s="8"/>
      <c r="G313" s="8"/>
      <c r="H313" s="8"/>
      <c r="I313" s="8"/>
      <c r="J313" s="8"/>
      <c r="K313" s="8"/>
      <c r="L313" s="8"/>
      <c r="M313" s="8"/>
      <c r="N313" s="8"/>
      <c r="O313" s="8"/>
      <c r="P313" s="8"/>
      <c r="Q313" s="8"/>
      <c r="R313" s="8"/>
      <c r="S313" s="8"/>
      <c r="T313" s="8"/>
      <c r="U313" s="8"/>
      <c r="V313" s="8"/>
      <c r="W313" s="8"/>
      <c r="X313" s="8"/>
      <c r="Y313" s="8"/>
      <c r="Z313" s="8"/>
    </row>
    <row r="314">
      <c r="A314" s="10" t="s">
        <v>205</v>
      </c>
      <c r="B314" s="10" t="s">
        <v>185</v>
      </c>
      <c r="C314" s="11" t="s">
        <v>186</v>
      </c>
      <c r="D314" s="11" t="s">
        <v>964</v>
      </c>
      <c r="E314" s="12" t="s">
        <v>41</v>
      </c>
      <c r="F314" s="8"/>
      <c r="G314" s="8"/>
      <c r="H314" s="8"/>
      <c r="I314" s="8"/>
      <c r="J314" s="8"/>
      <c r="K314" s="8"/>
      <c r="L314" s="8"/>
      <c r="M314" s="8"/>
      <c r="N314" s="8"/>
      <c r="O314" s="8"/>
      <c r="P314" s="8"/>
      <c r="Q314" s="8"/>
      <c r="R314" s="8"/>
      <c r="S314" s="8"/>
      <c r="T314" s="8"/>
      <c r="U314" s="8"/>
      <c r="V314" s="8"/>
      <c r="W314" s="8"/>
      <c r="X314" s="8"/>
      <c r="Y314" s="8"/>
      <c r="Z314" s="8"/>
    </row>
    <row r="315">
      <c r="A315" s="10" t="s">
        <v>277</v>
      </c>
      <c r="B315" s="10" t="s">
        <v>31</v>
      </c>
      <c r="C315" s="11" t="s">
        <v>35</v>
      </c>
      <c r="D315" s="11" t="s">
        <v>590</v>
      </c>
      <c r="E315" s="12" t="s">
        <v>41</v>
      </c>
      <c r="F315" s="8"/>
      <c r="G315" s="8"/>
      <c r="H315" s="8"/>
      <c r="I315" s="8"/>
      <c r="J315" s="8"/>
      <c r="K315" s="8"/>
      <c r="L315" s="8"/>
      <c r="M315" s="8"/>
      <c r="N315" s="8"/>
      <c r="O315" s="8"/>
      <c r="P315" s="8"/>
      <c r="Q315" s="8"/>
      <c r="R315" s="8"/>
      <c r="S315" s="8"/>
      <c r="T315" s="8"/>
      <c r="U315" s="8"/>
      <c r="V315" s="8"/>
      <c r="W315" s="8"/>
      <c r="X315" s="8"/>
      <c r="Y315" s="8"/>
      <c r="Z315" s="8"/>
    </row>
    <row r="316">
      <c r="A316" s="10" t="s">
        <v>205</v>
      </c>
      <c r="B316" s="10" t="s">
        <v>31</v>
      </c>
      <c r="C316" s="11" t="s">
        <v>35</v>
      </c>
      <c r="D316" s="11" t="s">
        <v>965</v>
      </c>
      <c r="E316" s="12" t="s">
        <v>41</v>
      </c>
      <c r="F316" s="8"/>
      <c r="G316" s="8"/>
      <c r="H316" s="8"/>
      <c r="I316" s="8"/>
      <c r="J316" s="8"/>
      <c r="K316" s="8"/>
      <c r="L316" s="8"/>
      <c r="M316" s="8"/>
      <c r="N316" s="8"/>
      <c r="O316" s="8"/>
      <c r="P316" s="8"/>
      <c r="Q316" s="8"/>
      <c r="R316" s="8"/>
      <c r="S316" s="8"/>
      <c r="T316" s="8"/>
      <c r="U316" s="8"/>
      <c r="V316" s="8"/>
      <c r="W316" s="8"/>
      <c r="X316" s="8"/>
      <c r="Y316" s="8"/>
      <c r="Z316" s="8"/>
    </row>
    <row r="317">
      <c r="A317" s="10" t="s">
        <v>211</v>
      </c>
      <c r="B317" s="10" t="s">
        <v>185</v>
      </c>
      <c r="C317" s="11" t="s">
        <v>267</v>
      </c>
      <c r="D317" s="11" t="s">
        <v>966</v>
      </c>
      <c r="E317" s="12" t="s">
        <v>41</v>
      </c>
      <c r="F317" s="8"/>
      <c r="G317" s="8"/>
      <c r="H317" s="8"/>
      <c r="I317" s="8"/>
      <c r="J317" s="8"/>
      <c r="K317" s="8"/>
      <c r="L317" s="8"/>
      <c r="M317" s="8"/>
      <c r="N317" s="8"/>
      <c r="O317" s="8"/>
      <c r="P317" s="8"/>
      <c r="Q317" s="8"/>
      <c r="R317" s="8"/>
      <c r="S317" s="8"/>
      <c r="T317" s="8"/>
      <c r="U317" s="8"/>
      <c r="V317" s="8"/>
      <c r="W317" s="8"/>
      <c r="X317" s="8"/>
      <c r="Y317" s="8"/>
      <c r="Z317" s="8"/>
    </row>
    <row r="318">
      <c r="A318" s="10" t="s">
        <v>211</v>
      </c>
      <c r="B318" s="10" t="s">
        <v>185</v>
      </c>
      <c r="C318" s="11" t="s">
        <v>267</v>
      </c>
      <c r="D318" s="11" t="s">
        <v>967</v>
      </c>
      <c r="E318" s="12" t="s">
        <v>41</v>
      </c>
      <c r="F318" s="8"/>
      <c r="G318" s="8"/>
      <c r="H318" s="8"/>
      <c r="I318" s="8"/>
      <c r="J318" s="8"/>
      <c r="K318" s="8"/>
      <c r="L318" s="8"/>
      <c r="M318" s="8"/>
      <c r="N318" s="8"/>
      <c r="O318" s="8"/>
      <c r="P318" s="8"/>
      <c r="Q318" s="8"/>
      <c r="R318" s="8"/>
      <c r="S318" s="8"/>
      <c r="T318" s="8"/>
      <c r="U318" s="8"/>
      <c r="V318" s="8"/>
      <c r="W318" s="8"/>
      <c r="X318" s="8"/>
      <c r="Y318" s="8"/>
      <c r="Z318" s="8"/>
    </row>
    <row r="319">
      <c r="A319" s="10" t="s">
        <v>211</v>
      </c>
      <c r="B319" s="10" t="s">
        <v>185</v>
      </c>
      <c r="C319" s="11" t="s">
        <v>280</v>
      </c>
      <c r="D319" s="11" t="s">
        <v>968</v>
      </c>
      <c r="E319" s="12" t="s">
        <v>41</v>
      </c>
      <c r="F319" s="8"/>
      <c r="G319" s="8"/>
      <c r="H319" s="8"/>
      <c r="I319" s="8"/>
      <c r="J319" s="8"/>
      <c r="K319" s="8"/>
      <c r="L319" s="8"/>
      <c r="M319" s="8"/>
      <c r="N319" s="8"/>
      <c r="O319" s="8"/>
      <c r="P319" s="8"/>
      <c r="Q319" s="8"/>
      <c r="R319" s="8"/>
      <c r="S319" s="8"/>
      <c r="T319" s="8"/>
      <c r="U319" s="8"/>
      <c r="V319" s="8"/>
      <c r="W319" s="8"/>
      <c r="X319" s="8"/>
      <c r="Y319" s="8"/>
      <c r="Z319" s="8"/>
    </row>
    <row r="320">
      <c r="A320" s="10" t="s">
        <v>211</v>
      </c>
      <c r="B320" s="10" t="s">
        <v>185</v>
      </c>
      <c r="C320" s="11" t="s">
        <v>280</v>
      </c>
      <c r="D320" s="11" t="s">
        <v>969</v>
      </c>
      <c r="E320" s="12" t="s">
        <v>41</v>
      </c>
      <c r="F320" s="8"/>
      <c r="G320" s="8"/>
      <c r="H320" s="8"/>
      <c r="I320" s="8"/>
      <c r="J320" s="8"/>
      <c r="K320" s="8"/>
      <c r="L320" s="8"/>
      <c r="M320" s="8"/>
      <c r="N320" s="8"/>
      <c r="O320" s="8"/>
      <c r="P320" s="8"/>
      <c r="Q320" s="8"/>
      <c r="R320" s="8"/>
      <c r="S320" s="8"/>
      <c r="T320" s="8"/>
      <c r="U320" s="8"/>
      <c r="V320" s="8"/>
      <c r="W320" s="8"/>
      <c r="X320" s="8"/>
      <c r="Y320" s="8"/>
      <c r="Z320" s="8"/>
    </row>
    <row r="321">
      <c r="A321" s="10" t="s">
        <v>211</v>
      </c>
      <c r="B321" s="10" t="s">
        <v>185</v>
      </c>
      <c r="C321" s="11" t="s">
        <v>186</v>
      </c>
      <c r="D321" s="11" t="s">
        <v>970</v>
      </c>
      <c r="E321" s="12" t="s">
        <v>41</v>
      </c>
      <c r="F321" s="8"/>
      <c r="G321" s="8"/>
      <c r="H321" s="8"/>
      <c r="I321" s="8"/>
      <c r="J321" s="8"/>
      <c r="K321" s="8"/>
      <c r="L321" s="8"/>
      <c r="M321" s="8"/>
      <c r="N321" s="8"/>
      <c r="O321" s="8"/>
      <c r="P321" s="8"/>
      <c r="Q321" s="8"/>
      <c r="R321" s="8"/>
      <c r="S321" s="8"/>
      <c r="T321" s="8"/>
      <c r="U321" s="8"/>
      <c r="V321" s="8"/>
      <c r="W321" s="8"/>
      <c r="X321" s="8"/>
      <c r="Y321" s="8"/>
      <c r="Z321" s="8"/>
    </row>
    <row r="322">
      <c r="A322" s="10" t="s">
        <v>211</v>
      </c>
      <c r="B322" s="10" t="s">
        <v>185</v>
      </c>
      <c r="C322" s="11" t="s">
        <v>186</v>
      </c>
      <c r="D322" s="11" t="s">
        <v>971</v>
      </c>
      <c r="E322" s="12" t="s">
        <v>41</v>
      </c>
      <c r="F322" s="8"/>
      <c r="G322" s="8"/>
      <c r="H322" s="8"/>
      <c r="I322" s="8"/>
      <c r="J322" s="8"/>
      <c r="K322" s="8"/>
      <c r="L322" s="8"/>
      <c r="M322" s="8"/>
      <c r="N322" s="8"/>
      <c r="O322" s="8"/>
      <c r="P322" s="8"/>
      <c r="Q322" s="8"/>
      <c r="R322" s="8"/>
      <c r="S322" s="8"/>
      <c r="T322" s="8"/>
      <c r="U322" s="8"/>
      <c r="V322" s="8"/>
      <c r="W322" s="8"/>
      <c r="X322" s="8"/>
      <c r="Y322" s="8"/>
      <c r="Z322" s="8"/>
    </row>
    <row r="323">
      <c r="A323" s="10" t="s">
        <v>211</v>
      </c>
      <c r="B323" s="10" t="s">
        <v>185</v>
      </c>
      <c r="C323" s="11" t="s">
        <v>186</v>
      </c>
      <c r="D323" s="11" t="s">
        <v>972</v>
      </c>
      <c r="E323" s="12" t="s">
        <v>41</v>
      </c>
      <c r="F323" s="8"/>
      <c r="G323" s="8"/>
      <c r="H323" s="8"/>
      <c r="I323" s="8"/>
      <c r="J323" s="8"/>
      <c r="K323" s="8"/>
      <c r="L323" s="8"/>
      <c r="M323" s="8"/>
      <c r="N323" s="8"/>
      <c r="O323" s="8"/>
      <c r="P323" s="8"/>
      <c r="Q323" s="8"/>
      <c r="R323" s="8"/>
      <c r="S323" s="8"/>
      <c r="T323" s="8"/>
      <c r="U323" s="8"/>
      <c r="V323" s="8"/>
      <c r="W323" s="8"/>
      <c r="X323" s="8"/>
      <c r="Y323" s="8"/>
      <c r="Z323" s="8"/>
    </row>
    <row r="324">
      <c r="A324" s="10" t="s">
        <v>211</v>
      </c>
      <c r="B324" s="10" t="s">
        <v>31</v>
      </c>
      <c r="C324" s="11" t="s">
        <v>35</v>
      </c>
      <c r="D324" s="11" t="s">
        <v>973</v>
      </c>
      <c r="E324" s="12" t="s">
        <v>41</v>
      </c>
      <c r="F324" s="8"/>
      <c r="G324" s="8"/>
      <c r="H324" s="8"/>
      <c r="I324" s="8"/>
      <c r="J324" s="8"/>
      <c r="K324" s="8"/>
      <c r="L324" s="8"/>
      <c r="M324" s="8"/>
      <c r="N324" s="8"/>
      <c r="O324" s="8"/>
      <c r="P324" s="8"/>
      <c r="Q324" s="8"/>
      <c r="R324" s="8"/>
      <c r="S324" s="8"/>
      <c r="T324" s="8"/>
      <c r="U324" s="8"/>
      <c r="V324" s="8"/>
      <c r="W324" s="8"/>
      <c r="X324" s="8"/>
      <c r="Y324" s="8"/>
      <c r="Z324" s="8"/>
    </row>
    <row r="325">
      <c r="A325" s="10" t="s">
        <v>211</v>
      </c>
      <c r="B325" s="10" t="s">
        <v>31</v>
      </c>
      <c r="C325" s="11" t="s">
        <v>35</v>
      </c>
      <c r="D325" s="11" t="s">
        <v>330</v>
      </c>
      <c r="E325" s="12" t="s">
        <v>41</v>
      </c>
      <c r="F325" s="8"/>
      <c r="G325" s="8"/>
      <c r="H325" s="8"/>
      <c r="I325" s="8"/>
      <c r="J325" s="8"/>
      <c r="K325" s="8"/>
      <c r="L325" s="8"/>
      <c r="M325" s="8"/>
      <c r="N325" s="8"/>
      <c r="O325" s="8"/>
      <c r="P325" s="8"/>
      <c r="Q325" s="8"/>
      <c r="R325" s="8"/>
      <c r="S325" s="8"/>
      <c r="T325" s="8"/>
      <c r="U325" s="8"/>
      <c r="V325" s="8"/>
      <c r="W325" s="8"/>
      <c r="X325" s="8"/>
      <c r="Y325" s="8"/>
      <c r="Z325" s="8"/>
    </row>
    <row r="326">
      <c r="A326" s="10" t="s">
        <v>211</v>
      </c>
      <c r="B326" s="10" t="s">
        <v>31</v>
      </c>
      <c r="C326" s="11" t="s">
        <v>35</v>
      </c>
      <c r="D326" s="11" t="s">
        <v>974</v>
      </c>
      <c r="E326" s="12" t="s">
        <v>41</v>
      </c>
      <c r="F326" s="8"/>
      <c r="G326" s="8"/>
      <c r="H326" s="8"/>
      <c r="I326" s="8"/>
      <c r="J326" s="8"/>
      <c r="K326" s="8"/>
      <c r="L326" s="8"/>
      <c r="M326" s="8"/>
      <c r="N326" s="8"/>
      <c r="O326" s="8"/>
      <c r="P326" s="8"/>
      <c r="Q326" s="8"/>
      <c r="R326" s="8"/>
      <c r="S326" s="8"/>
      <c r="T326" s="8"/>
      <c r="U326" s="8"/>
      <c r="V326" s="8"/>
      <c r="W326" s="8"/>
      <c r="X326" s="8"/>
      <c r="Y326" s="8"/>
      <c r="Z326" s="8"/>
    </row>
    <row r="327">
      <c r="A327" s="10" t="s">
        <v>217</v>
      </c>
      <c r="B327" s="10" t="s">
        <v>31</v>
      </c>
      <c r="C327" s="11" t="s">
        <v>35</v>
      </c>
      <c r="D327" s="11" t="s">
        <v>975</v>
      </c>
      <c r="E327" s="12" t="s">
        <v>41</v>
      </c>
      <c r="F327" s="8"/>
      <c r="G327" s="8"/>
      <c r="H327" s="8"/>
      <c r="I327" s="8"/>
      <c r="J327" s="8"/>
      <c r="K327" s="8"/>
      <c r="L327" s="8"/>
      <c r="M327" s="8"/>
      <c r="N327" s="8"/>
      <c r="O327" s="8"/>
      <c r="P327" s="8"/>
      <c r="Q327" s="8"/>
      <c r="R327" s="8"/>
      <c r="S327" s="8"/>
      <c r="T327" s="8"/>
      <c r="U327" s="8"/>
      <c r="V327" s="8"/>
      <c r="W327" s="8"/>
      <c r="X327" s="8"/>
      <c r="Y327" s="8"/>
      <c r="Z327" s="8"/>
    </row>
    <row r="328">
      <c r="A328" s="10" t="s">
        <v>217</v>
      </c>
      <c r="B328" s="10" t="s">
        <v>31</v>
      </c>
      <c r="C328" s="11" t="s">
        <v>35</v>
      </c>
      <c r="D328" s="11" t="s">
        <v>666</v>
      </c>
      <c r="E328" s="12" t="s">
        <v>41</v>
      </c>
      <c r="F328" s="8"/>
      <c r="G328" s="8"/>
      <c r="H328" s="8"/>
      <c r="I328" s="8"/>
      <c r="J328" s="8"/>
      <c r="K328" s="8"/>
      <c r="L328" s="8"/>
      <c r="M328" s="8"/>
      <c r="N328" s="8"/>
      <c r="O328" s="8"/>
      <c r="P328" s="8"/>
      <c r="Q328" s="8"/>
      <c r="R328" s="8"/>
      <c r="S328" s="8"/>
      <c r="T328" s="8"/>
      <c r="U328" s="8"/>
      <c r="V328" s="8"/>
      <c r="W328" s="8"/>
      <c r="X328" s="8"/>
      <c r="Y328" s="8"/>
      <c r="Z328" s="8"/>
    </row>
    <row r="329">
      <c r="A329" s="10" t="s">
        <v>217</v>
      </c>
      <c r="B329" s="10" t="s">
        <v>185</v>
      </c>
      <c r="C329" s="11" t="s">
        <v>267</v>
      </c>
      <c r="D329" s="11" t="s">
        <v>957</v>
      </c>
      <c r="E329" s="12" t="s">
        <v>41</v>
      </c>
      <c r="F329" s="8"/>
      <c r="G329" s="8"/>
      <c r="H329" s="8"/>
      <c r="I329" s="8"/>
      <c r="J329" s="8"/>
      <c r="K329" s="8"/>
      <c r="L329" s="8"/>
      <c r="M329" s="8"/>
      <c r="N329" s="8"/>
      <c r="O329" s="8"/>
      <c r="P329" s="8"/>
      <c r="Q329" s="8"/>
      <c r="R329" s="8"/>
      <c r="S329" s="8"/>
      <c r="T329" s="8"/>
      <c r="U329" s="8"/>
      <c r="V329" s="8"/>
      <c r="W329" s="8"/>
      <c r="X329" s="8"/>
      <c r="Y329" s="8"/>
      <c r="Z329" s="8"/>
    </row>
    <row r="330">
      <c r="A330" s="10" t="s">
        <v>217</v>
      </c>
      <c r="B330" s="10" t="s">
        <v>185</v>
      </c>
      <c r="C330" s="11" t="s">
        <v>267</v>
      </c>
      <c r="D330" s="11" t="s">
        <v>976</v>
      </c>
      <c r="E330" s="12" t="s">
        <v>41</v>
      </c>
      <c r="F330" s="8"/>
      <c r="G330" s="8"/>
      <c r="H330" s="8"/>
      <c r="I330" s="8"/>
      <c r="J330" s="8"/>
      <c r="K330" s="8"/>
      <c r="L330" s="8"/>
      <c r="M330" s="8"/>
      <c r="N330" s="8"/>
      <c r="O330" s="8"/>
      <c r="P330" s="8"/>
      <c r="Q330" s="8"/>
      <c r="R330" s="8"/>
      <c r="S330" s="8"/>
      <c r="T330" s="8"/>
      <c r="U330" s="8"/>
      <c r="V330" s="8"/>
      <c r="W330" s="8"/>
      <c r="X330" s="8"/>
      <c r="Y330" s="8"/>
      <c r="Z330" s="8"/>
    </row>
    <row r="331">
      <c r="A331" s="10" t="s">
        <v>217</v>
      </c>
      <c r="B331" s="10" t="s">
        <v>185</v>
      </c>
      <c r="C331" s="11" t="s">
        <v>267</v>
      </c>
      <c r="D331" s="11" t="s">
        <v>977</v>
      </c>
      <c r="E331" s="12" t="s">
        <v>41</v>
      </c>
      <c r="F331" s="8"/>
      <c r="G331" s="8"/>
      <c r="H331" s="8"/>
      <c r="I331" s="8"/>
      <c r="J331" s="8"/>
      <c r="K331" s="8"/>
      <c r="L331" s="8"/>
      <c r="M331" s="8"/>
      <c r="N331" s="8"/>
      <c r="O331" s="8"/>
      <c r="P331" s="8"/>
      <c r="Q331" s="8"/>
      <c r="R331" s="8"/>
      <c r="S331" s="8"/>
      <c r="T331" s="8"/>
      <c r="U331" s="8"/>
      <c r="V331" s="8"/>
      <c r="W331" s="8"/>
      <c r="X331" s="8"/>
      <c r="Y331" s="8"/>
      <c r="Z331" s="8"/>
    </row>
    <row r="332">
      <c r="A332" s="10" t="s">
        <v>222</v>
      </c>
      <c r="B332" s="10" t="s">
        <v>185</v>
      </c>
      <c r="C332" s="11" t="s">
        <v>879</v>
      </c>
      <c r="D332" s="11">
        <v>905046.0</v>
      </c>
      <c r="E332" s="12" t="s">
        <v>41</v>
      </c>
      <c r="F332" s="8"/>
      <c r="G332" s="8"/>
      <c r="H332" s="8"/>
      <c r="I332" s="8"/>
      <c r="J332" s="8"/>
      <c r="K332" s="8"/>
      <c r="L332" s="8"/>
      <c r="M332" s="8"/>
      <c r="N332" s="8"/>
      <c r="O332" s="8"/>
      <c r="P332" s="8"/>
      <c r="Q332" s="8"/>
      <c r="R332" s="8"/>
      <c r="S332" s="8"/>
      <c r="T332" s="8"/>
      <c r="U332" s="8"/>
      <c r="V332" s="8"/>
      <c r="W332" s="8"/>
      <c r="X332" s="8"/>
      <c r="Y332" s="8"/>
      <c r="Z332" s="8"/>
    </row>
    <row r="333">
      <c r="A333" s="10" t="s">
        <v>229</v>
      </c>
      <c r="B333" s="10" t="s">
        <v>185</v>
      </c>
      <c r="C333" s="11" t="s">
        <v>978</v>
      </c>
      <c r="D333" s="11" t="s">
        <v>979</v>
      </c>
      <c r="E333" s="12" t="s">
        <v>41</v>
      </c>
      <c r="F333" s="8"/>
      <c r="G333" s="8"/>
      <c r="H333" s="8"/>
      <c r="I333" s="8"/>
      <c r="J333" s="8"/>
      <c r="K333" s="8"/>
      <c r="L333" s="8"/>
      <c r="M333" s="8"/>
      <c r="N333" s="8"/>
      <c r="O333" s="8"/>
      <c r="P333" s="8"/>
      <c r="Q333" s="8"/>
      <c r="R333" s="8"/>
      <c r="S333" s="8"/>
      <c r="T333" s="8"/>
      <c r="U333" s="8"/>
      <c r="V333" s="8"/>
      <c r="W333" s="8"/>
      <c r="X333" s="8"/>
      <c r="Y333" s="8"/>
      <c r="Z333" s="8"/>
    </row>
    <row r="334">
      <c r="A334" s="10" t="s">
        <v>234</v>
      </c>
      <c r="B334" s="10" t="s">
        <v>185</v>
      </c>
      <c r="C334" s="11" t="s">
        <v>370</v>
      </c>
      <c r="D334" s="11" t="s">
        <v>980</v>
      </c>
      <c r="E334" s="12" t="s">
        <v>41</v>
      </c>
      <c r="F334" s="8"/>
      <c r="G334" s="8"/>
      <c r="H334" s="8"/>
      <c r="I334" s="8"/>
      <c r="J334" s="8"/>
      <c r="K334" s="8"/>
      <c r="L334" s="8"/>
      <c r="M334" s="8"/>
      <c r="N334" s="8"/>
      <c r="O334" s="8"/>
      <c r="P334" s="8"/>
      <c r="Q334" s="8"/>
      <c r="R334" s="8"/>
      <c r="S334" s="8"/>
      <c r="T334" s="8"/>
      <c r="U334" s="8"/>
      <c r="V334" s="8"/>
      <c r="W334" s="8"/>
      <c r="X334" s="8"/>
      <c r="Y334" s="8"/>
      <c r="Z334" s="8"/>
    </row>
    <row r="335">
      <c r="A335" s="10" t="s">
        <v>234</v>
      </c>
      <c r="B335" s="10" t="s">
        <v>185</v>
      </c>
      <c r="C335" s="11" t="s">
        <v>978</v>
      </c>
      <c r="D335" s="11" t="s">
        <v>981</v>
      </c>
      <c r="E335" s="12" t="s">
        <v>41</v>
      </c>
      <c r="F335" s="8"/>
      <c r="G335" s="8"/>
      <c r="H335" s="8"/>
      <c r="I335" s="8"/>
      <c r="J335" s="8"/>
      <c r="K335" s="8"/>
      <c r="L335" s="8"/>
      <c r="M335" s="8"/>
      <c r="N335" s="8"/>
      <c r="O335" s="8"/>
      <c r="P335" s="8"/>
      <c r="Q335" s="8"/>
      <c r="R335" s="8"/>
      <c r="S335" s="8"/>
      <c r="T335" s="8"/>
      <c r="U335" s="8"/>
      <c r="V335" s="8"/>
      <c r="W335" s="8"/>
      <c r="X335" s="8"/>
      <c r="Y335" s="8"/>
      <c r="Z335" s="8"/>
    </row>
    <row r="336">
      <c r="A336" s="10" t="s">
        <v>240</v>
      </c>
      <c r="B336" s="10" t="s">
        <v>185</v>
      </c>
      <c r="C336" s="11" t="s">
        <v>982</v>
      </c>
      <c r="D336" s="11" t="s">
        <v>983</v>
      </c>
      <c r="E336" s="12" t="s">
        <v>41</v>
      </c>
      <c r="F336" s="8"/>
      <c r="G336" s="8"/>
      <c r="H336" s="8"/>
      <c r="I336" s="8"/>
      <c r="J336" s="8"/>
      <c r="K336" s="8"/>
      <c r="L336" s="8"/>
      <c r="M336" s="8"/>
      <c r="N336" s="8"/>
      <c r="O336" s="8"/>
      <c r="P336" s="8"/>
      <c r="Q336" s="8"/>
      <c r="R336" s="8"/>
      <c r="S336" s="8"/>
      <c r="T336" s="8"/>
      <c r="U336" s="8"/>
      <c r="V336" s="8"/>
      <c r="W336" s="8"/>
      <c r="X336" s="8"/>
      <c r="Y336" s="8"/>
      <c r="Z336" s="8"/>
    </row>
    <row r="337">
      <c r="A337" s="10" t="s">
        <v>240</v>
      </c>
      <c r="B337" s="10" t="s">
        <v>185</v>
      </c>
      <c r="C337" s="11" t="s">
        <v>186</v>
      </c>
      <c r="D337" s="11" t="s">
        <v>984</v>
      </c>
      <c r="E337" s="12" t="s">
        <v>41</v>
      </c>
      <c r="F337" s="8"/>
      <c r="G337" s="8"/>
      <c r="H337" s="8"/>
      <c r="I337" s="8"/>
      <c r="J337" s="8"/>
      <c r="K337" s="8"/>
      <c r="L337" s="8"/>
      <c r="M337" s="8"/>
      <c r="N337" s="8"/>
      <c r="O337" s="8"/>
      <c r="P337" s="8"/>
      <c r="Q337" s="8"/>
      <c r="R337" s="8"/>
      <c r="S337" s="8"/>
      <c r="T337" s="8"/>
      <c r="U337" s="8"/>
      <c r="V337" s="8"/>
      <c r="W337" s="8"/>
      <c r="X337" s="8"/>
      <c r="Y337" s="8"/>
      <c r="Z337" s="8"/>
    </row>
    <row r="338">
      <c r="A338" s="10" t="s">
        <v>240</v>
      </c>
      <c r="B338" s="10" t="s">
        <v>185</v>
      </c>
      <c r="C338" s="11" t="s">
        <v>285</v>
      </c>
      <c r="D338" s="11" t="s">
        <v>985</v>
      </c>
      <c r="E338" s="12" t="s">
        <v>41</v>
      </c>
      <c r="F338" s="8"/>
      <c r="G338" s="8"/>
      <c r="H338" s="8"/>
      <c r="I338" s="8"/>
      <c r="J338" s="8"/>
      <c r="K338" s="8"/>
      <c r="L338" s="8"/>
      <c r="M338" s="8"/>
      <c r="N338" s="8"/>
      <c r="O338" s="8"/>
      <c r="P338" s="8"/>
      <c r="Q338" s="8"/>
      <c r="R338" s="8"/>
      <c r="S338" s="8"/>
      <c r="T338" s="8"/>
      <c r="U338" s="8"/>
      <c r="V338" s="8"/>
      <c r="W338" s="8"/>
      <c r="X338" s="8"/>
      <c r="Y338" s="8"/>
      <c r="Z338" s="8"/>
    </row>
    <row r="339">
      <c r="A339" s="10" t="s">
        <v>248</v>
      </c>
      <c r="B339" s="10" t="s">
        <v>185</v>
      </c>
      <c r="C339" s="11" t="s">
        <v>771</v>
      </c>
      <c r="D339" s="11" t="s">
        <v>986</v>
      </c>
      <c r="E339" s="12" t="s">
        <v>41</v>
      </c>
      <c r="F339" s="8"/>
      <c r="G339" s="8"/>
      <c r="H339" s="8"/>
      <c r="I339" s="8"/>
      <c r="J339" s="8"/>
      <c r="K339" s="8"/>
      <c r="L339" s="8"/>
      <c r="M339" s="8"/>
      <c r="N339" s="8"/>
      <c r="O339" s="8"/>
      <c r="P339" s="8"/>
      <c r="Q339" s="8"/>
      <c r="R339" s="8"/>
      <c r="S339" s="8"/>
      <c r="T339" s="8"/>
      <c r="U339" s="8"/>
      <c r="V339" s="8"/>
      <c r="W339" s="8"/>
      <c r="X339" s="8"/>
      <c r="Y339" s="8"/>
      <c r="Z339" s="8"/>
    </row>
    <row r="340">
      <c r="A340" s="10" t="s">
        <v>255</v>
      </c>
      <c r="B340" s="10" t="s">
        <v>294</v>
      </c>
      <c r="C340" s="11">
        <v>6103.0</v>
      </c>
      <c r="D340" s="11">
        <v>10882.0</v>
      </c>
      <c r="E340" s="12" t="s">
        <v>41</v>
      </c>
      <c r="F340" s="8"/>
      <c r="G340" s="8"/>
      <c r="H340" s="8"/>
      <c r="I340" s="8"/>
      <c r="J340" s="8"/>
      <c r="K340" s="8"/>
      <c r="L340" s="8"/>
      <c r="M340" s="8"/>
      <c r="N340" s="8"/>
      <c r="O340" s="8"/>
      <c r="P340" s="8"/>
      <c r="Q340" s="8"/>
      <c r="R340" s="8"/>
      <c r="S340" s="8"/>
      <c r="T340" s="8"/>
      <c r="U340" s="8"/>
      <c r="V340" s="8"/>
      <c r="W340" s="8"/>
      <c r="X340" s="8"/>
      <c r="Y340" s="8"/>
      <c r="Z340" s="8"/>
    </row>
    <row r="341">
      <c r="A341" s="10" t="s">
        <v>260</v>
      </c>
      <c r="B341" s="10" t="s">
        <v>31</v>
      </c>
      <c r="C341" s="11">
        <v>1.109</v>
      </c>
      <c r="D341" s="11" t="s">
        <v>987</v>
      </c>
      <c r="E341" s="12" t="s">
        <v>41</v>
      </c>
      <c r="F341" s="8"/>
      <c r="G341" s="8"/>
      <c r="H341" s="8"/>
      <c r="I341" s="8"/>
      <c r="J341" s="8"/>
      <c r="K341" s="8"/>
      <c r="L341" s="8"/>
      <c r="M341" s="8"/>
      <c r="N341" s="8"/>
      <c r="O341" s="8"/>
      <c r="P341" s="8"/>
      <c r="Q341" s="8"/>
      <c r="R341" s="8"/>
      <c r="S341" s="8"/>
      <c r="T341" s="8"/>
      <c r="U341" s="8"/>
      <c r="V341" s="8"/>
      <c r="W341" s="8"/>
      <c r="X341" s="8"/>
      <c r="Y341" s="8"/>
      <c r="Z341" s="8"/>
    </row>
    <row r="342">
      <c r="A342" s="10" t="s">
        <v>260</v>
      </c>
      <c r="B342" s="10" t="s">
        <v>31</v>
      </c>
      <c r="C342" s="11">
        <v>1.109</v>
      </c>
      <c r="D342" s="11" t="s">
        <v>988</v>
      </c>
      <c r="E342" s="12" t="s">
        <v>41</v>
      </c>
      <c r="F342" s="8"/>
      <c r="G342" s="8"/>
      <c r="H342" s="8"/>
      <c r="I342" s="8"/>
      <c r="J342" s="8"/>
      <c r="K342" s="8"/>
      <c r="L342" s="8"/>
      <c r="M342" s="8"/>
      <c r="N342" s="8"/>
      <c r="O342" s="8"/>
      <c r="P342" s="8"/>
      <c r="Q342" s="8"/>
      <c r="R342" s="8"/>
      <c r="S342" s="8"/>
      <c r="T342" s="8"/>
      <c r="U342" s="8"/>
      <c r="V342" s="8"/>
      <c r="W342" s="8"/>
      <c r="X342" s="8"/>
      <c r="Y342" s="8"/>
      <c r="Z342" s="8"/>
    </row>
    <row r="343">
      <c r="A343" s="10" t="s">
        <v>260</v>
      </c>
      <c r="B343" s="10" t="s">
        <v>31</v>
      </c>
      <c r="C343" s="11" t="s">
        <v>989</v>
      </c>
      <c r="D343" s="11" t="s">
        <v>990</v>
      </c>
      <c r="E343" s="12" t="s">
        <v>41</v>
      </c>
      <c r="F343" s="8"/>
      <c r="G343" s="8"/>
      <c r="H343" s="8"/>
      <c r="I343" s="8"/>
      <c r="J343" s="8"/>
      <c r="K343" s="8"/>
      <c r="L343" s="8"/>
      <c r="M343" s="8"/>
      <c r="N343" s="8"/>
      <c r="O343" s="8"/>
      <c r="P343" s="8"/>
      <c r="Q343" s="8"/>
      <c r="R343" s="8"/>
      <c r="S343" s="8"/>
      <c r="T343" s="8"/>
      <c r="U343" s="8"/>
      <c r="V343" s="8"/>
      <c r="W343" s="8"/>
      <c r="X343" s="8"/>
      <c r="Y343" s="8"/>
      <c r="Z343" s="8"/>
    </row>
    <row r="344">
      <c r="A344" s="10" t="s">
        <v>265</v>
      </c>
      <c r="B344" s="10" t="s">
        <v>31</v>
      </c>
      <c r="C344" s="11" t="s">
        <v>35</v>
      </c>
      <c r="D344" s="11" t="s">
        <v>780</v>
      </c>
      <c r="E344" s="12" t="s">
        <v>41</v>
      </c>
      <c r="F344" s="8"/>
      <c r="G344" s="8"/>
      <c r="H344" s="8"/>
      <c r="I344" s="8"/>
      <c r="J344" s="8"/>
      <c r="K344" s="8"/>
      <c r="L344" s="8"/>
      <c r="M344" s="8"/>
      <c r="N344" s="8"/>
      <c r="O344" s="8"/>
      <c r="P344" s="8"/>
      <c r="Q344" s="8"/>
      <c r="R344" s="8"/>
      <c r="S344" s="8"/>
      <c r="T344" s="8"/>
      <c r="U344" s="8"/>
      <c r="V344" s="8"/>
      <c r="W344" s="8"/>
      <c r="X344" s="8"/>
      <c r="Y344" s="8"/>
      <c r="Z344" s="8"/>
    </row>
    <row r="345">
      <c r="A345" s="10" t="s">
        <v>265</v>
      </c>
      <c r="B345" s="10" t="s">
        <v>31</v>
      </c>
      <c r="C345" s="11" t="s">
        <v>35</v>
      </c>
      <c r="D345" s="11" t="s">
        <v>781</v>
      </c>
      <c r="E345" s="12" t="s">
        <v>41</v>
      </c>
      <c r="F345" s="8"/>
      <c r="G345" s="8"/>
      <c r="H345" s="8"/>
      <c r="I345" s="8"/>
      <c r="J345" s="8"/>
      <c r="K345" s="8"/>
      <c r="L345" s="8"/>
      <c r="M345" s="8"/>
      <c r="N345" s="8"/>
      <c r="O345" s="8"/>
      <c r="P345" s="8"/>
      <c r="Q345" s="8"/>
      <c r="R345" s="8"/>
      <c r="S345" s="8"/>
      <c r="T345" s="8"/>
      <c r="U345" s="8"/>
      <c r="V345" s="8"/>
      <c r="W345" s="8"/>
      <c r="X345" s="8"/>
      <c r="Y345" s="8"/>
      <c r="Z345" s="8"/>
    </row>
    <row r="346">
      <c r="A346" s="10" t="s">
        <v>265</v>
      </c>
      <c r="B346" s="10" t="s">
        <v>31</v>
      </c>
      <c r="C346" s="11" t="s">
        <v>35</v>
      </c>
      <c r="D346" s="66" t="s">
        <v>991</v>
      </c>
      <c r="E346" s="12" t="s">
        <v>41</v>
      </c>
      <c r="F346" s="8"/>
      <c r="G346" s="8"/>
      <c r="H346" s="8"/>
      <c r="I346" s="8"/>
      <c r="J346" s="8"/>
      <c r="K346" s="8"/>
      <c r="L346" s="8"/>
      <c r="M346" s="8"/>
      <c r="N346" s="8"/>
      <c r="O346" s="8"/>
      <c r="P346" s="8"/>
      <c r="Q346" s="8"/>
      <c r="R346" s="8"/>
      <c r="S346" s="8"/>
      <c r="T346" s="8"/>
      <c r="U346" s="8"/>
      <c r="V346" s="8"/>
      <c r="W346" s="8"/>
      <c r="X346" s="8"/>
      <c r="Y346" s="8"/>
      <c r="Z346" s="8"/>
    </row>
    <row r="347">
      <c r="A347" s="10" t="s">
        <v>265</v>
      </c>
      <c r="B347" s="10" t="s">
        <v>31</v>
      </c>
      <c r="C347" s="11" t="s">
        <v>35</v>
      </c>
      <c r="D347" s="66" t="s">
        <v>992</v>
      </c>
      <c r="E347" s="12" t="s">
        <v>41</v>
      </c>
      <c r="F347" s="8"/>
      <c r="G347" s="8"/>
      <c r="H347" s="8"/>
      <c r="I347" s="8"/>
      <c r="J347" s="8"/>
      <c r="K347" s="8"/>
      <c r="L347" s="8"/>
      <c r="M347" s="8"/>
      <c r="N347" s="8"/>
      <c r="O347" s="8"/>
      <c r="P347" s="8"/>
      <c r="Q347" s="8"/>
      <c r="R347" s="8"/>
      <c r="S347" s="8"/>
      <c r="T347" s="8"/>
      <c r="U347" s="8"/>
      <c r="V347" s="8"/>
      <c r="W347" s="8"/>
      <c r="X347" s="8"/>
      <c r="Y347" s="8"/>
      <c r="Z347" s="8"/>
    </row>
    <row r="348">
      <c r="A348" s="4" t="s">
        <v>993</v>
      </c>
      <c r="B348" s="4" t="s">
        <v>185</v>
      </c>
      <c r="C348" s="4" t="s">
        <v>280</v>
      </c>
      <c r="D348" s="4" t="s">
        <v>449</v>
      </c>
      <c r="E348" s="4" t="s">
        <v>386</v>
      </c>
      <c r="F348" s="8"/>
      <c r="G348" s="8"/>
      <c r="H348" s="8"/>
      <c r="I348" s="8"/>
      <c r="J348" s="8"/>
      <c r="K348" s="8"/>
      <c r="L348" s="8"/>
      <c r="M348" s="8"/>
      <c r="N348" s="8"/>
      <c r="O348" s="8"/>
      <c r="P348" s="8"/>
      <c r="Q348" s="8"/>
      <c r="R348" s="8"/>
      <c r="S348" s="8"/>
      <c r="T348" s="8"/>
      <c r="U348" s="8"/>
      <c r="V348" s="8"/>
      <c r="W348" s="8"/>
      <c r="X348" s="8"/>
      <c r="Y348" s="8"/>
      <c r="Z348" s="8"/>
    </row>
    <row r="349">
      <c r="A349" s="4" t="s">
        <v>994</v>
      </c>
      <c r="B349" s="4" t="s">
        <v>31</v>
      </c>
      <c r="C349" s="4" t="s">
        <v>35</v>
      </c>
      <c r="D349" s="4" t="s">
        <v>995</v>
      </c>
      <c r="E349" s="4" t="s">
        <v>352</v>
      </c>
      <c r="F349" s="8"/>
      <c r="G349" s="8"/>
      <c r="H349" s="8"/>
      <c r="I349" s="8"/>
      <c r="J349" s="8"/>
      <c r="K349" s="8"/>
      <c r="L349" s="8"/>
      <c r="M349" s="8"/>
      <c r="N349" s="8"/>
      <c r="O349" s="8"/>
      <c r="P349" s="8"/>
      <c r="Q349" s="8"/>
      <c r="R349" s="8"/>
      <c r="S349" s="8"/>
      <c r="T349" s="8"/>
      <c r="U349" s="8"/>
      <c r="V349" s="8"/>
      <c r="W349" s="8"/>
      <c r="X349" s="8"/>
      <c r="Y349" s="8"/>
      <c r="Z349" s="8"/>
    </row>
    <row r="350">
      <c r="A350" s="12" t="s">
        <v>526</v>
      </c>
      <c r="B350" s="12" t="s">
        <v>185</v>
      </c>
      <c r="C350" s="66" t="s">
        <v>186</v>
      </c>
      <c r="D350" s="66" t="s">
        <v>527</v>
      </c>
      <c r="E350" s="12" t="s">
        <v>391</v>
      </c>
      <c r="F350" s="8"/>
      <c r="G350" s="8"/>
      <c r="H350" s="8"/>
      <c r="I350" s="8"/>
      <c r="J350" s="8"/>
      <c r="K350" s="8"/>
      <c r="L350" s="8"/>
      <c r="M350" s="8"/>
      <c r="N350" s="8"/>
      <c r="O350" s="8"/>
      <c r="P350" s="8"/>
      <c r="Q350" s="8"/>
      <c r="R350" s="8"/>
      <c r="S350" s="8"/>
      <c r="T350" s="8"/>
      <c r="U350" s="8"/>
      <c r="V350" s="8"/>
      <c r="W350" s="8"/>
      <c r="X350" s="8"/>
      <c r="Y350" s="8"/>
      <c r="Z350" s="8"/>
    </row>
    <row r="351">
      <c r="A351" s="10" t="s">
        <v>211</v>
      </c>
      <c r="B351" s="12" t="s">
        <v>185</v>
      </c>
      <c r="C351" s="66" t="s">
        <v>267</v>
      </c>
      <c r="D351" s="66" t="s">
        <v>437</v>
      </c>
      <c r="E351" s="12" t="s">
        <v>421</v>
      </c>
      <c r="F351" s="8"/>
      <c r="G351" s="8"/>
      <c r="H351" s="8"/>
      <c r="I351" s="8"/>
      <c r="J351" s="8"/>
      <c r="K351" s="8"/>
      <c r="L351" s="8"/>
      <c r="M351" s="8"/>
      <c r="N351" s="8"/>
      <c r="O351" s="8"/>
      <c r="P351" s="8"/>
      <c r="Q351" s="8"/>
      <c r="R351" s="8"/>
      <c r="S351" s="8"/>
      <c r="T351" s="8"/>
      <c r="U351" s="8"/>
      <c r="V351" s="8"/>
      <c r="W351" s="8"/>
      <c r="X351" s="8"/>
      <c r="Y351" s="8"/>
      <c r="Z351" s="8"/>
    </row>
    <row r="352">
      <c r="A352" s="10" t="s">
        <v>211</v>
      </c>
      <c r="B352" s="12" t="s">
        <v>185</v>
      </c>
      <c r="C352" s="66" t="s">
        <v>186</v>
      </c>
      <c r="D352" s="66" t="s">
        <v>550</v>
      </c>
      <c r="E352" s="12" t="s">
        <v>421</v>
      </c>
      <c r="F352" s="8"/>
      <c r="G352" s="8"/>
      <c r="H352" s="8"/>
      <c r="I352" s="8"/>
      <c r="J352" s="8"/>
      <c r="K352" s="8"/>
      <c r="L352" s="8"/>
      <c r="M352" s="8"/>
      <c r="N352" s="8"/>
      <c r="O352" s="8"/>
      <c r="P352" s="8"/>
      <c r="Q352" s="8"/>
      <c r="R352" s="8"/>
      <c r="S352" s="8"/>
      <c r="T352" s="8"/>
      <c r="U352" s="8"/>
      <c r="V352" s="8"/>
      <c r="W352" s="8"/>
      <c r="X352" s="8"/>
      <c r="Y352" s="8"/>
      <c r="Z352" s="8"/>
    </row>
    <row r="353">
      <c r="A353" s="12" t="s">
        <v>275</v>
      </c>
      <c r="B353" s="12" t="s">
        <v>185</v>
      </c>
      <c r="C353" s="66" t="s">
        <v>615</v>
      </c>
      <c r="D353" s="66" t="s">
        <v>616</v>
      </c>
      <c r="E353" s="12" t="s">
        <v>391</v>
      </c>
      <c r="F353" s="8"/>
      <c r="G353" s="8"/>
      <c r="H353" s="8"/>
      <c r="I353" s="8"/>
      <c r="J353" s="8"/>
      <c r="K353" s="8"/>
      <c r="L353" s="8"/>
      <c r="M353" s="8"/>
      <c r="N353" s="8"/>
      <c r="O353" s="8"/>
      <c r="P353" s="8"/>
      <c r="Q353" s="8"/>
      <c r="R353" s="8"/>
      <c r="S353" s="8"/>
      <c r="T353" s="8"/>
      <c r="U353" s="8"/>
      <c r="V353" s="8"/>
      <c r="W353" s="8"/>
      <c r="X353" s="8"/>
      <c r="Y353" s="8"/>
      <c r="Z353" s="8"/>
    </row>
    <row r="354">
      <c r="A354" s="12" t="s">
        <v>767</v>
      </c>
      <c r="B354" s="12" t="s">
        <v>185</v>
      </c>
      <c r="C354" s="66" t="s">
        <v>615</v>
      </c>
      <c r="D354" s="66" t="s">
        <v>769</v>
      </c>
      <c r="E354" s="12" t="s">
        <v>352</v>
      </c>
      <c r="F354" s="8"/>
      <c r="G354" s="8"/>
      <c r="H354" s="8"/>
      <c r="I354" s="8"/>
      <c r="J354" s="8"/>
      <c r="K354" s="8"/>
      <c r="L354" s="8"/>
      <c r="M354" s="8"/>
      <c r="N354" s="8"/>
      <c r="O354" s="8"/>
      <c r="P354" s="8"/>
      <c r="Q354" s="8"/>
      <c r="R354" s="8"/>
      <c r="S354" s="8"/>
      <c r="T354" s="8"/>
      <c r="U354" s="8"/>
      <c r="V354" s="8"/>
      <c r="W354" s="8"/>
      <c r="X354" s="8"/>
      <c r="Y354" s="8"/>
      <c r="Z354" s="8"/>
    </row>
    <row r="355">
      <c r="A355" s="12" t="s">
        <v>811</v>
      </c>
      <c r="B355" s="12" t="s">
        <v>31</v>
      </c>
      <c r="C355" s="66" t="s">
        <v>324</v>
      </c>
      <c r="D355" s="66" t="s">
        <v>813</v>
      </c>
      <c r="E355" s="12" t="s">
        <v>352</v>
      </c>
      <c r="F355" s="8"/>
      <c r="G355" s="8"/>
      <c r="H355" s="8"/>
      <c r="I355" s="8"/>
      <c r="J355" s="8"/>
      <c r="K355" s="8"/>
      <c r="L355" s="8"/>
      <c r="M355" s="8"/>
      <c r="N355" s="8"/>
      <c r="O355" s="8"/>
      <c r="P355" s="8"/>
      <c r="Q355" s="8"/>
      <c r="R355" s="8"/>
      <c r="S355" s="8"/>
      <c r="T355" s="8"/>
      <c r="U355" s="8"/>
      <c r="V355" s="8"/>
      <c r="W355" s="8"/>
      <c r="X355" s="8"/>
      <c r="Y355" s="8"/>
      <c r="Z355" s="8"/>
    </row>
    <row r="356">
      <c r="A356" s="8"/>
      <c r="B356" s="8"/>
      <c r="C356" s="68"/>
      <c r="D356" s="6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68"/>
      <c r="D357" s="6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68"/>
      <c r="D358" s="6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68"/>
      <c r="D359" s="6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68"/>
      <c r="D360" s="6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68"/>
      <c r="D361" s="6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68"/>
      <c r="D362" s="6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68"/>
      <c r="D363" s="6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68"/>
      <c r="D364" s="6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68"/>
      <c r="D365" s="6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68"/>
      <c r="D366" s="6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68"/>
      <c r="D367" s="6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68"/>
      <c r="D368" s="6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68"/>
      <c r="D369" s="6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68"/>
      <c r="D370" s="6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68"/>
      <c r="D371" s="6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68"/>
      <c r="D372" s="6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68"/>
      <c r="D373" s="6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68"/>
      <c r="D374" s="6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68"/>
      <c r="D375" s="6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68"/>
      <c r="D376" s="6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68"/>
      <c r="D377" s="6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68"/>
      <c r="D378" s="6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68"/>
      <c r="D379" s="6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68"/>
      <c r="D380" s="6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68"/>
      <c r="D381" s="6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68"/>
      <c r="D382" s="6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68"/>
      <c r="D383" s="6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68"/>
      <c r="D384" s="6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68"/>
      <c r="D385" s="6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68"/>
      <c r="D386" s="6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68"/>
      <c r="D387" s="6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68"/>
      <c r="D388" s="6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68"/>
      <c r="D389" s="6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68"/>
      <c r="D390" s="6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68"/>
      <c r="D391" s="6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68"/>
      <c r="D392" s="6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68"/>
      <c r="D393" s="6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68"/>
      <c r="D394" s="6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68"/>
      <c r="D395" s="6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68"/>
      <c r="D396" s="6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68"/>
      <c r="D397" s="6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68"/>
      <c r="D398" s="6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68"/>
      <c r="D399" s="6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68"/>
      <c r="D400" s="6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68"/>
      <c r="D401" s="6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68"/>
      <c r="D402" s="6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68"/>
      <c r="D403" s="6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68"/>
      <c r="D404" s="6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68"/>
      <c r="D405" s="6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68"/>
      <c r="D406" s="6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68"/>
      <c r="D407" s="6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68"/>
      <c r="D408" s="6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68"/>
      <c r="D409" s="6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68"/>
      <c r="D410" s="6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68"/>
      <c r="D411" s="6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68"/>
      <c r="D412" s="6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68"/>
      <c r="D413" s="6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68"/>
      <c r="D414" s="6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68"/>
      <c r="D415" s="6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68"/>
      <c r="D416" s="6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68"/>
      <c r="D417" s="6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68"/>
      <c r="D418" s="6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68"/>
      <c r="D419" s="6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68"/>
      <c r="D420" s="6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68"/>
      <c r="D421" s="6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68"/>
      <c r="D422" s="6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68"/>
      <c r="D423" s="6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68"/>
      <c r="D424" s="6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68"/>
      <c r="D425" s="6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68"/>
      <c r="D426" s="6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68"/>
      <c r="D427" s="6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68"/>
      <c r="D428" s="6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68"/>
      <c r="D429" s="6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68"/>
      <c r="D430" s="6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68"/>
      <c r="D431" s="6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68"/>
      <c r="D432" s="6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68"/>
      <c r="D433" s="6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68"/>
      <c r="D434" s="6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68"/>
      <c r="D435" s="6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68"/>
      <c r="D436" s="6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68"/>
      <c r="D437" s="6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68"/>
      <c r="D438" s="6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68"/>
      <c r="D439" s="6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68"/>
      <c r="D440" s="6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68"/>
      <c r="D441" s="6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68"/>
      <c r="D442" s="6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68"/>
      <c r="D443" s="6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68"/>
      <c r="D444" s="6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68"/>
      <c r="D445" s="6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68"/>
      <c r="D446" s="6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68"/>
      <c r="D447" s="6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68"/>
      <c r="D448" s="6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68"/>
      <c r="D449" s="6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68"/>
      <c r="D450" s="6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68"/>
      <c r="D451" s="6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68"/>
      <c r="D452" s="6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68"/>
      <c r="D453" s="6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68"/>
      <c r="D454" s="6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68"/>
      <c r="D455" s="6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68"/>
      <c r="D456" s="6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68"/>
      <c r="D457" s="6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68"/>
      <c r="D458" s="6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68"/>
      <c r="D459" s="6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68"/>
      <c r="D460" s="6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68"/>
      <c r="D461" s="6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68"/>
      <c r="D462" s="6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68"/>
      <c r="D463" s="6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68"/>
      <c r="D464" s="6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68"/>
      <c r="D465" s="6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68"/>
      <c r="D466" s="6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68"/>
      <c r="D467" s="6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68"/>
      <c r="D468" s="6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68"/>
      <c r="D469" s="6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68"/>
      <c r="D470" s="6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68"/>
      <c r="D471" s="6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68"/>
      <c r="D472" s="6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68"/>
      <c r="D473" s="6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68"/>
      <c r="D474" s="6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68"/>
      <c r="D475" s="6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68"/>
      <c r="D476" s="6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68"/>
      <c r="D477" s="6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68"/>
      <c r="D478" s="6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68"/>
      <c r="D479" s="6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68"/>
      <c r="D480" s="6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68"/>
      <c r="D481" s="6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68"/>
      <c r="D482" s="6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68"/>
      <c r="D483" s="6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68"/>
      <c r="D484" s="6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68"/>
      <c r="D485" s="6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68"/>
      <c r="D486" s="6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68"/>
      <c r="D487" s="6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68"/>
      <c r="D488" s="6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68"/>
      <c r="D489" s="6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68"/>
      <c r="D490" s="6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68"/>
      <c r="D491" s="6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68"/>
      <c r="D492" s="6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68"/>
      <c r="D493" s="6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68"/>
      <c r="D494" s="6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68"/>
      <c r="D495" s="6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68"/>
      <c r="D496" s="6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68"/>
      <c r="D497" s="6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68"/>
      <c r="D498" s="6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68"/>
      <c r="D499" s="6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68"/>
      <c r="D500" s="6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68"/>
      <c r="D501" s="6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68"/>
      <c r="D502" s="6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68"/>
      <c r="D503" s="6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68"/>
      <c r="D504" s="6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68"/>
      <c r="D505" s="6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68"/>
      <c r="D506" s="6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68"/>
      <c r="D507" s="6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68"/>
      <c r="D508" s="6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68"/>
      <c r="D509" s="6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68"/>
      <c r="D510" s="6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68"/>
      <c r="D511" s="6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68"/>
      <c r="D512" s="6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68"/>
      <c r="D513" s="6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68"/>
      <c r="D514" s="6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68"/>
      <c r="D515" s="6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68"/>
      <c r="D516" s="6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68"/>
      <c r="D517" s="6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68"/>
      <c r="D518" s="6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68"/>
      <c r="D519" s="6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68"/>
      <c r="D520" s="6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68"/>
      <c r="D521" s="6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68"/>
      <c r="D522" s="6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68"/>
      <c r="D523" s="6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68"/>
      <c r="D524" s="6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68"/>
      <c r="D525" s="6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68"/>
      <c r="D526" s="6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68"/>
      <c r="D527" s="6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68"/>
      <c r="D528" s="6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68"/>
      <c r="D529" s="6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68"/>
      <c r="D530" s="6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68"/>
      <c r="D531" s="6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68"/>
      <c r="D532" s="6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68"/>
      <c r="D533" s="6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68"/>
      <c r="D534" s="6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68"/>
      <c r="D535" s="6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68"/>
      <c r="D536" s="6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68"/>
      <c r="D537" s="6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68"/>
      <c r="D538" s="6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68"/>
      <c r="D539" s="6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68"/>
      <c r="D540" s="6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68"/>
      <c r="D541" s="6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68"/>
      <c r="D542" s="6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68"/>
      <c r="D543" s="6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68"/>
      <c r="D544" s="6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68"/>
      <c r="D545" s="6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68"/>
      <c r="D546" s="6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68"/>
      <c r="D547" s="6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68"/>
      <c r="D548" s="6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68"/>
      <c r="D549" s="6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68"/>
      <c r="D550" s="6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68"/>
      <c r="D551" s="6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68"/>
      <c r="D552" s="6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68"/>
      <c r="D553" s="6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68"/>
      <c r="D554" s="6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68"/>
      <c r="D555" s="6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68"/>
      <c r="D556" s="6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68"/>
      <c r="D557" s="6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68"/>
      <c r="D558" s="6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68"/>
      <c r="D559" s="6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68"/>
      <c r="D560" s="6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68"/>
      <c r="D561" s="6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68"/>
      <c r="D562" s="6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68"/>
      <c r="D563" s="6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68"/>
      <c r="D564" s="6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68"/>
      <c r="D565" s="6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68"/>
      <c r="D566" s="6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68"/>
      <c r="D567" s="6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68"/>
      <c r="D568" s="6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68"/>
      <c r="D569" s="6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68"/>
      <c r="D570" s="6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68"/>
      <c r="D571" s="6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68"/>
      <c r="D572" s="6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68"/>
      <c r="D573" s="6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68"/>
      <c r="D574" s="6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68"/>
      <c r="D575" s="6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68"/>
      <c r="D576" s="6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68"/>
      <c r="D577" s="6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68"/>
      <c r="D578" s="6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68"/>
      <c r="D579" s="6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68"/>
      <c r="D580" s="6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68"/>
      <c r="D581" s="6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68"/>
      <c r="D582" s="6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68"/>
      <c r="D583" s="6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68"/>
      <c r="D584" s="6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68"/>
      <c r="D585" s="6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68"/>
      <c r="D586" s="6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68"/>
      <c r="D587" s="6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68"/>
      <c r="D588" s="6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68"/>
      <c r="D589" s="6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68"/>
      <c r="D590" s="6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68"/>
      <c r="D591" s="6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68"/>
      <c r="D592" s="6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68"/>
      <c r="D593" s="6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68"/>
      <c r="D594" s="6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68"/>
      <c r="D595" s="6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68"/>
      <c r="D596" s="6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68"/>
      <c r="D597" s="6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68"/>
      <c r="D598" s="6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68"/>
      <c r="D599" s="6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68"/>
      <c r="D600" s="6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68"/>
      <c r="D601" s="6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68"/>
      <c r="D602" s="6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68"/>
      <c r="D603" s="6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68"/>
      <c r="D604" s="6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68"/>
      <c r="D605" s="6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68"/>
      <c r="D606" s="6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68"/>
      <c r="D607" s="6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68"/>
      <c r="D608" s="6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68"/>
      <c r="D609" s="6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68"/>
      <c r="D610" s="6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68"/>
      <c r="D611" s="6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68"/>
      <c r="D612" s="6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68"/>
      <c r="D613" s="6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68"/>
      <c r="D614" s="6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68"/>
      <c r="D615" s="6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68"/>
      <c r="D616" s="6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68"/>
      <c r="D617" s="6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68"/>
      <c r="D618" s="6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68"/>
      <c r="D619" s="6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68"/>
      <c r="D620" s="6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68"/>
      <c r="D621" s="6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68"/>
      <c r="D622" s="6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68"/>
      <c r="D623" s="6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68"/>
      <c r="D624" s="6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68"/>
      <c r="D625" s="6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68"/>
      <c r="D626" s="6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68"/>
      <c r="D627" s="6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68"/>
      <c r="D628" s="6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68"/>
      <c r="D629" s="6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68"/>
      <c r="D630" s="6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68"/>
      <c r="D631" s="6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68"/>
      <c r="D632" s="6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68"/>
      <c r="D633" s="6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68"/>
      <c r="D634" s="6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68"/>
      <c r="D635" s="6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68"/>
      <c r="D636" s="6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68"/>
      <c r="D637" s="6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68"/>
      <c r="D638" s="6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68"/>
      <c r="D639" s="6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68"/>
      <c r="D640" s="6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68"/>
      <c r="D641" s="6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68"/>
      <c r="D642" s="6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68"/>
      <c r="D643" s="6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68"/>
      <c r="D644" s="6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68"/>
      <c r="D645" s="6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68"/>
      <c r="D646" s="6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68"/>
      <c r="D647" s="6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68"/>
      <c r="D648" s="6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68"/>
      <c r="D649" s="6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68"/>
      <c r="D650" s="6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68"/>
      <c r="D651" s="6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68"/>
      <c r="D652" s="6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68"/>
      <c r="D653" s="6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68"/>
      <c r="D654" s="6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68"/>
      <c r="D655" s="6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68"/>
      <c r="D656" s="6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68"/>
      <c r="D657" s="6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68"/>
      <c r="D658" s="6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68"/>
      <c r="D659" s="6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68"/>
      <c r="D660" s="6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68"/>
      <c r="D661" s="6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68"/>
      <c r="D662" s="6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68"/>
      <c r="D663" s="6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68"/>
      <c r="D664" s="6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68"/>
      <c r="D665" s="6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68"/>
      <c r="D666" s="6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68"/>
      <c r="D667" s="6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68"/>
      <c r="D668" s="6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68"/>
      <c r="D669" s="6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68"/>
      <c r="D670" s="6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68"/>
      <c r="D671" s="6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68"/>
      <c r="D672" s="6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68"/>
      <c r="D673" s="6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68"/>
      <c r="D674" s="6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68"/>
      <c r="D675" s="6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68"/>
      <c r="D676" s="6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68"/>
      <c r="D677" s="6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68"/>
      <c r="D678" s="6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68"/>
      <c r="D679" s="6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68"/>
      <c r="D680" s="6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68"/>
      <c r="D681" s="6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68"/>
      <c r="D682" s="6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68"/>
      <c r="D683" s="6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68"/>
      <c r="D684" s="6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68"/>
      <c r="D685" s="6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68"/>
      <c r="D686" s="6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68"/>
      <c r="D687" s="6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68"/>
      <c r="D688" s="6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68"/>
      <c r="D689" s="6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68"/>
      <c r="D690" s="6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68"/>
      <c r="D691" s="6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68"/>
      <c r="D692" s="6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68"/>
      <c r="D693" s="6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68"/>
      <c r="D694" s="6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68"/>
      <c r="D695" s="6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68"/>
      <c r="D696" s="6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68"/>
      <c r="D697" s="6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68"/>
      <c r="D698" s="6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68"/>
      <c r="D699" s="6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68"/>
      <c r="D700" s="6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68"/>
      <c r="D701" s="6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68"/>
      <c r="D702" s="6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68"/>
      <c r="D703" s="6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68"/>
      <c r="D704" s="6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68"/>
      <c r="D705" s="6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68"/>
      <c r="D706" s="6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68"/>
      <c r="D707" s="6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68"/>
      <c r="D708" s="6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68"/>
      <c r="D709" s="6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68"/>
      <c r="D710" s="6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68"/>
      <c r="D711" s="6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68"/>
      <c r="D712" s="6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68"/>
      <c r="D713" s="6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68"/>
      <c r="D714" s="6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68"/>
      <c r="D715" s="6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68"/>
      <c r="D716" s="6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68"/>
      <c r="D717" s="6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68"/>
      <c r="D718" s="6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68"/>
      <c r="D719" s="6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68"/>
      <c r="D720" s="6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68"/>
      <c r="D721" s="6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68"/>
      <c r="D722" s="6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68"/>
      <c r="D723" s="6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68"/>
      <c r="D724" s="6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68"/>
      <c r="D725" s="6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68"/>
      <c r="D726" s="6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68"/>
      <c r="D727" s="6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68"/>
      <c r="D728" s="6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68"/>
      <c r="D729" s="6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68"/>
      <c r="D730" s="6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68"/>
      <c r="D731" s="6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68"/>
      <c r="D732" s="6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68"/>
      <c r="D733" s="6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68"/>
      <c r="D734" s="6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68"/>
      <c r="D735" s="6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68"/>
      <c r="D736" s="6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68"/>
      <c r="D737" s="6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68"/>
      <c r="D738" s="6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68"/>
      <c r="D739" s="6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68"/>
      <c r="D740" s="6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68"/>
      <c r="D741" s="6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68"/>
      <c r="D742" s="6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68"/>
      <c r="D743" s="6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68"/>
      <c r="D744" s="6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68"/>
      <c r="D745" s="6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68"/>
      <c r="D746" s="6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68"/>
      <c r="D747" s="6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68"/>
      <c r="D748" s="6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68"/>
      <c r="D749" s="6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68"/>
      <c r="D750" s="6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68"/>
      <c r="D751" s="6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68"/>
      <c r="D752" s="6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68"/>
      <c r="D753" s="6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68"/>
      <c r="D754" s="6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68"/>
      <c r="D755" s="6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68"/>
      <c r="D756" s="6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68"/>
      <c r="D757" s="6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68"/>
      <c r="D758" s="6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68"/>
      <c r="D759" s="6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68"/>
      <c r="D760" s="6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68"/>
      <c r="D761" s="6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68"/>
      <c r="D762" s="6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68"/>
      <c r="D763" s="6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68"/>
      <c r="D764" s="6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68"/>
      <c r="D765" s="6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68"/>
      <c r="D766" s="6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68"/>
      <c r="D767" s="6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68"/>
      <c r="D768" s="6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68"/>
      <c r="D769" s="6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68"/>
      <c r="D770" s="6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68"/>
      <c r="D771" s="6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68"/>
      <c r="D772" s="6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68"/>
      <c r="D773" s="6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68"/>
      <c r="D774" s="6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68"/>
      <c r="D775" s="6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68"/>
      <c r="D776" s="6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68"/>
      <c r="D777" s="6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68"/>
      <c r="D778" s="6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68"/>
      <c r="D779" s="6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68"/>
      <c r="D780" s="6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68"/>
      <c r="D781" s="6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68"/>
      <c r="D782" s="6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68"/>
      <c r="D783" s="6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68"/>
      <c r="D784" s="6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68"/>
      <c r="D785" s="6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68"/>
      <c r="D786" s="6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68"/>
      <c r="D787" s="6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68"/>
      <c r="D788" s="6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68"/>
      <c r="D789" s="6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68"/>
      <c r="D790" s="6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68"/>
      <c r="D791" s="6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68"/>
      <c r="D792" s="6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68"/>
      <c r="D793" s="6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68"/>
      <c r="D794" s="6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68"/>
      <c r="D795" s="6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68"/>
      <c r="D796" s="6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68"/>
      <c r="D797" s="6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68"/>
      <c r="D798" s="6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68"/>
      <c r="D799" s="6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68"/>
      <c r="D800" s="6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68"/>
      <c r="D801" s="6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68"/>
      <c r="D802" s="6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68"/>
      <c r="D803" s="6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68"/>
      <c r="D804" s="6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68"/>
      <c r="D805" s="6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68"/>
      <c r="D806" s="6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68"/>
      <c r="D807" s="6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68"/>
      <c r="D808" s="6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68"/>
      <c r="D809" s="6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68"/>
      <c r="D810" s="6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68"/>
      <c r="D811" s="6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68"/>
      <c r="D812" s="6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68"/>
      <c r="D813" s="6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68"/>
      <c r="D814" s="6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68"/>
      <c r="D815" s="6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68"/>
      <c r="D816" s="6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68"/>
      <c r="D817" s="6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68"/>
      <c r="D818" s="6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68"/>
      <c r="D819" s="6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68"/>
      <c r="D820" s="6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68"/>
      <c r="D821" s="6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68"/>
      <c r="D822" s="6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68"/>
      <c r="D823" s="6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68"/>
      <c r="D824" s="6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68"/>
      <c r="D825" s="6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68"/>
      <c r="D826" s="6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68"/>
      <c r="D827" s="6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68"/>
      <c r="D828" s="6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68"/>
      <c r="D829" s="6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68"/>
      <c r="D830" s="6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68"/>
      <c r="D831" s="6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68"/>
      <c r="D832" s="6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68"/>
      <c r="D833" s="6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68"/>
      <c r="D834" s="6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68"/>
      <c r="D835" s="6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68"/>
      <c r="D836" s="6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68"/>
      <c r="D837" s="6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68"/>
      <c r="D838" s="6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68"/>
      <c r="D839" s="6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68"/>
      <c r="D840" s="6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68"/>
      <c r="D841" s="6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68"/>
      <c r="D842" s="6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68"/>
      <c r="D843" s="6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68"/>
      <c r="D844" s="6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68"/>
      <c r="D845" s="6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68"/>
      <c r="D846" s="6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68"/>
      <c r="D847" s="6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68"/>
      <c r="D848" s="6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68"/>
      <c r="D849" s="6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68"/>
      <c r="D850" s="6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68"/>
      <c r="D851" s="6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68"/>
      <c r="D852" s="6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68"/>
      <c r="D853" s="6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68"/>
      <c r="D854" s="6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68"/>
      <c r="D855" s="6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68"/>
      <c r="D856" s="6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68"/>
      <c r="D857" s="6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68"/>
      <c r="D858" s="6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68"/>
      <c r="D859" s="6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68"/>
      <c r="D860" s="6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68"/>
      <c r="D861" s="6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68"/>
      <c r="D862" s="6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68"/>
      <c r="D863" s="6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68"/>
      <c r="D864" s="6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68"/>
      <c r="D865" s="6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68"/>
      <c r="D866" s="6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68"/>
      <c r="D867" s="6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68"/>
      <c r="D868" s="6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68"/>
      <c r="D869" s="6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68"/>
      <c r="D870" s="6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68"/>
      <c r="D871" s="6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68"/>
      <c r="D872" s="6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68"/>
      <c r="D873" s="6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68"/>
      <c r="D874" s="6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68"/>
      <c r="D875" s="6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68"/>
      <c r="D876" s="6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68"/>
      <c r="D877" s="6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68"/>
      <c r="D878" s="6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68"/>
      <c r="D879" s="6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68"/>
      <c r="D880" s="6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68"/>
      <c r="D881" s="6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68"/>
      <c r="D882" s="6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68"/>
      <c r="D883" s="6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68"/>
      <c r="D884" s="6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68"/>
      <c r="D885" s="6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68"/>
      <c r="D886" s="6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68"/>
      <c r="D887" s="6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68"/>
      <c r="D888" s="6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68"/>
      <c r="D889" s="6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68"/>
      <c r="D890" s="6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68"/>
      <c r="D891" s="6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68"/>
      <c r="D892" s="6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68"/>
      <c r="D893" s="6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68"/>
      <c r="D894" s="6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68"/>
      <c r="D895" s="6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68"/>
      <c r="D896" s="6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68"/>
      <c r="D897" s="6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68"/>
      <c r="D898" s="6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68"/>
      <c r="D899" s="6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68"/>
      <c r="D900" s="6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68"/>
      <c r="D901" s="6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68"/>
      <c r="D902" s="6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68"/>
      <c r="D903" s="6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68"/>
      <c r="D904" s="6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68"/>
      <c r="D905" s="6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68"/>
      <c r="D906" s="6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68"/>
      <c r="D907" s="6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68"/>
      <c r="D908" s="6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68"/>
      <c r="D909" s="6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68"/>
      <c r="D910" s="6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68"/>
      <c r="D911" s="6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68"/>
      <c r="D912" s="6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68"/>
      <c r="D913" s="6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68"/>
      <c r="D914" s="6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68"/>
      <c r="D915" s="6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68"/>
      <c r="D916" s="6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68"/>
      <c r="D917" s="6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68"/>
      <c r="D918" s="6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68"/>
      <c r="D919" s="6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68"/>
      <c r="D920" s="6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68"/>
      <c r="D921" s="6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68"/>
      <c r="D922" s="6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68"/>
      <c r="D923" s="6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68"/>
      <c r="D924" s="6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68"/>
      <c r="D925" s="6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68"/>
      <c r="D926" s="6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68"/>
      <c r="D927" s="6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68"/>
      <c r="D928" s="6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68"/>
      <c r="D929" s="6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68"/>
      <c r="D930" s="6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68"/>
      <c r="D931" s="6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68"/>
      <c r="D932" s="6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68"/>
      <c r="D933" s="6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68"/>
      <c r="D934" s="6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68"/>
      <c r="D935" s="6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68"/>
      <c r="D936" s="6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68"/>
      <c r="D937" s="6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68"/>
      <c r="D938" s="6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68"/>
      <c r="D939" s="6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68"/>
      <c r="D940" s="6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68"/>
      <c r="D941" s="6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68"/>
      <c r="D942" s="6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68"/>
      <c r="D943" s="6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68"/>
      <c r="D944" s="6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68"/>
      <c r="D945" s="6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68"/>
      <c r="D946" s="6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68"/>
      <c r="D947" s="6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68"/>
      <c r="D948" s="6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68"/>
      <c r="D949" s="6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68"/>
      <c r="D950" s="6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68"/>
      <c r="D951" s="6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68"/>
      <c r="D952" s="6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68"/>
      <c r="D953" s="6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68"/>
      <c r="D954" s="6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68"/>
      <c r="D955" s="6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68"/>
      <c r="D956" s="6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68"/>
      <c r="D957" s="6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68"/>
      <c r="D958" s="6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68"/>
      <c r="D959" s="6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68"/>
      <c r="D960" s="6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68"/>
      <c r="D961" s="6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68"/>
      <c r="D962" s="6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68"/>
      <c r="D963" s="6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68"/>
      <c r="D964" s="6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68"/>
      <c r="D965" s="6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68"/>
      <c r="D966" s="6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68"/>
      <c r="D967" s="6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68"/>
      <c r="D968" s="6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68"/>
      <c r="D969" s="6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68"/>
      <c r="D970" s="6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68"/>
      <c r="D971" s="6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68"/>
      <c r="D972" s="6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68"/>
      <c r="D973" s="6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68"/>
      <c r="D974" s="6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68"/>
      <c r="D975" s="6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68"/>
      <c r="D976" s="6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68"/>
      <c r="D977" s="6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68"/>
      <c r="D978" s="6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68"/>
      <c r="D979" s="6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68"/>
      <c r="D980" s="6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68"/>
      <c r="D981" s="6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68"/>
      <c r="D982" s="6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68"/>
      <c r="D983" s="6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68"/>
      <c r="D984" s="6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68"/>
      <c r="D985" s="6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68"/>
      <c r="D986" s="6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68"/>
      <c r="D987" s="6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68"/>
      <c r="D988" s="6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68"/>
      <c r="D989" s="6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68"/>
      <c r="D990" s="6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68"/>
      <c r="D991" s="6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68"/>
      <c r="D992" s="6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68"/>
      <c r="D993" s="6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68"/>
      <c r="D994" s="6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68"/>
      <c r="D995" s="6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68"/>
      <c r="D996" s="6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68"/>
      <c r="D997" s="6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68"/>
      <c r="D998" s="6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68"/>
      <c r="D999" s="6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68"/>
      <c r="D1000" s="6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68"/>
      <c r="D1001" s="6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68"/>
      <c r="D1002" s="6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68"/>
      <c r="D1003" s="6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68"/>
      <c r="D1004" s="6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68"/>
      <c r="D1005" s="6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 r="A1006" s="8"/>
      <c r="B1006" s="8"/>
      <c r="C1006" s="68"/>
      <c r="D1006" s="6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c r="A1007" s="8"/>
      <c r="B1007" s="8"/>
      <c r="C1007" s="68"/>
      <c r="D1007" s="6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c r="A1008" s="8"/>
      <c r="B1008" s="8"/>
      <c r="C1008" s="68"/>
      <c r="D1008" s="6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c r="A1009" s="8"/>
      <c r="B1009" s="8"/>
      <c r="C1009" s="68"/>
      <c r="D1009" s="6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c r="A1010" s="8"/>
      <c r="B1010" s="8"/>
      <c r="C1010" s="68"/>
      <c r="D1010" s="6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c r="A1011" s="8"/>
      <c r="B1011" s="8"/>
      <c r="C1011" s="68"/>
      <c r="D1011" s="6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c r="A1012" s="8"/>
      <c r="B1012" s="8"/>
      <c r="C1012" s="68"/>
      <c r="D1012" s="6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c r="A1013" s="8"/>
      <c r="B1013" s="8"/>
      <c r="C1013" s="68"/>
      <c r="D1013" s="6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c r="A1014" s="8"/>
      <c r="B1014" s="8"/>
      <c r="C1014" s="68"/>
      <c r="D1014" s="6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c r="A1015" s="8"/>
      <c r="B1015" s="8"/>
      <c r="C1015" s="68"/>
      <c r="D1015" s="6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c r="A1016" s="8"/>
      <c r="B1016" s="8"/>
      <c r="C1016" s="68"/>
      <c r="D1016" s="6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c r="A1017" s="8"/>
      <c r="B1017" s="8"/>
      <c r="C1017" s="68"/>
      <c r="D1017" s="6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c r="A1018" s="8"/>
      <c r="B1018" s="8"/>
      <c r="C1018" s="68"/>
      <c r="D1018" s="6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c r="A1019" s="8"/>
      <c r="B1019" s="8"/>
      <c r="C1019" s="68"/>
      <c r="D1019" s="6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c r="A1020" s="8"/>
      <c r="B1020" s="8"/>
      <c r="C1020" s="68"/>
      <c r="D1020" s="6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c r="A1021" s="8"/>
      <c r="B1021" s="8"/>
      <c r="C1021" s="68"/>
      <c r="D1021" s="6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c r="A1022" s="8"/>
      <c r="B1022" s="8"/>
      <c r="C1022" s="68"/>
      <c r="D1022" s="6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c r="A1023" s="8"/>
      <c r="B1023" s="8"/>
      <c r="C1023" s="68"/>
      <c r="D1023" s="6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c r="A1024" s="8"/>
      <c r="B1024" s="8"/>
      <c r="C1024" s="68"/>
      <c r="D1024" s="6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c r="A1025" s="8"/>
      <c r="B1025" s="8"/>
      <c r="C1025" s="68"/>
      <c r="D1025" s="6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c r="A1026" s="8"/>
      <c r="B1026" s="8"/>
      <c r="C1026" s="68"/>
      <c r="D1026" s="68"/>
      <c r="E1026" s="8"/>
      <c r="F1026" s="8"/>
      <c r="G1026" s="8"/>
      <c r="H1026" s="8"/>
      <c r="I1026" s="8"/>
      <c r="J1026" s="8"/>
      <c r="K1026" s="8"/>
      <c r="L1026" s="8"/>
      <c r="M1026" s="8"/>
      <c r="N1026" s="8"/>
      <c r="O1026" s="8"/>
      <c r="P1026" s="8"/>
      <c r="Q1026" s="8"/>
      <c r="R1026" s="8"/>
      <c r="S1026" s="8"/>
      <c r="T1026" s="8"/>
      <c r="U1026" s="8"/>
      <c r="V1026" s="8"/>
      <c r="W1026" s="8"/>
      <c r="X1026" s="8"/>
      <c r="Y1026" s="8"/>
      <c r="Z1026" s="8"/>
    </row>
    <row r="1027">
      <c r="A1027" s="8"/>
      <c r="B1027" s="8"/>
      <c r="C1027" s="68"/>
      <c r="D1027" s="68"/>
      <c r="E1027" s="8"/>
      <c r="F1027" s="8"/>
      <c r="G1027" s="8"/>
      <c r="H1027" s="8"/>
      <c r="I1027" s="8"/>
      <c r="J1027" s="8"/>
      <c r="K1027" s="8"/>
      <c r="L1027" s="8"/>
      <c r="M1027" s="8"/>
      <c r="N1027" s="8"/>
      <c r="O1027" s="8"/>
      <c r="P1027" s="8"/>
      <c r="Q1027" s="8"/>
      <c r="R1027" s="8"/>
      <c r="S1027" s="8"/>
      <c r="T1027" s="8"/>
      <c r="U1027" s="8"/>
      <c r="V1027" s="8"/>
      <c r="W1027" s="8"/>
      <c r="X1027" s="8"/>
      <c r="Y1027" s="8"/>
      <c r="Z1027" s="8"/>
    </row>
    <row r="1028">
      <c r="A1028" s="8"/>
      <c r="B1028" s="8"/>
      <c r="C1028" s="68"/>
      <c r="D1028" s="68"/>
      <c r="E1028" s="8"/>
      <c r="F1028" s="8"/>
      <c r="G1028" s="8"/>
      <c r="H1028" s="8"/>
      <c r="I1028" s="8"/>
      <c r="J1028" s="8"/>
      <c r="K1028" s="8"/>
      <c r="L1028" s="8"/>
      <c r="M1028" s="8"/>
      <c r="N1028" s="8"/>
      <c r="O1028" s="8"/>
      <c r="P1028" s="8"/>
      <c r="Q1028" s="8"/>
      <c r="R1028" s="8"/>
      <c r="S1028" s="8"/>
      <c r="T1028" s="8"/>
      <c r="U1028" s="8"/>
      <c r="V1028" s="8"/>
      <c r="W1028" s="8"/>
      <c r="X1028" s="8"/>
      <c r="Y1028" s="8"/>
      <c r="Z1028" s="8"/>
    </row>
    <row r="1029">
      <c r="A1029" s="8"/>
      <c r="B1029" s="8"/>
      <c r="C1029" s="68"/>
      <c r="D1029" s="68"/>
      <c r="E1029" s="8"/>
      <c r="F1029" s="8"/>
      <c r="G1029" s="8"/>
      <c r="H1029" s="8"/>
      <c r="I1029" s="8"/>
      <c r="J1029" s="8"/>
      <c r="K1029" s="8"/>
      <c r="L1029" s="8"/>
      <c r="M1029" s="8"/>
      <c r="N1029" s="8"/>
      <c r="O1029" s="8"/>
      <c r="P1029" s="8"/>
      <c r="Q1029" s="8"/>
      <c r="R1029" s="8"/>
      <c r="S1029" s="8"/>
      <c r="T1029" s="8"/>
      <c r="U1029" s="8"/>
      <c r="V1029" s="8"/>
      <c r="W1029" s="8"/>
      <c r="X1029" s="8"/>
      <c r="Y1029" s="8"/>
      <c r="Z1029" s="8"/>
    </row>
    <row r="1030">
      <c r="A1030" s="8"/>
      <c r="B1030" s="8"/>
      <c r="C1030" s="68"/>
      <c r="D1030" s="68"/>
      <c r="E1030" s="8"/>
      <c r="F1030" s="8"/>
      <c r="G1030" s="8"/>
      <c r="H1030" s="8"/>
      <c r="I1030" s="8"/>
      <c r="J1030" s="8"/>
      <c r="K1030" s="8"/>
      <c r="L1030" s="8"/>
      <c r="M1030" s="8"/>
      <c r="N1030" s="8"/>
      <c r="O1030" s="8"/>
      <c r="P1030" s="8"/>
      <c r="Q1030" s="8"/>
      <c r="R1030" s="8"/>
      <c r="S1030" s="8"/>
      <c r="T1030" s="8"/>
      <c r="U1030" s="8"/>
      <c r="V1030" s="8"/>
      <c r="W1030" s="8"/>
      <c r="X1030" s="8"/>
      <c r="Y1030" s="8"/>
      <c r="Z1030" s="8"/>
    </row>
    <row r="1031">
      <c r="A1031" s="8"/>
      <c r="B1031" s="8"/>
      <c r="C1031" s="68"/>
      <c r="D1031" s="68"/>
      <c r="E1031" s="8"/>
      <c r="F1031" s="8"/>
      <c r="G1031" s="8"/>
      <c r="H1031" s="8"/>
      <c r="I1031" s="8"/>
      <c r="J1031" s="8"/>
      <c r="K1031" s="8"/>
      <c r="L1031" s="8"/>
      <c r="M1031" s="8"/>
      <c r="N1031" s="8"/>
      <c r="O1031" s="8"/>
      <c r="P1031" s="8"/>
      <c r="Q1031" s="8"/>
      <c r="R1031" s="8"/>
      <c r="S1031" s="8"/>
      <c r="T1031" s="8"/>
      <c r="U1031" s="8"/>
      <c r="V1031" s="8"/>
      <c r="W1031" s="8"/>
      <c r="X1031" s="8"/>
      <c r="Y1031" s="8"/>
      <c r="Z1031" s="8"/>
    </row>
    <row r="1032">
      <c r="A1032" s="8"/>
      <c r="B1032" s="8"/>
      <c r="C1032" s="68"/>
      <c r="D1032" s="68"/>
      <c r="E1032" s="8"/>
      <c r="F1032" s="8"/>
      <c r="G1032" s="8"/>
      <c r="H1032" s="8"/>
      <c r="I1032" s="8"/>
      <c r="J1032" s="8"/>
      <c r="K1032" s="8"/>
      <c r="L1032" s="8"/>
      <c r="M1032" s="8"/>
      <c r="N1032" s="8"/>
      <c r="O1032" s="8"/>
      <c r="P1032" s="8"/>
      <c r="Q1032" s="8"/>
      <c r="R1032" s="8"/>
      <c r="S1032" s="8"/>
      <c r="T1032" s="8"/>
      <c r="U1032" s="8"/>
      <c r="V1032" s="8"/>
      <c r="W1032" s="8"/>
      <c r="X1032" s="8"/>
      <c r="Y1032" s="8"/>
      <c r="Z1032" s="8"/>
    </row>
    <row r="1033">
      <c r="A1033" s="8"/>
      <c r="B1033" s="8"/>
      <c r="C1033" s="68"/>
      <c r="D1033" s="68"/>
      <c r="E1033" s="8"/>
      <c r="F1033" s="8"/>
      <c r="G1033" s="8"/>
      <c r="H1033" s="8"/>
      <c r="I1033" s="8"/>
      <c r="J1033" s="8"/>
      <c r="K1033" s="8"/>
      <c r="L1033" s="8"/>
      <c r="M1033" s="8"/>
      <c r="N1033" s="8"/>
      <c r="O1033" s="8"/>
      <c r="P1033" s="8"/>
      <c r="Q1033" s="8"/>
      <c r="R1033" s="8"/>
      <c r="S1033" s="8"/>
      <c r="T1033" s="8"/>
      <c r="U1033" s="8"/>
      <c r="V1033" s="8"/>
      <c r="W1033" s="8"/>
      <c r="X1033" s="8"/>
      <c r="Y1033" s="8"/>
      <c r="Z1033" s="8"/>
    </row>
    <row r="1034">
      <c r="A1034" s="8"/>
      <c r="B1034" s="8"/>
      <c r="C1034" s="68"/>
      <c r="D1034" s="68"/>
      <c r="E1034" s="8"/>
      <c r="F1034" s="8"/>
      <c r="G1034" s="8"/>
      <c r="H1034" s="8"/>
      <c r="I1034" s="8"/>
      <c r="J1034" s="8"/>
      <c r="K1034" s="8"/>
      <c r="L1034" s="8"/>
      <c r="M1034" s="8"/>
      <c r="N1034" s="8"/>
      <c r="O1034" s="8"/>
      <c r="P1034" s="8"/>
      <c r="Q1034" s="8"/>
      <c r="R1034" s="8"/>
      <c r="S1034" s="8"/>
      <c r="T1034" s="8"/>
      <c r="U1034" s="8"/>
      <c r="V1034" s="8"/>
      <c r="W1034" s="8"/>
      <c r="X1034" s="8"/>
      <c r="Y1034" s="8"/>
      <c r="Z1034" s="8"/>
    </row>
    <row r="1035">
      <c r="A1035" s="8"/>
      <c r="B1035" s="8"/>
      <c r="C1035" s="68"/>
      <c r="D1035" s="68"/>
      <c r="E1035" s="8"/>
      <c r="F1035" s="8"/>
      <c r="G1035" s="8"/>
      <c r="H1035" s="8"/>
      <c r="I1035" s="8"/>
      <c r="J1035" s="8"/>
      <c r="K1035" s="8"/>
      <c r="L1035" s="8"/>
      <c r="M1035" s="8"/>
      <c r="N1035" s="8"/>
      <c r="O1035" s="8"/>
      <c r="P1035" s="8"/>
      <c r="Q1035" s="8"/>
      <c r="R1035" s="8"/>
      <c r="S1035" s="8"/>
      <c r="T1035" s="8"/>
      <c r="U1035" s="8"/>
      <c r="V1035" s="8"/>
      <c r="W1035" s="8"/>
      <c r="X1035" s="8"/>
      <c r="Y1035" s="8"/>
      <c r="Z1035" s="8"/>
    </row>
    <row r="1036">
      <c r="A1036" s="8"/>
      <c r="B1036" s="8"/>
      <c r="C1036" s="68"/>
      <c r="D1036" s="68"/>
      <c r="E1036" s="8"/>
      <c r="F1036" s="8"/>
      <c r="G1036" s="8"/>
      <c r="H1036" s="8"/>
      <c r="I1036" s="8"/>
      <c r="J1036" s="8"/>
      <c r="K1036" s="8"/>
      <c r="L1036" s="8"/>
      <c r="M1036" s="8"/>
      <c r="N1036" s="8"/>
      <c r="O1036" s="8"/>
      <c r="P1036" s="8"/>
      <c r="Q1036" s="8"/>
      <c r="R1036" s="8"/>
      <c r="S1036" s="8"/>
      <c r="T1036" s="8"/>
      <c r="U1036" s="8"/>
      <c r="V1036" s="8"/>
      <c r="W1036" s="8"/>
      <c r="X1036" s="8"/>
      <c r="Y1036" s="8"/>
      <c r="Z1036" s="8"/>
    </row>
    <row r="1037">
      <c r="A1037" s="8"/>
      <c r="B1037" s="8"/>
      <c r="C1037" s="68"/>
      <c r="D1037" s="68"/>
      <c r="E1037" s="8"/>
      <c r="F1037" s="8"/>
      <c r="G1037" s="8"/>
      <c r="H1037" s="8"/>
      <c r="I1037" s="8"/>
      <c r="J1037" s="8"/>
      <c r="K1037" s="8"/>
      <c r="L1037" s="8"/>
      <c r="M1037" s="8"/>
      <c r="N1037" s="8"/>
      <c r="O1037" s="8"/>
      <c r="P1037" s="8"/>
      <c r="Q1037" s="8"/>
      <c r="R1037" s="8"/>
      <c r="S1037" s="8"/>
      <c r="T1037" s="8"/>
      <c r="U1037" s="8"/>
      <c r="V1037" s="8"/>
      <c r="W1037" s="8"/>
      <c r="X1037" s="8"/>
      <c r="Y1037" s="8"/>
      <c r="Z1037" s="8"/>
    </row>
    <row r="1038">
      <c r="A1038" s="8"/>
      <c r="B1038" s="8"/>
      <c r="C1038" s="68"/>
      <c r="D1038" s="68"/>
      <c r="E1038" s="8"/>
      <c r="F1038" s="8"/>
      <c r="G1038" s="8"/>
      <c r="H1038" s="8"/>
      <c r="I1038" s="8"/>
      <c r="J1038" s="8"/>
      <c r="K1038" s="8"/>
      <c r="L1038" s="8"/>
      <c r="M1038" s="8"/>
      <c r="N1038" s="8"/>
      <c r="O1038" s="8"/>
      <c r="P1038" s="8"/>
      <c r="Q1038" s="8"/>
      <c r="R1038" s="8"/>
      <c r="S1038" s="8"/>
      <c r="T1038" s="8"/>
      <c r="U1038" s="8"/>
      <c r="V1038" s="8"/>
      <c r="W1038" s="8"/>
      <c r="X1038" s="8"/>
      <c r="Y1038" s="8"/>
      <c r="Z1038" s="8"/>
    </row>
    <row r="1039">
      <c r="A1039" s="8"/>
      <c r="B1039" s="8"/>
      <c r="C1039" s="68"/>
      <c r="D1039" s="68"/>
      <c r="E1039" s="8"/>
      <c r="F1039" s="8"/>
      <c r="G1039" s="8"/>
      <c r="H1039" s="8"/>
      <c r="I1039" s="8"/>
      <c r="J1039" s="8"/>
      <c r="K1039" s="8"/>
      <c r="L1039" s="8"/>
      <c r="M1039" s="8"/>
      <c r="N1039" s="8"/>
      <c r="O1039" s="8"/>
      <c r="P1039" s="8"/>
      <c r="Q1039" s="8"/>
      <c r="R1039" s="8"/>
      <c r="S1039" s="8"/>
      <c r="T1039" s="8"/>
      <c r="U1039" s="8"/>
      <c r="V1039" s="8"/>
      <c r="W1039" s="8"/>
      <c r="X1039" s="8"/>
      <c r="Y1039" s="8"/>
      <c r="Z1039" s="8"/>
    </row>
    <row r="1040">
      <c r="A1040" s="8"/>
      <c r="B1040" s="8"/>
      <c r="C1040" s="68"/>
      <c r="D1040" s="68"/>
      <c r="E1040" s="8"/>
      <c r="F1040" s="8"/>
      <c r="G1040" s="8"/>
      <c r="H1040" s="8"/>
      <c r="I1040" s="8"/>
      <c r="J1040" s="8"/>
      <c r="K1040" s="8"/>
      <c r="L1040" s="8"/>
      <c r="M1040" s="8"/>
      <c r="N1040" s="8"/>
      <c r="O1040" s="8"/>
      <c r="P1040" s="8"/>
      <c r="Q1040" s="8"/>
      <c r="R1040" s="8"/>
      <c r="S1040" s="8"/>
      <c r="T1040" s="8"/>
      <c r="U1040" s="8"/>
      <c r="V1040" s="8"/>
      <c r="W1040" s="8"/>
      <c r="X1040" s="8"/>
      <c r="Y1040" s="8"/>
      <c r="Z1040" s="8"/>
    </row>
    <row r="1041">
      <c r="A1041" s="8"/>
      <c r="B1041" s="8"/>
      <c r="C1041" s="68"/>
      <c r="D1041" s="68"/>
      <c r="E1041" s="8"/>
      <c r="F1041" s="8"/>
      <c r="G1041" s="8"/>
      <c r="H1041" s="8"/>
      <c r="I1041" s="8"/>
      <c r="J1041" s="8"/>
      <c r="K1041" s="8"/>
      <c r="L1041" s="8"/>
      <c r="M1041" s="8"/>
      <c r="N1041" s="8"/>
      <c r="O1041" s="8"/>
      <c r="P1041" s="8"/>
      <c r="Q1041" s="8"/>
      <c r="R1041" s="8"/>
      <c r="S1041" s="8"/>
      <c r="T1041" s="8"/>
      <c r="U1041" s="8"/>
      <c r="V1041" s="8"/>
      <c r="W1041" s="8"/>
      <c r="X1041" s="8"/>
      <c r="Y1041" s="8"/>
      <c r="Z1041" s="8"/>
    </row>
    <row r="1042">
      <c r="A1042" s="8"/>
      <c r="B1042" s="8"/>
      <c r="C1042" s="68"/>
      <c r="D1042" s="68"/>
      <c r="E1042" s="8"/>
      <c r="F1042" s="8"/>
      <c r="G1042" s="8"/>
      <c r="H1042" s="8"/>
      <c r="I1042" s="8"/>
      <c r="J1042" s="8"/>
      <c r="K1042" s="8"/>
      <c r="L1042" s="8"/>
      <c r="M1042" s="8"/>
      <c r="N1042" s="8"/>
      <c r="O1042" s="8"/>
      <c r="P1042" s="8"/>
      <c r="Q1042" s="8"/>
      <c r="R1042" s="8"/>
      <c r="S1042" s="8"/>
      <c r="T1042" s="8"/>
      <c r="U1042" s="8"/>
      <c r="V1042" s="8"/>
      <c r="W1042" s="8"/>
      <c r="X1042" s="8"/>
      <c r="Y1042" s="8"/>
      <c r="Z1042"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63"/>
    <col customWidth="1" min="2" max="2" width="26.25"/>
    <col customWidth="1" min="3" max="3" width="43.75"/>
    <col customWidth="1" min="4" max="4" width="18.75"/>
    <col customWidth="1" min="5" max="5" width="14.25"/>
    <col customWidth="1" min="6" max="6" width="30.25"/>
  </cols>
  <sheetData>
    <row r="1">
      <c r="A1" s="1" t="s">
        <v>0</v>
      </c>
      <c r="B1" s="1" t="s">
        <v>3</v>
      </c>
      <c r="C1" s="1" t="s">
        <v>4</v>
      </c>
      <c r="D1" s="1" t="s">
        <v>5</v>
      </c>
      <c r="E1" s="1" t="s">
        <v>6</v>
      </c>
      <c r="F1" s="1" t="s">
        <v>7</v>
      </c>
    </row>
    <row r="2">
      <c r="A2" s="4" t="s">
        <v>9</v>
      </c>
      <c r="B2" s="4" t="s">
        <v>10</v>
      </c>
      <c r="C2" s="4" t="s">
        <v>11</v>
      </c>
      <c r="D2" s="6" t="s">
        <v>13</v>
      </c>
      <c r="E2" s="4">
        <v>9.01229003E8</v>
      </c>
      <c r="F2" s="4" t="s">
        <v>17</v>
      </c>
    </row>
    <row r="3">
      <c r="A3" s="4" t="s">
        <v>18</v>
      </c>
      <c r="B3" s="4" t="s">
        <v>19</v>
      </c>
      <c r="C3" s="4" t="s">
        <v>20</v>
      </c>
      <c r="D3" s="6" t="s">
        <v>21</v>
      </c>
      <c r="E3" s="4">
        <v>9.00236358E8</v>
      </c>
      <c r="F3" s="4" t="s">
        <v>22</v>
      </c>
    </row>
    <row r="4">
      <c r="A4" s="4" t="s">
        <v>23</v>
      </c>
      <c r="B4" s="4" t="s">
        <v>24</v>
      </c>
      <c r="C4" s="4" t="s">
        <v>25</v>
      </c>
      <c r="D4" s="6" t="s">
        <v>26</v>
      </c>
      <c r="E4" s="4">
        <v>8.00070853E8</v>
      </c>
      <c r="F4" s="4" t="s">
        <v>27</v>
      </c>
    </row>
    <row r="5">
      <c r="A5" s="4" t="s">
        <v>28</v>
      </c>
      <c r="B5" s="4" t="s">
        <v>29</v>
      </c>
      <c r="C5" s="9" t="s">
        <v>30</v>
      </c>
      <c r="D5" s="6" t="s">
        <v>32</v>
      </c>
      <c r="E5" s="4" t="s">
        <v>33</v>
      </c>
      <c r="F5" s="4" t="s">
        <v>34</v>
      </c>
    </row>
    <row r="6">
      <c r="A6" s="4" t="s">
        <v>36</v>
      </c>
      <c r="B6" s="4" t="s">
        <v>37</v>
      </c>
      <c r="C6" s="4" t="s">
        <v>38</v>
      </c>
      <c r="D6" s="6" t="s">
        <v>40</v>
      </c>
      <c r="E6" s="4">
        <v>8.30021664E8</v>
      </c>
      <c r="F6" s="4" t="s">
        <v>42</v>
      </c>
    </row>
    <row r="7">
      <c r="A7" s="4" t="s">
        <v>43</v>
      </c>
      <c r="B7" s="4" t="s">
        <v>44</v>
      </c>
      <c r="C7" s="4" t="s">
        <v>45</v>
      </c>
      <c r="D7" s="6" t="s">
        <v>46</v>
      </c>
      <c r="E7" s="4">
        <v>8.00153696E8</v>
      </c>
      <c r="F7" s="4" t="s">
        <v>48</v>
      </c>
    </row>
    <row r="8">
      <c r="A8" s="4" t="s">
        <v>49</v>
      </c>
      <c r="B8" s="4" t="s">
        <v>50</v>
      </c>
      <c r="C8" s="4" t="s">
        <v>51</v>
      </c>
      <c r="D8" s="6" t="s">
        <v>52</v>
      </c>
      <c r="E8" s="4">
        <v>8.30055841E8</v>
      </c>
      <c r="F8" s="4" t="s">
        <v>54</v>
      </c>
    </row>
    <row r="9">
      <c r="A9" s="4" t="s">
        <v>55</v>
      </c>
      <c r="B9" s="4" t="s">
        <v>57</v>
      </c>
      <c r="C9" s="4" t="s">
        <v>58</v>
      </c>
      <c r="D9" s="6" t="s">
        <v>59</v>
      </c>
      <c r="E9" s="4">
        <v>9.00631874E8</v>
      </c>
      <c r="F9" s="4" t="s">
        <v>61</v>
      </c>
    </row>
    <row r="10">
      <c r="A10" s="4" t="s">
        <v>62</v>
      </c>
      <c r="B10" s="4" t="s">
        <v>63</v>
      </c>
      <c r="C10" s="4" t="s">
        <v>64</v>
      </c>
      <c r="D10" s="6" t="s">
        <v>65</v>
      </c>
      <c r="E10" s="4">
        <v>9.01116362E8</v>
      </c>
      <c r="F10" s="4" t="s">
        <v>66</v>
      </c>
    </row>
    <row r="11">
      <c r="A11" s="4" t="s">
        <v>67</v>
      </c>
      <c r="B11" s="4" t="s">
        <v>68</v>
      </c>
      <c r="C11" s="4" t="s">
        <v>69</v>
      </c>
      <c r="D11" s="6" t="s">
        <v>70</v>
      </c>
      <c r="E11" s="4">
        <v>8.90312562E8</v>
      </c>
      <c r="F11" s="4" t="s">
        <v>71</v>
      </c>
    </row>
    <row r="12">
      <c r="A12" s="4" t="s">
        <v>72</v>
      </c>
      <c r="B12" s="4" t="s">
        <v>73</v>
      </c>
      <c r="C12" s="4" t="s">
        <v>74</v>
      </c>
      <c r="D12" s="6" t="s">
        <v>76</v>
      </c>
      <c r="E12" s="4">
        <v>9.0032916E8</v>
      </c>
      <c r="F12" s="4" t="s">
        <v>77</v>
      </c>
    </row>
    <row r="13">
      <c r="A13" s="4" t="s">
        <v>79</v>
      </c>
      <c r="B13" s="4" t="s">
        <v>81</v>
      </c>
      <c r="C13" s="4" t="s">
        <v>82</v>
      </c>
      <c r="D13" s="6">
        <v>3.20845891E8</v>
      </c>
      <c r="E13" s="4">
        <v>9.01384548E8</v>
      </c>
      <c r="F13" s="4" t="s">
        <v>85</v>
      </c>
    </row>
    <row r="14">
      <c r="A14" s="4" t="s">
        <v>86</v>
      </c>
      <c r="B14" s="4" t="s">
        <v>88</v>
      </c>
      <c r="C14" s="4" t="s">
        <v>89</v>
      </c>
      <c r="D14" s="6" t="s">
        <v>91</v>
      </c>
      <c r="E14" s="4">
        <v>8.30042614E8</v>
      </c>
      <c r="F14" s="4" t="s">
        <v>92</v>
      </c>
    </row>
    <row r="15">
      <c r="A15" s="4" t="s">
        <v>95</v>
      </c>
      <c r="B15" s="4" t="s">
        <v>96</v>
      </c>
      <c r="C15" s="4" t="s">
        <v>97</v>
      </c>
      <c r="D15" s="6">
        <v>3.232252185E9</v>
      </c>
      <c r="E15" s="4">
        <v>9.01025785E8</v>
      </c>
      <c r="F15" s="4" t="s">
        <v>99</v>
      </c>
    </row>
    <row r="16">
      <c r="A16" s="4" t="s">
        <v>100</v>
      </c>
      <c r="B16" s="4" t="s">
        <v>102</v>
      </c>
      <c r="C16" s="4" t="s">
        <v>103</v>
      </c>
      <c r="D16" s="6" t="s">
        <v>104</v>
      </c>
      <c r="E16" s="4">
        <v>9.00690275E8</v>
      </c>
      <c r="F16" s="4" t="s">
        <v>106</v>
      </c>
    </row>
    <row r="17">
      <c r="A17" s="4" t="s">
        <v>107</v>
      </c>
      <c r="B17" s="4" t="s">
        <v>109</v>
      </c>
      <c r="C17" s="4" t="s">
        <v>111</v>
      </c>
      <c r="D17" s="6">
        <v>3.133734201E9</v>
      </c>
      <c r="E17" s="4">
        <v>9.00241439E8</v>
      </c>
      <c r="F17" s="4" t="s">
        <v>112</v>
      </c>
    </row>
    <row r="18">
      <c r="A18" s="4" t="s">
        <v>114</v>
      </c>
      <c r="B18" s="4" t="s">
        <v>116</v>
      </c>
      <c r="C18" s="4" t="s">
        <v>117</v>
      </c>
      <c r="D18" s="6" t="s">
        <v>119</v>
      </c>
      <c r="E18" s="4">
        <v>8.90900118E8</v>
      </c>
      <c r="F18" s="4" t="s">
        <v>120</v>
      </c>
    </row>
    <row r="19">
      <c r="A19" s="4" t="s">
        <v>122</v>
      </c>
      <c r="B19" s="4" t="s">
        <v>123</v>
      </c>
      <c r="C19" s="4" t="s">
        <v>124</v>
      </c>
      <c r="D19" s="6" t="s">
        <v>126</v>
      </c>
      <c r="E19" s="4">
        <v>9.00082143E8</v>
      </c>
      <c r="F19" s="4" t="s">
        <v>127</v>
      </c>
    </row>
    <row r="20">
      <c r="A20" s="4" t="s">
        <v>129</v>
      </c>
      <c r="B20" s="4" t="s">
        <v>130</v>
      </c>
      <c r="C20" s="4" t="s">
        <v>131</v>
      </c>
      <c r="D20" s="6" t="s">
        <v>132</v>
      </c>
      <c r="E20" s="4">
        <v>9.00587024E8</v>
      </c>
      <c r="F20" s="4" t="s">
        <v>134</v>
      </c>
    </row>
    <row r="21">
      <c r="A21" s="4" t="s">
        <v>135</v>
      </c>
      <c r="B21" s="4" t="s">
        <v>137</v>
      </c>
      <c r="C21" s="4" t="s">
        <v>138</v>
      </c>
      <c r="D21" s="6" t="s">
        <v>139</v>
      </c>
      <c r="E21" s="4">
        <v>8.11023331E8</v>
      </c>
      <c r="F21" s="4" t="s">
        <v>142</v>
      </c>
    </row>
    <row r="22">
      <c r="A22" s="4" t="s">
        <v>143</v>
      </c>
      <c r="B22" s="4" t="s">
        <v>144</v>
      </c>
      <c r="C22" s="4" t="s">
        <v>146</v>
      </c>
      <c r="D22" s="6" t="s">
        <v>147</v>
      </c>
      <c r="E22" s="4">
        <v>9.00584491E8</v>
      </c>
      <c r="F22" s="4" t="s">
        <v>148</v>
      </c>
    </row>
    <row r="23">
      <c r="A23" s="4" t="s">
        <v>150</v>
      </c>
      <c r="B23" s="4" t="s">
        <v>151</v>
      </c>
      <c r="C23" s="4" t="s">
        <v>152</v>
      </c>
      <c r="D23" s="6" t="s">
        <v>154</v>
      </c>
      <c r="E23" s="4">
        <v>9.00506925E8</v>
      </c>
      <c r="F23" s="4" t="s">
        <v>155</v>
      </c>
    </row>
    <row r="24">
      <c r="A24" s="4" t="s">
        <v>157</v>
      </c>
      <c r="B24" s="4" t="s">
        <v>158</v>
      </c>
      <c r="C24" s="4" t="s">
        <v>159</v>
      </c>
      <c r="D24" s="6" t="s">
        <v>160</v>
      </c>
      <c r="E24" s="4">
        <v>8.04012759E8</v>
      </c>
      <c r="F24" s="4" t="s">
        <v>162</v>
      </c>
    </row>
    <row r="25">
      <c r="A25" s="4" t="s">
        <v>163</v>
      </c>
      <c r="B25" s="4" t="s">
        <v>165</v>
      </c>
      <c r="C25" s="4" t="s">
        <v>167</v>
      </c>
      <c r="D25" s="6" t="s">
        <v>168</v>
      </c>
      <c r="E25" s="4">
        <v>8.30113152E8</v>
      </c>
      <c r="F25" s="4" t="s">
        <v>170</v>
      </c>
    </row>
    <row r="26">
      <c r="A26" s="4" t="s">
        <v>171</v>
      </c>
      <c r="B26" s="4" t="s">
        <v>172</v>
      </c>
      <c r="C26" s="4" t="s">
        <v>173</v>
      </c>
      <c r="D26" s="6" t="s">
        <v>174</v>
      </c>
      <c r="E26" s="4">
        <v>9.00225382E8</v>
      </c>
      <c r="F26" s="4" t="s">
        <v>176</v>
      </c>
    </row>
    <row r="27">
      <c r="A27" s="4" t="s">
        <v>177</v>
      </c>
      <c r="B27" s="4" t="s">
        <v>178</v>
      </c>
      <c r="C27" s="4" t="s">
        <v>179</v>
      </c>
      <c r="D27" s="6" t="s">
        <v>181</v>
      </c>
      <c r="E27" s="4">
        <v>8.3007345E8</v>
      </c>
      <c r="F27" s="4" t="s">
        <v>183</v>
      </c>
    </row>
    <row r="28">
      <c r="A28" s="4" t="s">
        <v>184</v>
      </c>
      <c r="B28" s="4" t="s">
        <v>187</v>
      </c>
      <c r="C28" s="4" t="s">
        <v>189</v>
      </c>
      <c r="D28" s="6" t="s">
        <v>190</v>
      </c>
      <c r="E28" s="4">
        <v>8.19007201E8</v>
      </c>
      <c r="F28" s="4" t="s">
        <v>191</v>
      </c>
    </row>
    <row r="29">
      <c r="A29" s="4" t="s">
        <v>192</v>
      </c>
      <c r="B29" s="4" t="s">
        <v>193</v>
      </c>
      <c r="C29" s="4" t="s">
        <v>194</v>
      </c>
      <c r="D29" s="4" t="s">
        <v>195</v>
      </c>
      <c r="E29" s="4">
        <v>8.0019301E8</v>
      </c>
      <c r="F29" s="4" t="s">
        <v>196</v>
      </c>
    </row>
    <row r="30">
      <c r="A30" s="4" t="s">
        <v>197</v>
      </c>
      <c r="B30" s="4" t="s">
        <v>198</v>
      </c>
      <c r="C30" s="4" t="s">
        <v>200</v>
      </c>
      <c r="D30" s="4" t="s">
        <v>202</v>
      </c>
      <c r="E30" s="4">
        <v>9.00027049E8</v>
      </c>
      <c r="F30" s="4" t="s">
        <v>203</v>
      </c>
    </row>
    <row r="31">
      <c r="A31" s="4" t="s">
        <v>205</v>
      </c>
      <c r="B31" s="4" t="s">
        <v>206</v>
      </c>
      <c r="C31" s="4" t="s">
        <v>208</v>
      </c>
      <c r="D31" s="6" t="s">
        <v>209</v>
      </c>
      <c r="E31" s="4">
        <v>9.00300628E8</v>
      </c>
      <c r="F31" s="4" t="s">
        <v>210</v>
      </c>
    </row>
    <row r="32">
      <c r="A32" s="4" t="s">
        <v>211</v>
      </c>
      <c r="B32" s="4" t="s">
        <v>212</v>
      </c>
      <c r="C32" s="4" t="s">
        <v>213</v>
      </c>
      <c r="D32" s="4" t="s">
        <v>215</v>
      </c>
      <c r="E32" s="4">
        <v>8.00217975E8</v>
      </c>
      <c r="F32" s="4" t="s">
        <v>216</v>
      </c>
    </row>
    <row r="33">
      <c r="A33" s="4" t="s">
        <v>217</v>
      </c>
      <c r="B33" s="4" t="s">
        <v>218</v>
      </c>
      <c r="C33" s="4" t="s">
        <v>219</v>
      </c>
      <c r="D33" s="4" t="s">
        <v>220</v>
      </c>
      <c r="E33" s="4">
        <v>8.60049921E8</v>
      </c>
      <c r="F33" s="4" t="s">
        <v>221</v>
      </c>
    </row>
    <row r="34">
      <c r="A34" s="4" t="s">
        <v>222</v>
      </c>
      <c r="B34" s="4" t="s">
        <v>224</v>
      </c>
      <c r="C34" s="4" t="s">
        <v>225</v>
      </c>
      <c r="D34" s="4" t="s">
        <v>227</v>
      </c>
      <c r="E34" s="4">
        <v>9.00525359E8</v>
      </c>
      <c r="F34" s="4" t="s">
        <v>228</v>
      </c>
    </row>
    <row r="35">
      <c r="A35" s="4" t="s">
        <v>229</v>
      </c>
      <c r="B35" s="4" t="s">
        <v>230</v>
      </c>
      <c r="C35" s="4" t="s">
        <v>231</v>
      </c>
      <c r="D35" s="4" t="s">
        <v>232</v>
      </c>
      <c r="E35" s="4">
        <v>9.00273467E8</v>
      </c>
      <c r="F35" s="4" t="s">
        <v>233</v>
      </c>
    </row>
    <row r="36">
      <c r="A36" s="4" t="s">
        <v>234</v>
      </c>
      <c r="B36" s="4" t="s">
        <v>235</v>
      </c>
      <c r="C36" s="4" t="s">
        <v>236</v>
      </c>
      <c r="D36" s="4" t="s">
        <v>238</v>
      </c>
      <c r="E36" s="4">
        <v>9.00393107E8</v>
      </c>
      <c r="F36" s="4" t="s">
        <v>239</v>
      </c>
    </row>
    <row r="37">
      <c r="A37" s="4" t="s">
        <v>240</v>
      </c>
      <c r="B37" s="4" t="s">
        <v>241</v>
      </c>
      <c r="C37" s="4" t="s">
        <v>242</v>
      </c>
      <c r="D37" s="4" t="s">
        <v>243</v>
      </c>
      <c r="E37" s="4">
        <v>8.99999063E8</v>
      </c>
      <c r="F37" s="4" t="s">
        <v>246</v>
      </c>
    </row>
    <row r="38">
      <c r="A38" s="4" t="s">
        <v>248</v>
      </c>
      <c r="B38" s="4" t="s">
        <v>249</v>
      </c>
      <c r="C38" s="4" t="s">
        <v>251</v>
      </c>
      <c r="D38" s="4" t="s">
        <v>252</v>
      </c>
      <c r="E38" s="4">
        <v>8.9039901E8</v>
      </c>
      <c r="F38" s="4" t="s">
        <v>253</v>
      </c>
    </row>
    <row r="39">
      <c r="A39" s="4" t="s">
        <v>255</v>
      </c>
      <c r="B39" s="4" t="s">
        <v>256</v>
      </c>
      <c r="C39" s="4" t="s">
        <v>257</v>
      </c>
      <c r="D39" s="4" t="s">
        <v>258</v>
      </c>
      <c r="E39" s="4">
        <v>8.90902922E8</v>
      </c>
      <c r="F39" s="4" t="s">
        <v>259</v>
      </c>
    </row>
    <row r="40">
      <c r="A40" s="4" t="s">
        <v>260</v>
      </c>
      <c r="B40" s="4" t="s">
        <v>261</v>
      </c>
      <c r="C40" s="4" t="s">
        <v>262</v>
      </c>
      <c r="D40" s="4" t="s">
        <v>263</v>
      </c>
      <c r="E40" s="4">
        <v>8.16687004E8</v>
      </c>
      <c r="F40" s="4" t="s">
        <v>264</v>
      </c>
    </row>
    <row r="41">
      <c r="A41" s="4" t="s">
        <v>265</v>
      </c>
      <c r="B41" s="4" t="s">
        <v>266</v>
      </c>
      <c r="C41" s="4" t="s">
        <v>11</v>
      </c>
      <c r="D41" s="6" t="s">
        <v>13</v>
      </c>
      <c r="E41" s="4">
        <v>9.0171805E8</v>
      </c>
      <c r="F41" s="4" t="s">
        <v>268</v>
      </c>
    </row>
    <row r="42">
      <c r="A42" s="4" t="s">
        <v>270</v>
      </c>
      <c r="B42" s="4" t="s">
        <v>271</v>
      </c>
      <c r="C42" s="4" t="s">
        <v>272</v>
      </c>
      <c r="D42" s="4">
        <v>3.12329531E9</v>
      </c>
      <c r="E42" s="31">
        <v>9.00700933E8</v>
      </c>
      <c r="F42" s="4" t="s">
        <v>274</v>
      </c>
    </row>
    <row r="43">
      <c r="A43" s="4" t="s">
        <v>275</v>
      </c>
      <c r="B43" s="4" t="s">
        <v>230</v>
      </c>
      <c r="C43" s="4" t="s">
        <v>276</v>
      </c>
      <c r="D43" s="4">
        <v>3.112040019E9</v>
      </c>
      <c r="E43" s="31">
        <v>9.00273467E8</v>
      </c>
      <c r="F43" s="4" t="s">
        <v>233</v>
      </c>
    </row>
    <row r="44">
      <c r="A44" s="4" t="s">
        <v>277</v>
      </c>
      <c r="B44" s="4" t="s">
        <v>278</v>
      </c>
      <c r="C44" s="4" t="s">
        <v>279</v>
      </c>
      <c r="D44" s="4">
        <v>3.125004548E9</v>
      </c>
      <c r="E44" s="4">
        <v>8.00248375E8</v>
      </c>
      <c r="F44" s="4" t="s">
        <v>281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16.75"/>
    <col customWidth="1" min="3" max="3" width="56.63"/>
    <col customWidth="1" min="4" max="4" width="15.25"/>
    <col customWidth="1" min="6" max="6" width="19.0"/>
    <col customWidth="1" min="7" max="7" width="14.25"/>
    <col customWidth="1" min="8" max="8" width="53.38"/>
    <col customWidth="1" min="9" max="9" width="24.38"/>
    <col customWidth="1" min="11" max="11" width="16.0"/>
  </cols>
  <sheetData>
    <row r="1">
      <c r="A1" s="34" t="s">
        <v>301</v>
      </c>
      <c r="B1" s="35" t="s">
        <v>303</v>
      </c>
      <c r="C1" s="34" t="s">
        <v>305</v>
      </c>
      <c r="D1" s="36" t="s">
        <v>307</v>
      </c>
      <c r="E1" s="34" t="s">
        <v>2</v>
      </c>
      <c r="F1" s="36" t="s">
        <v>8</v>
      </c>
      <c r="G1" s="37" t="s">
        <v>308</v>
      </c>
      <c r="H1" s="34" t="s">
        <v>310</v>
      </c>
      <c r="I1" s="36" t="s">
        <v>311</v>
      </c>
      <c r="J1" s="36" t="s">
        <v>312</v>
      </c>
      <c r="K1" s="1" t="s">
        <v>313</v>
      </c>
    </row>
    <row r="2">
      <c r="A2" s="38" t="s">
        <v>314</v>
      </c>
      <c r="B2" s="39">
        <v>45944.0</v>
      </c>
      <c r="C2" s="38" t="s">
        <v>316</v>
      </c>
      <c r="D2" s="38" t="s">
        <v>198</v>
      </c>
      <c r="E2" s="38" t="s">
        <v>317</v>
      </c>
      <c r="F2" s="40" t="s">
        <v>35</v>
      </c>
      <c r="G2" s="41" t="s">
        <v>319</v>
      </c>
      <c r="H2" s="38" t="s">
        <v>320</v>
      </c>
      <c r="I2" s="38" t="s">
        <v>321</v>
      </c>
      <c r="J2" s="42">
        <v>804.0</v>
      </c>
      <c r="K2" s="38" t="s">
        <v>322</v>
      </c>
      <c r="L2" s="38"/>
    </row>
    <row r="3">
      <c r="A3" s="38" t="s">
        <v>323</v>
      </c>
      <c r="B3" s="39">
        <v>45952.0</v>
      </c>
      <c r="C3" s="38" t="s">
        <v>326</v>
      </c>
      <c r="D3" s="38" t="s">
        <v>327</v>
      </c>
      <c r="E3" s="38" t="s">
        <v>317</v>
      </c>
      <c r="F3" s="40" t="s">
        <v>329</v>
      </c>
      <c r="G3" s="41" t="s">
        <v>330</v>
      </c>
      <c r="H3" s="38" t="s">
        <v>331</v>
      </c>
      <c r="I3" s="38" t="s">
        <v>332</v>
      </c>
      <c r="J3" s="42">
        <v>810.0</v>
      </c>
      <c r="K3" s="38" t="s">
        <v>334</v>
      </c>
      <c r="L3" s="38"/>
    </row>
    <row r="4">
      <c r="A4" s="38" t="s">
        <v>314</v>
      </c>
      <c r="B4" s="39">
        <v>45957.0</v>
      </c>
      <c r="C4" s="38" t="s">
        <v>100</v>
      </c>
      <c r="D4" s="38" t="s">
        <v>336</v>
      </c>
      <c r="E4" s="38" t="s">
        <v>317</v>
      </c>
      <c r="F4" s="40" t="s">
        <v>35</v>
      </c>
      <c r="G4" s="41" t="s">
        <v>337</v>
      </c>
      <c r="H4" s="38" t="s">
        <v>338</v>
      </c>
      <c r="I4" s="38" t="s">
        <v>339</v>
      </c>
      <c r="J4" s="42">
        <v>825.0</v>
      </c>
      <c r="K4" s="38" t="s">
        <v>322</v>
      </c>
      <c r="L4" s="38"/>
    </row>
    <row r="5">
      <c r="A5" s="38" t="s">
        <v>341</v>
      </c>
      <c r="B5" s="39">
        <v>45974.0</v>
      </c>
      <c r="C5" s="38" t="s">
        <v>342</v>
      </c>
      <c r="D5" s="38" t="s">
        <v>109</v>
      </c>
      <c r="E5" s="38" t="s">
        <v>317</v>
      </c>
      <c r="F5" s="40" t="s">
        <v>35</v>
      </c>
      <c r="G5" s="41" t="s">
        <v>343</v>
      </c>
      <c r="H5" s="38" t="s">
        <v>344</v>
      </c>
      <c r="I5" s="38" t="s">
        <v>321</v>
      </c>
      <c r="J5" s="42">
        <v>850.0</v>
      </c>
      <c r="K5" s="38" t="s">
        <v>345</v>
      </c>
      <c r="L5" s="38"/>
    </row>
    <row r="6">
      <c r="A6" s="38" t="s">
        <v>341</v>
      </c>
      <c r="B6" s="39">
        <v>45980.0</v>
      </c>
      <c r="C6" s="38" t="s">
        <v>342</v>
      </c>
      <c r="D6" s="38" t="s">
        <v>109</v>
      </c>
      <c r="E6" s="38" t="s">
        <v>31</v>
      </c>
      <c r="F6" s="40" t="s">
        <v>35</v>
      </c>
      <c r="G6" s="41" t="s">
        <v>343</v>
      </c>
      <c r="H6" s="38" t="s">
        <v>346</v>
      </c>
      <c r="I6" s="38" t="s">
        <v>348</v>
      </c>
      <c r="J6" s="43">
        <v>811.0</v>
      </c>
      <c r="K6" s="38" t="s">
        <v>349</v>
      </c>
      <c r="L6" s="38"/>
    </row>
    <row r="7">
      <c r="A7" s="4" t="s">
        <v>352</v>
      </c>
      <c r="B7" s="44">
        <v>45980.0</v>
      </c>
      <c r="C7" s="38" t="s">
        <v>354</v>
      </c>
      <c r="D7" s="38" t="s">
        <v>24</v>
      </c>
      <c r="E7" s="4" t="s">
        <v>31</v>
      </c>
      <c r="F7" s="45" t="s">
        <v>324</v>
      </c>
      <c r="G7" s="46" t="s">
        <v>356</v>
      </c>
      <c r="H7" s="47" t="s">
        <v>358</v>
      </c>
      <c r="I7" s="4" t="s">
        <v>348</v>
      </c>
      <c r="J7" s="42">
        <v>828.0</v>
      </c>
      <c r="K7" s="47" t="s">
        <v>360</v>
      </c>
    </row>
    <row r="8">
      <c r="A8" s="4" t="s">
        <v>352</v>
      </c>
      <c r="B8" s="44">
        <v>45980.0</v>
      </c>
      <c r="C8" s="38" t="s">
        <v>354</v>
      </c>
      <c r="D8" s="38" t="s">
        <v>24</v>
      </c>
      <c r="E8" s="4" t="s">
        <v>31</v>
      </c>
      <c r="F8" s="45" t="s">
        <v>324</v>
      </c>
      <c r="G8" s="46" t="s">
        <v>362</v>
      </c>
      <c r="H8" s="47" t="s">
        <v>358</v>
      </c>
      <c r="I8" s="4" t="s">
        <v>348</v>
      </c>
      <c r="J8" s="42">
        <v>828.0</v>
      </c>
      <c r="K8" s="47" t="s">
        <v>360</v>
      </c>
    </row>
    <row r="9">
      <c r="A9" s="4" t="s">
        <v>352</v>
      </c>
      <c r="B9" s="44">
        <v>45980.0</v>
      </c>
      <c r="C9" s="38" t="s">
        <v>354</v>
      </c>
      <c r="D9" s="38" t="s">
        <v>24</v>
      </c>
      <c r="E9" s="4" t="s">
        <v>31</v>
      </c>
      <c r="F9" s="45" t="s">
        <v>324</v>
      </c>
      <c r="G9" s="46" t="s">
        <v>366</v>
      </c>
      <c r="H9" s="47" t="s">
        <v>358</v>
      </c>
      <c r="I9" s="4" t="s">
        <v>348</v>
      </c>
      <c r="J9" s="42">
        <v>828.0</v>
      </c>
      <c r="K9" s="47" t="s">
        <v>360</v>
      </c>
    </row>
    <row r="10">
      <c r="A10" s="38" t="s">
        <v>323</v>
      </c>
      <c r="B10" s="39">
        <v>45985.0</v>
      </c>
      <c r="C10" s="38" t="s">
        <v>316</v>
      </c>
      <c r="D10" s="38" t="s">
        <v>198</v>
      </c>
      <c r="E10" s="38" t="s">
        <v>371</v>
      </c>
      <c r="F10" s="49" t="s">
        <v>372</v>
      </c>
      <c r="G10" s="46" t="s">
        <v>373</v>
      </c>
      <c r="H10" s="38"/>
      <c r="I10" s="38" t="s">
        <v>348</v>
      </c>
      <c r="J10" s="42">
        <v>835.0</v>
      </c>
      <c r="K10" s="38" t="s">
        <v>376</v>
      </c>
      <c r="L10" s="38"/>
    </row>
    <row r="11">
      <c r="A11" s="38" t="s">
        <v>323</v>
      </c>
      <c r="B11" s="39">
        <v>45985.0</v>
      </c>
      <c r="C11" s="38" t="s">
        <v>316</v>
      </c>
      <c r="D11" s="38" t="s">
        <v>198</v>
      </c>
      <c r="E11" s="38" t="s">
        <v>371</v>
      </c>
      <c r="F11" s="49" t="s">
        <v>381</v>
      </c>
      <c r="G11" s="46" t="s">
        <v>382</v>
      </c>
      <c r="H11" s="47" t="s">
        <v>383</v>
      </c>
      <c r="I11" s="38" t="s">
        <v>348</v>
      </c>
      <c r="J11" s="42">
        <v>836.0</v>
      </c>
      <c r="K11" s="38" t="s">
        <v>376</v>
      </c>
      <c r="L11" s="38"/>
    </row>
    <row r="12">
      <c r="A12" s="38" t="s">
        <v>323</v>
      </c>
      <c r="B12" s="39">
        <v>45985.0</v>
      </c>
      <c r="C12" s="38" t="s">
        <v>316</v>
      </c>
      <c r="D12" s="38" t="s">
        <v>198</v>
      </c>
      <c r="E12" s="38" t="s">
        <v>371</v>
      </c>
      <c r="F12" s="49" t="s">
        <v>372</v>
      </c>
      <c r="G12" s="46" t="s">
        <v>387</v>
      </c>
      <c r="H12" s="38"/>
      <c r="I12" s="38" t="s">
        <v>348</v>
      </c>
      <c r="J12" s="42">
        <v>837.0</v>
      </c>
      <c r="K12" s="38" t="s">
        <v>376</v>
      </c>
      <c r="L12" s="38"/>
    </row>
    <row r="13">
      <c r="A13" s="38" t="s">
        <v>323</v>
      </c>
      <c r="B13" s="39">
        <v>45985.0</v>
      </c>
      <c r="C13" s="38" t="s">
        <v>316</v>
      </c>
      <c r="D13" s="38" t="s">
        <v>198</v>
      </c>
      <c r="E13" s="38" t="s">
        <v>371</v>
      </c>
      <c r="F13" s="49" t="s">
        <v>392</v>
      </c>
      <c r="G13" s="46" t="s">
        <v>393</v>
      </c>
      <c r="H13" s="47" t="s">
        <v>394</v>
      </c>
      <c r="I13" s="38" t="s">
        <v>348</v>
      </c>
      <c r="J13" s="42">
        <v>838.0</v>
      </c>
      <c r="K13" s="38" t="s">
        <v>376</v>
      </c>
      <c r="L13" s="38"/>
    </row>
    <row r="14">
      <c r="A14" s="38" t="s">
        <v>323</v>
      </c>
      <c r="B14" s="39">
        <v>45985.0</v>
      </c>
      <c r="C14" s="38" t="s">
        <v>316</v>
      </c>
      <c r="D14" s="38" t="s">
        <v>198</v>
      </c>
      <c r="E14" s="38" t="s">
        <v>371</v>
      </c>
      <c r="F14" s="49" t="s">
        <v>399</v>
      </c>
      <c r="G14" s="46" t="s">
        <v>400</v>
      </c>
      <c r="H14" s="38" t="s">
        <v>401</v>
      </c>
      <c r="I14" s="38" t="s">
        <v>348</v>
      </c>
      <c r="J14" s="42">
        <v>839.0</v>
      </c>
      <c r="K14" s="38" t="s">
        <v>376</v>
      </c>
      <c r="L14" s="38"/>
    </row>
    <row r="15">
      <c r="A15" s="38" t="s">
        <v>323</v>
      </c>
      <c r="B15" s="39">
        <v>45985.0</v>
      </c>
      <c r="C15" s="38" t="s">
        <v>316</v>
      </c>
      <c r="D15" s="38" t="s">
        <v>198</v>
      </c>
      <c r="E15" s="38" t="s">
        <v>371</v>
      </c>
      <c r="F15" s="49" t="s">
        <v>399</v>
      </c>
      <c r="G15" s="46" t="s">
        <v>406</v>
      </c>
      <c r="H15" s="38" t="s">
        <v>401</v>
      </c>
      <c r="I15" s="38" t="s">
        <v>348</v>
      </c>
      <c r="J15" s="42">
        <v>840.0</v>
      </c>
      <c r="K15" s="38" t="s">
        <v>376</v>
      </c>
      <c r="L15" s="38"/>
    </row>
    <row r="16">
      <c r="A16" s="38" t="s">
        <v>323</v>
      </c>
      <c r="B16" s="39">
        <v>45989.0</v>
      </c>
      <c r="C16" s="38" t="s">
        <v>409</v>
      </c>
      <c r="D16" s="38" t="s">
        <v>410</v>
      </c>
      <c r="E16" s="38" t="s">
        <v>185</v>
      </c>
      <c r="F16" s="40" t="s">
        <v>412</v>
      </c>
      <c r="G16" s="41" t="s">
        <v>413</v>
      </c>
      <c r="H16" s="38" t="s">
        <v>414</v>
      </c>
      <c r="I16" s="38" t="s">
        <v>416</v>
      </c>
      <c r="J16" s="43"/>
      <c r="K16" s="38" t="s">
        <v>322</v>
      </c>
      <c r="L16" s="38"/>
    </row>
    <row r="17">
      <c r="A17" s="38" t="s">
        <v>418</v>
      </c>
      <c r="B17" s="39">
        <v>45993.0</v>
      </c>
      <c r="C17" s="38" t="s">
        <v>354</v>
      </c>
      <c r="D17" s="38" t="s">
        <v>24</v>
      </c>
      <c r="E17" s="38" t="s">
        <v>317</v>
      </c>
      <c r="F17" s="40" t="s">
        <v>324</v>
      </c>
      <c r="G17" s="41" t="s">
        <v>422</v>
      </c>
      <c r="H17" s="38" t="s">
        <v>424</v>
      </c>
      <c r="I17" s="38" t="s">
        <v>321</v>
      </c>
      <c r="J17" s="42">
        <v>829.0</v>
      </c>
      <c r="K17" s="38" t="s">
        <v>425</v>
      </c>
      <c r="L17" s="38"/>
    </row>
    <row r="18">
      <c r="A18" s="38" t="s">
        <v>323</v>
      </c>
      <c r="B18" s="39">
        <v>46002.0</v>
      </c>
      <c r="C18" s="38" t="s">
        <v>157</v>
      </c>
      <c r="D18" s="38" t="s">
        <v>427</v>
      </c>
      <c r="E18" s="38" t="s">
        <v>31</v>
      </c>
      <c r="F18" s="40" t="s">
        <v>429</v>
      </c>
      <c r="G18" s="46" t="s">
        <v>402</v>
      </c>
      <c r="H18" s="47" t="s">
        <v>156</v>
      </c>
      <c r="I18" s="38" t="s">
        <v>348</v>
      </c>
      <c r="J18" s="42">
        <v>841.0</v>
      </c>
      <c r="K18" s="38" t="s">
        <v>430</v>
      </c>
      <c r="L18" s="38"/>
    </row>
    <row r="19">
      <c r="A19" s="38" t="s">
        <v>323</v>
      </c>
      <c r="B19" s="39">
        <v>46002.0</v>
      </c>
      <c r="C19" s="38" t="s">
        <v>100</v>
      </c>
      <c r="D19" s="38" t="s">
        <v>432</v>
      </c>
      <c r="E19" s="38" t="s">
        <v>294</v>
      </c>
      <c r="F19" s="40" t="s">
        <v>434</v>
      </c>
      <c r="G19" s="46">
        <v>10881.0</v>
      </c>
      <c r="H19" s="38" t="s">
        <v>435</v>
      </c>
      <c r="I19" s="38" t="s">
        <v>436</v>
      </c>
      <c r="J19" s="42">
        <v>802.0</v>
      </c>
      <c r="K19" s="38" t="s">
        <v>322</v>
      </c>
      <c r="L19" s="38"/>
    </row>
    <row r="20">
      <c r="A20" s="47" t="s">
        <v>418</v>
      </c>
      <c r="B20" s="44">
        <v>46008.0</v>
      </c>
      <c r="C20" s="38" t="s">
        <v>316</v>
      </c>
      <c r="D20" s="38" t="s">
        <v>198</v>
      </c>
      <c r="E20" s="38" t="s">
        <v>371</v>
      </c>
      <c r="F20" s="49" t="s">
        <v>439</v>
      </c>
      <c r="G20" s="46" t="s">
        <v>441</v>
      </c>
      <c r="H20" s="47" t="s">
        <v>442</v>
      </c>
      <c r="I20" s="47" t="s">
        <v>443</v>
      </c>
      <c r="J20" s="42">
        <v>843.0</v>
      </c>
      <c r="K20" s="54" t="s">
        <v>444</v>
      </c>
      <c r="L20" s="38"/>
    </row>
    <row r="21">
      <c r="A21" s="47" t="s">
        <v>418</v>
      </c>
      <c r="B21" s="44">
        <v>46008.0</v>
      </c>
      <c r="C21" s="38" t="s">
        <v>316</v>
      </c>
      <c r="D21" s="38" t="s">
        <v>198</v>
      </c>
      <c r="E21" s="38" t="s">
        <v>371</v>
      </c>
      <c r="F21" s="49" t="s">
        <v>448</v>
      </c>
      <c r="G21" s="46" t="s">
        <v>449</v>
      </c>
      <c r="H21" s="47" t="s">
        <v>442</v>
      </c>
      <c r="I21" s="47" t="s">
        <v>443</v>
      </c>
      <c r="J21" s="42">
        <v>844.0</v>
      </c>
      <c r="K21" s="54" t="s">
        <v>444</v>
      </c>
      <c r="L21" s="38"/>
    </row>
    <row r="22">
      <c r="A22" s="47" t="s">
        <v>418</v>
      </c>
      <c r="B22" s="44">
        <v>46008.0</v>
      </c>
      <c r="C22" s="38" t="s">
        <v>316</v>
      </c>
      <c r="D22" s="38" t="s">
        <v>198</v>
      </c>
      <c r="E22" s="38" t="s">
        <v>371</v>
      </c>
      <c r="F22" s="49" t="s">
        <v>439</v>
      </c>
      <c r="G22" s="46" t="s">
        <v>453</v>
      </c>
      <c r="H22" s="47" t="s">
        <v>442</v>
      </c>
      <c r="I22" s="47" t="s">
        <v>443</v>
      </c>
      <c r="J22" s="42">
        <v>845.0</v>
      </c>
      <c r="K22" s="54" t="s">
        <v>444</v>
      </c>
      <c r="L22" s="38"/>
    </row>
    <row r="23">
      <c r="A23" s="47" t="s">
        <v>418</v>
      </c>
      <c r="B23" s="44">
        <v>46008.0</v>
      </c>
      <c r="C23" s="38" t="s">
        <v>316</v>
      </c>
      <c r="D23" s="38" t="s">
        <v>198</v>
      </c>
      <c r="E23" s="38" t="s">
        <v>371</v>
      </c>
      <c r="F23" s="49" t="s">
        <v>448</v>
      </c>
      <c r="G23" s="46" t="s">
        <v>457</v>
      </c>
      <c r="H23" s="47" t="s">
        <v>442</v>
      </c>
      <c r="I23" s="47" t="s">
        <v>443</v>
      </c>
      <c r="J23" s="42">
        <v>846.0</v>
      </c>
      <c r="K23" s="54" t="s">
        <v>444</v>
      </c>
      <c r="L23" s="38"/>
    </row>
    <row r="24">
      <c r="A24" s="47" t="s">
        <v>418</v>
      </c>
      <c r="B24" s="44">
        <v>46008.0</v>
      </c>
      <c r="C24" s="38" t="s">
        <v>316</v>
      </c>
      <c r="D24" s="38" t="s">
        <v>198</v>
      </c>
      <c r="E24" s="38" t="s">
        <v>371</v>
      </c>
      <c r="F24" s="49" t="s">
        <v>448</v>
      </c>
      <c r="G24" s="46" t="s">
        <v>461</v>
      </c>
      <c r="H24" s="38"/>
      <c r="I24" s="47" t="s">
        <v>443</v>
      </c>
      <c r="J24" s="42">
        <v>847.0</v>
      </c>
      <c r="K24" s="54" t="s">
        <v>444</v>
      </c>
      <c r="L24" s="38"/>
    </row>
    <row r="25">
      <c r="A25" s="47" t="s">
        <v>418</v>
      </c>
      <c r="B25" s="44">
        <v>46008.0</v>
      </c>
      <c r="C25" s="38" t="s">
        <v>316</v>
      </c>
      <c r="D25" s="38" t="s">
        <v>198</v>
      </c>
      <c r="E25" s="38" t="s">
        <v>371</v>
      </c>
      <c r="F25" s="49" t="s">
        <v>448</v>
      </c>
      <c r="G25" s="46" t="s">
        <v>464</v>
      </c>
      <c r="H25" s="38"/>
      <c r="I25" s="47" t="s">
        <v>443</v>
      </c>
      <c r="J25" s="42">
        <v>848.0</v>
      </c>
      <c r="K25" s="54" t="s">
        <v>444</v>
      </c>
      <c r="L25" s="38"/>
    </row>
    <row r="26">
      <c r="A26" s="4" t="s">
        <v>386</v>
      </c>
      <c r="B26" s="58">
        <v>46013.0</v>
      </c>
      <c r="C26" s="4" t="s">
        <v>415</v>
      </c>
      <c r="D26" s="4" t="s">
        <v>68</v>
      </c>
      <c r="E26" s="4" t="s">
        <v>31</v>
      </c>
      <c r="F26" s="45" t="s">
        <v>35</v>
      </c>
      <c r="G26" s="6" t="s">
        <v>417</v>
      </c>
      <c r="H26" s="4" t="s">
        <v>472</v>
      </c>
      <c r="I26" s="4" t="s">
        <v>416</v>
      </c>
      <c r="J26" s="59">
        <v>842.0</v>
      </c>
      <c r="K26" s="4" t="s">
        <v>475</v>
      </c>
    </row>
    <row r="27">
      <c r="A27" s="4" t="s">
        <v>352</v>
      </c>
      <c r="B27" s="58">
        <v>46021.0</v>
      </c>
      <c r="C27" s="4" t="s">
        <v>107</v>
      </c>
      <c r="D27" s="4" t="s">
        <v>109</v>
      </c>
      <c r="E27" s="4" t="s">
        <v>31</v>
      </c>
      <c r="F27" s="45" t="s">
        <v>35</v>
      </c>
      <c r="G27" s="6" t="s">
        <v>343</v>
      </c>
      <c r="H27" s="4" t="s">
        <v>479</v>
      </c>
      <c r="I27" s="4" t="s">
        <v>348</v>
      </c>
      <c r="J27" s="59">
        <v>811.0</v>
      </c>
      <c r="K27" s="4" t="s">
        <v>480</v>
      </c>
    </row>
    <row r="28">
      <c r="A28" s="47" t="s">
        <v>386</v>
      </c>
      <c r="B28" s="44">
        <v>46031.0</v>
      </c>
      <c r="C28" s="47" t="s">
        <v>107</v>
      </c>
      <c r="D28" s="47" t="s">
        <v>109</v>
      </c>
      <c r="E28" s="47" t="s">
        <v>31</v>
      </c>
      <c r="F28" s="49" t="s">
        <v>35</v>
      </c>
      <c r="G28" s="46" t="s">
        <v>396</v>
      </c>
      <c r="H28" s="47" t="s">
        <v>485</v>
      </c>
      <c r="I28" s="47" t="s">
        <v>416</v>
      </c>
      <c r="J28" s="42">
        <v>834.0</v>
      </c>
      <c r="K28" s="47" t="s">
        <v>487</v>
      </c>
    </row>
    <row r="29">
      <c r="A29" s="47" t="s">
        <v>391</v>
      </c>
      <c r="B29" s="44">
        <v>46035.0</v>
      </c>
      <c r="C29" s="47" t="s">
        <v>163</v>
      </c>
      <c r="D29" s="47" t="s">
        <v>165</v>
      </c>
      <c r="E29" s="47" t="s">
        <v>31</v>
      </c>
      <c r="F29" s="49" t="s">
        <v>35</v>
      </c>
      <c r="G29" s="46" t="s">
        <v>408</v>
      </c>
      <c r="H29" s="47" t="s">
        <v>485</v>
      </c>
      <c r="I29" s="47" t="s">
        <v>348</v>
      </c>
      <c r="J29" s="42">
        <v>853.0</v>
      </c>
      <c r="K29" s="38"/>
    </row>
    <row r="30">
      <c r="A30" s="47" t="s">
        <v>391</v>
      </c>
      <c r="B30" s="44">
        <v>46036.0</v>
      </c>
      <c r="C30" s="47" t="s">
        <v>163</v>
      </c>
      <c r="D30" s="47" t="s">
        <v>165</v>
      </c>
      <c r="E30" s="47" t="s">
        <v>31</v>
      </c>
      <c r="F30" s="49" t="s">
        <v>35</v>
      </c>
      <c r="G30" s="46" t="s">
        <v>455</v>
      </c>
      <c r="H30" s="47" t="s">
        <v>492</v>
      </c>
      <c r="I30" s="47" t="s">
        <v>348</v>
      </c>
      <c r="J30" s="42">
        <v>852.0</v>
      </c>
      <c r="K30" s="38"/>
    </row>
    <row r="31">
      <c r="A31" s="47" t="s">
        <v>391</v>
      </c>
      <c r="B31" s="44">
        <v>46038.0</v>
      </c>
      <c r="C31" s="47" t="s">
        <v>43</v>
      </c>
      <c r="D31" s="47" t="s">
        <v>44</v>
      </c>
      <c r="E31" s="47" t="s">
        <v>185</v>
      </c>
      <c r="F31" s="49" t="s">
        <v>267</v>
      </c>
      <c r="G31" s="46" t="s">
        <v>462</v>
      </c>
      <c r="H31" s="47" t="s">
        <v>494</v>
      </c>
      <c r="I31" s="47" t="s">
        <v>348</v>
      </c>
      <c r="J31" s="42">
        <v>525.0</v>
      </c>
      <c r="K31" s="47" t="s">
        <v>496</v>
      </c>
    </row>
    <row r="32">
      <c r="A32" s="47" t="s">
        <v>391</v>
      </c>
      <c r="B32" s="44">
        <v>46038.0</v>
      </c>
      <c r="C32" s="47" t="s">
        <v>43</v>
      </c>
      <c r="D32" s="47" t="s">
        <v>44</v>
      </c>
      <c r="E32" s="47" t="s">
        <v>185</v>
      </c>
      <c r="F32" s="49" t="s">
        <v>186</v>
      </c>
      <c r="G32" s="46" t="s">
        <v>445</v>
      </c>
      <c r="H32" s="47" t="s">
        <v>494</v>
      </c>
      <c r="I32" s="47" t="s">
        <v>348</v>
      </c>
      <c r="J32" s="42">
        <v>862.0</v>
      </c>
      <c r="K32" s="47" t="s">
        <v>499</v>
      </c>
    </row>
    <row r="33">
      <c r="A33" s="47" t="s">
        <v>391</v>
      </c>
      <c r="B33" s="44">
        <v>46002.0</v>
      </c>
      <c r="C33" s="47" t="s">
        <v>157</v>
      </c>
      <c r="D33" s="47" t="s">
        <v>158</v>
      </c>
      <c r="E33" s="47" t="s">
        <v>31</v>
      </c>
      <c r="F33" s="49" t="s">
        <v>35</v>
      </c>
      <c r="G33" s="46" t="s">
        <v>402</v>
      </c>
      <c r="H33" s="47" t="s">
        <v>501</v>
      </c>
      <c r="I33" s="47" t="s">
        <v>416</v>
      </c>
      <c r="J33" s="42">
        <v>841.0</v>
      </c>
      <c r="K33" s="38"/>
    </row>
    <row r="34">
      <c r="A34" s="47" t="s">
        <v>421</v>
      </c>
      <c r="B34" s="44">
        <v>46042.0</v>
      </c>
      <c r="C34" s="47" t="s">
        <v>197</v>
      </c>
      <c r="D34" s="47" t="s">
        <v>198</v>
      </c>
      <c r="E34" s="47" t="s">
        <v>185</v>
      </c>
      <c r="F34" s="49" t="s">
        <v>267</v>
      </c>
      <c r="G34" s="46" t="s">
        <v>506</v>
      </c>
      <c r="H34" s="47" t="s">
        <v>507</v>
      </c>
      <c r="I34" s="47" t="s">
        <v>348</v>
      </c>
      <c r="J34" s="42">
        <v>852.0</v>
      </c>
      <c r="K34" s="47" t="s">
        <v>509</v>
      </c>
    </row>
    <row r="35">
      <c r="A35" s="47" t="s">
        <v>391</v>
      </c>
      <c r="B35" s="44">
        <v>46042.0</v>
      </c>
      <c r="C35" s="47" t="s">
        <v>197</v>
      </c>
      <c r="D35" s="47" t="s">
        <v>198</v>
      </c>
      <c r="E35" s="47" t="s">
        <v>185</v>
      </c>
      <c r="F35" s="49" t="s">
        <v>285</v>
      </c>
      <c r="G35" s="46" t="s">
        <v>513</v>
      </c>
      <c r="H35" s="47" t="s">
        <v>514</v>
      </c>
      <c r="I35" s="47" t="s">
        <v>348</v>
      </c>
      <c r="J35" s="42">
        <v>859.0</v>
      </c>
      <c r="K35" s="47" t="s">
        <v>516</v>
      </c>
    </row>
    <row r="36">
      <c r="A36" s="47" t="s">
        <v>391</v>
      </c>
      <c r="B36" s="44">
        <v>46042.0</v>
      </c>
      <c r="C36" s="47" t="s">
        <v>197</v>
      </c>
      <c r="D36" s="47" t="s">
        <v>198</v>
      </c>
      <c r="E36" s="47" t="s">
        <v>185</v>
      </c>
      <c r="F36" s="49" t="s">
        <v>267</v>
      </c>
      <c r="G36" s="46" t="s">
        <v>518</v>
      </c>
      <c r="H36" s="47" t="s">
        <v>519</v>
      </c>
      <c r="I36" s="47" t="s">
        <v>348</v>
      </c>
      <c r="J36" s="42">
        <v>858.0</v>
      </c>
      <c r="K36" s="38"/>
    </row>
    <row r="37">
      <c r="A37" s="47" t="s">
        <v>421</v>
      </c>
      <c r="B37" s="44">
        <v>46042.0</v>
      </c>
      <c r="C37" s="47" t="s">
        <v>197</v>
      </c>
      <c r="D37" s="47" t="s">
        <v>198</v>
      </c>
      <c r="E37" s="47" t="s">
        <v>185</v>
      </c>
      <c r="F37" s="49" t="s">
        <v>186</v>
      </c>
      <c r="G37" s="46" t="s">
        <v>523</v>
      </c>
      <c r="H37" s="47" t="s">
        <v>514</v>
      </c>
      <c r="I37" s="47" t="s">
        <v>348</v>
      </c>
      <c r="J37" s="42">
        <v>856.0</v>
      </c>
      <c r="K37" s="47" t="s">
        <v>525</v>
      </c>
    </row>
    <row r="38">
      <c r="A38" s="47" t="s">
        <v>391</v>
      </c>
      <c r="B38" s="44">
        <v>46042.0</v>
      </c>
      <c r="C38" s="47" t="s">
        <v>526</v>
      </c>
      <c r="D38" s="38"/>
      <c r="E38" s="47" t="s">
        <v>185</v>
      </c>
      <c r="F38" s="49" t="s">
        <v>186</v>
      </c>
      <c r="G38" s="46" t="s">
        <v>527</v>
      </c>
      <c r="H38" s="47" t="s">
        <v>507</v>
      </c>
      <c r="I38" s="47" t="s">
        <v>348</v>
      </c>
      <c r="J38" s="42">
        <v>854.0</v>
      </c>
      <c r="K38" s="47" t="s">
        <v>531</v>
      </c>
    </row>
    <row r="39">
      <c r="A39" s="47" t="s">
        <v>421</v>
      </c>
      <c r="B39" s="44">
        <v>46042.0</v>
      </c>
      <c r="C39" s="47" t="s">
        <v>197</v>
      </c>
      <c r="D39" s="47" t="s">
        <v>198</v>
      </c>
      <c r="E39" s="47" t="s">
        <v>185</v>
      </c>
      <c r="F39" s="49" t="s">
        <v>186</v>
      </c>
      <c r="G39" s="46" t="s">
        <v>533</v>
      </c>
      <c r="H39" s="47" t="s">
        <v>514</v>
      </c>
      <c r="I39" s="47" t="s">
        <v>348</v>
      </c>
      <c r="J39" s="42">
        <v>855.0</v>
      </c>
      <c r="K39" s="47" t="s">
        <v>534</v>
      </c>
    </row>
    <row r="40">
      <c r="A40" s="47" t="s">
        <v>421</v>
      </c>
      <c r="B40" s="44">
        <v>46049.0</v>
      </c>
      <c r="C40" s="47" t="s">
        <v>157</v>
      </c>
      <c r="D40" s="47" t="s">
        <v>158</v>
      </c>
      <c r="E40" s="47" t="s">
        <v>31</v>
      </c>
      <c r="F40" s="49" t="s">
        <v>35</v>
      </c>
      <c r="G40" s="46" t="s">
        <v>537</v>
      </c>
      <c r="H40" s="47" t="s">
        <v>501</v>
      </c>
      <c r="I40" s="47" t="s">
        <v>348</v>
      </c>
      <c r="J40" s="60"/>
      <c r="K40" s="47" t="s">
        <v>538</v>
      </c>
    </row>
    <row r="41">
      <c r="A41" s="47" t="s">
        <v>421</v>
      </c>
      <c r="B41" s="44">
        <v>45686.0</v>
      </c>
      <c r="C41" s="47" t="s">
        <v>23</v>
      </c>
      <c r="D41" s="47" t="s">
        <v>24</v>
      </c>
      <c r="E41" s="47" t="s">
        <v>185</v>
      </c>
      <c r="F41" s="49" t="s">
        <v>502</v>
      </c>
      <c r="G41" s="46" t="s">
        <v>503</v>
      </c>
      <c r="H41" s="47" t="s">
        <v>507</v>
      </c>
      <c r="I41" s="47" t="s">
        <v>348</v>
      </c>
      <c r="J41" s="42">
        <v>864.0</v>
      </c>
      <c r="K41" s="47" t="s">
        <v>543</v>
      </c>
    </row>
    <row r="42">
      <c r="A42" s="47" t="s">
        <v>421</v>
      </c>
      <c r="B42" s="44">
        <v>46052.0</v>
      </c>
      <c r="C42" s="47" t="s">
        <v>211</v>
      </c>
      <c r="D42" s="4" t="s">
        <v>212</v>
      </c>
      <c r="E42" s="47" t="s">
        <v>185</v>
      </c>
      <c r="F42" s="49" t="s">
        <v>267</v>
      </c>
      <c r="G42" s="46" t="s">
        <v>437</v>
      </c>
      <c r="H42" s="47" t="s">
        <v>545</v>
      </c>
      <c r="I42" s="47" t="s">
        <v>348</v>
      </c>
      <c r="J42" s="42">
        <v>866.0</v>
      </c>
      <c r="K42" s="38"/>
    </row>
    <row r="43">
      <c r="A43" s="47" t="s">
        <v>421</v>
      </c>
      <c r="B43" s="44">
        <v>46052.0</v>
      </c>
      <c r="C43" s="47" t="s">
        <v>211</v>
      </c>
      <c r="D43" s="4" t="s">
        <v>212</v>
      </c>
      <c r="E43" s="47" t="s">
        <v>185</v>
      </c>
      <c r="F43" s="49" t="s">
        <v>186</v>
      </c>
      <c r="G43" s="46" t="s">
        <v>550</v>
      </c>
      <c r="H43" s="47" t="s">
        <v>551</v>
      </c>
      <c r="I43" s="47" t="s">
        <v>348</v>
      </c>
      <c r="J43" s="42">
        <v>867.0</v>
      </c>
      <c r="K43" s="47" t="s">
        <v>553</v>
      </c>
    </row>
    <row r="44">
      <c r="A44" s="47" t="s">
        <v>421</v>
      </c>
      <c r="B44" s="44">
        <v>46052.0</v>
      </c>
      <c r="C44" s="47" t="s">
        <v>211</v>
      </c>
      <c r="D44" s="47" t="s">
        <v>327</v>
      </c>
      <c r="E44" s="47" t="s">
        <v>31</v>
      </c>
      <c r="F44" s="49" t="s">
        <v>35</v>
      </c>
      <c r="G44" s="46" t="s">
        <v>330</v>
      </c>
      <c r="H44" s="47" t="s">
        <v>555</v>
      </c>
      <c r="I44" s="47" t="s">
        <v>348</v>
      </c>
      <c r="J44" s="42">
        <v>873.0</v>
      </c>
      <c r="K44" s="47" t="s">
        <v>557</v>
      </c>
    </row>
    <row r="45">
      <c r="A45" s="47" t="s">
        <v>391</v>
      </c>
      <c r="B45" s="44">
        <v>45986.0</v>
      </c>
      <c r="C45" s="47" t="s">
        <v>157</v>
      </c>
      <c r="D45" s="47" t="s">
        <v>158</v>
      </c>
      <c r="E45" s="47" t="s">
        <v>31</v>
      </c>
      <c r="F45" s="49" t="s">
        <v>35</v>
      </c>
      <c r="G45" s="46" t="s">
        <v>431</v>
      </c>
      <c r="H45" s="47" t="s">
        <v>501</v>
      </c>
      <c r="I45" s="47" t="s">
        <v>416</v>
      </c>
      <c r="J45" s="42">
        <v>833.0</v>
      </c>
      <c r="K45" s="38"/>
    </row>
    <row r="46">
      <c r="A46" s="47" t="s">
        <v>391</v>
      </c>
      <c r="B46" s="44">
        <v>46031.0</v>
      </c>
      <c r="C46" s="47" t="s">
        <v>197</v>
      </c>
      <c r="D46" s="47" t="s">
        <v>198</v>
      </c>
      <c r="E46" s="47" t="s">
        <v>185</v>
      </c>
      <c r="F46" s="49" t="s">
        <v>285</v>
      </c>
      <c r="G46" s="46" t="s">
        <v>558</v>
      </c>
      <c r="H46" s="47" t="s">
        <v>514</v>
      </c>
      <c r="I46" s="47" t="s">
        <v>348</v>
      </c>
      <c r="J46" s="42">
        <v>860.0</v>
      </c>
      <c r="K46" s="47" t="s">
        <v>560</v>
      </c>
    </row>
    <row r="47">
      <c r="A47" s="4" t="s">
        <v>386</v>
      </c>
      <c r="B47" s="58">
        <v>45985.0</v>
      </c>
      <c r="C47" s="4" t="s">
        <v>205</v>
      </c>
      <c r="D47" s="4" t="s">
        <v>206</v>
      </c>
      <c r="E47" s="4" t="s">
        <v>185</v>
      </c>
      <c r="F47" s="45" t="s">
        <v>186</v>
      </c>
      <c r="G47" s="6" t="s">
        <v>387</v>
      </c>
      <c r="H47" s="4" t="s">
        <v>479</v>
      </c>
      <c r="I47" s="4" t="s">
        <v>348</v>
      </c>
      <c r="J47" s="59">
        <v>837.0</v>
      </c>
      <c r="K47" s="4" t="s">
        <v>562</v>
      </c>
    </row>
    <row r="48">
      <c r="A48" s="4" t="s">
        <v>391</v>
      </c>
      <c r="B48" s="58">
        <v>45989.0</v>
      </c>
      <c r="C48" s="4" t="s">
        <v>197</v>
      </c>
      <c r="D48" s="4" t="s">
        <v>198</v>
      </c>
      <c r="E48" s="4" t="s">
        <v>185</v>
      </c>
      <c r="F48" s="45" t="s">
        <v>186</v>
      </c>
      <c r="G48" s="6" t="s">
        <v>373</v>
      </c>
      <c r="H48" s="4" t="s">
        <v>479</v>
      </c>
      <c r="I48" s="4" t="s">
        <v>348</v>
      </c>
      <c r="J48" s="59">
        <v>835.0</v>
      </c>
      <c r="K48" s="4" t="s">
        <v>564</v>
      </c>
    </row>
    <row r="49">
      <c r="A49" s="4" t="s">
        <v>386</v>
      </c>
      <c r="B49" s="58">
        <v>46025.0</v>
      </c>
      <c r="C49" s="4" t="s">
        <v>197</v>
      </c>
      <c r="D49" s="4" t="s">
        <v>198</v>
      </c>
      <c r="E49" s="4" t="s">
        <v>185</v>
      </c>
      <c r="F49" s="45" t="s">
        <v>186</v>
      </c>
      <c r="G49" s="6" t="s">
        <v>461</v>
      </c>
      <c r="H49" s="4" t="s">
        <v>479</v>
      </c>
      <c r="I49" s="4" t="s">
        <v>348</v>
      </c>
      <c r="J49" s="59">
        <v>847.0</v>
      </c>
      <c r="K49" s="4" t="s">
        <v>567</v>
      </c>
    </row>
    <row r="50">
      <c r="A50" s="4" t="s">
        <v>391</v>
      </c>
      <c r="B50" s="58">
        <v>46058.0</v>
      </c>
      <c r="C50" s="4" t="s">
        <v>197</v>
      </c>
      <c r="D50" s="4" t="s">
        <v>198</v>
      </c>
      <c r="E50" s="4" t="s">
        <v>185</v>
      </c>
      <c r="F50" s="45" t="s">
        <v>568</v>
      </c>
      <c r="G50" s="6">
        <v>903944.0</v>
      </c>
      <c r="H50" s="4" t="s">
        <v>479</v>
      </c>
      <c r="I50" s="4" t="s">
        <v>348</v>
      </c>
      <c r="J50" s="59">
        <v>874.0</v>
      </c>
      <c r="K50" s="4" t="s">
        <v>571</v>
      </c>
    </row>
    <row r="51">
      <c r="A51" s="4" t="s">
        <v>391</v>
      </c>
      <c r="B51" s="58">
        <v>46059.0</v>
      </c>
      <c r="C51" s="4" t="s">
        <v>163</v>
      </c>
      <c r="D51" s="4" t="s">
        <v>165</v>
      </c>
      <c r="E51" s="4" t="s">
        <v>31</v>
      </c>
      <c r="F51" s="45" t="s">
        <v>35</v>
      </c>
      <c r="G51" s="6" t="s">
        <v>466</v>
      </c>
      <c r="H51" s="4" t="s">
        <v>574</v>
      </c>
      <c r="I51" s="4" t="s">
        <v>416</v>
      </c>
      <c r="J51" s="59">
        <v>851.0</v>
      </c>
      <c r="K51" s="4" t="s">
        <v>575</v>
      </c>
    </row>
    <row r="52">
      <c r="A52" s="4" t="s">
        <v>391</v>
      </c>
      <c r="B52" s="58">
        <v>46051.0</v>
      </c>
      <c r="C52" s="4" t="s">
        <v>100</v>
      </c>
      <c r="D52" s="4" t="s">
        <v>102</v>
      </c>
      <c r="E52" s="4" t="s">
        <v>31</v>
      </c>
      <c r="F52" s="45" t="s">
        <v>35</v>
      </c>
      <c r="G52" s="6" t="s">
        <v>337</v>
      </c>
      <c r="H52" s="4" t="s">
        <v>485</v>
      </c>
      <c r="I52" s="4" t="s">
        <v>348</v>
      </c>
      <c r="J52" s="59">
        <v>870.0</v>
      </c>
      <c r="K52" s="4" t="s">
        <v>578</v>
      </c>
    </row>
    <row r="53">
      <c r="A53" s="4" t="s">
        <v>421</v>
      </c>
      <c r="B53" s="58">
        <v>46062.0</v>
      </c>
      <c r="C53" s="4" t="s">
        <v>36</v>
      </c>
      <c r="D53" s="4" t="s">
        <v>37</v>
      </c>
      <c r="E53" s="4" t="s">
        <v>185</v>
      </c>
      <c r="F53" s="45" t="s">
        <v>267</v>
      </c>
      <c r="G53" s="6" t="s">
        <v>451</v>
      </c>
      <c r="H53" s="4" t="s">
        <v>581</v>
      </c>
      <c r="I53" s="4" t="s">
        <v>416</v>
      </c>
      <c r="J53" s="62"/>
      <c r="K53" s="4" t="s">
        <v>583</v>
      </c>
    </row>
    <row r="54">
      <c r="A54" s="4" t="s">
        <v>421</v>
      </c>
      <c r="B54" s="58">
        <v>46063.0</v>
      </c>
      <c r="C54" s="4" t="s">
        <v>72</v>
      </c>
      <c r="D54" s="4" t="s">
        <v>73</v>
      </c>
      <c r="E54" s="4" t="s">
        <v>31</v>
      </c>
      <c r="F54" s="45" t="s">
        <v>35</v>
      </c>
      <c r="G54" s="6" t="s">
        <v>459</v>
      </c>
      <c r="H54" s="4" t="s">
        <v>585</v>
      </c>
      <c r="I54" s="4" t="s">
        <v>416</v>
      </c>
      <c r="J54" s="62"/>
      <c r="K54" s="4" t="s">
        <v>588</v>
      </c>
    </row>
    <row r="55">
      <c r="A55" s="4" t="s">
        <v>421</v>
      </c>
      <c r="B55" s="58">
        <v>46064.0</v>
      </c>
      <c r="C55" s="4" t="s">
        <v>72</v>
      </c>
      <c r="D55" s="4" t="s">
        <v>73</v>
      </c>
      <c r="E55" s="4" t="s">
        <v>31</v>
      </c>
      <c r="F55" s="45" t="s">
        <v>35</v>
      </c>
      <c r="G55" s="6" t="s">
        <v>489</v>
      </c>
      <c r="H55" s="4" t="s">
        <v>591</v>
      </c>
      <c r="I55" s="4" t="s">
        <v>416</v>
      </c>
      <c r="J55" s="62"/>
    </row>
    <row r="56">
      <c r="A56" s="4" t="s">
        <v>421</v>
      </c>
      <c r="B56" s="58">
        <v>46064.0</v>
      </c>
      <c r="C56" s="4" t="s">
        <v>72</v>
      </c>
      <c r="D56" s="4" t="s">
        <v>73</v>
      </c>
      <c r="E56" s="4" t="s">
        <v>31</v>
      </c>
      <c r="F56" s="45" t="s">
        <v>35</v>
      </c>
      <c r="G56" s="6" t="s">
        <v>515</v>
      </c>
      <c r="H56" s="4" t="s">
        <v>585</v>
      </c>
      <c r="I56" s="4" t="s">
        <v>416</v>
      </c>
      <c r="J56" s="62"/>
    </row>
    <row r="57">
      <c r="A57" s="4" t="s">
        <v>391</v>
      </c>
      <c r="B57" s="58">
        <v>46051.0</v>
      </c>
      <c r="C57" s="4" t="s">
        <v>100</v>
      </c>
      <c r="D57" s="4" t="s">
        <v>102</v>
      </c>
      <c r="E57" s="4" t="s">
        <v>31</v>
      </c>
      <c r="F57" s="45" t="s">
        <v>35</v>
      </c>
      <c r="G57" s="6" t="s">
        <v>477</v>
      </c>
      <c r="H57" s="4" t="s">
        <v>595</v>
      </c>
      <c r="I57" s="4" t="s">
        <v>348</v>
      </c>
      <c r="J57" s="59">
        <v>869.0</v>
      </c>
      <c r="K57" s="4" t="s">
        <v>596</v>
      </c>
    </row>
    <row r="58">
      <c r="A58" s="4" t="s">
        <v>391</v>
      </c>
      <c r="B58" s="58">
        <v>46051.0</v>
      </c>
      <c r="C58" s="4" t="s">
        <v>100</v>
      </c>
      <c r="D58" s="4" t="s">
        <v>102</v>
      </c>
      <c r="E58" s="4" t="s">
        <v>31</v>
      </c>
      <c r="F58" s="45" t="s">
        <v>35</v>
      </c>
      <c r="G58" s="6" t="s">
        <v>483</v>
      </c>
      <c r="H58" s="4" t="s">
        <v>599</v>
      </c>
      <c r="I58" s="4" t="s">
        <v>348</v>
      </c>
      <c r="J58" s="59">
        <v>871.0</v>
      </c>
    </row>
    <row r="59">
      <c r="A59" s="4" t="s">
        <v>386</v>
      </c>
      <c r="B59" s="58">
        <v>46048.0</v>
      </c>
      <c r="C59" s="4" t="s">
        <v>184</v>
      </c>
      <c r="D59" s="4" t="s">
        <v>187</v>
      </c>
      <c r="E59" s="4" t="s">
        <v>31</v>
      </c>
      <c r="F59" s="45" t="s">
        <v>182</v>
      </c>
      <c r="G59" s="6">
        <v>2.8024035E7</v>
      </c>
      <c r="H59" s="4" t="s">
        <v>603</v>
      </c>
      <c r="I59" s="4" t="s">
        <v>604</v>
      </c>
      <c r="J59" s="59">
        <v>942.0</v>
      </c>
      <c r="K59" s="4" t="s">
        <v>605</v>
      </c>
    </row>
    <row r="60">
      <c r="A60" s="4" t="s">
        <v>421</v>
      </c>
      <c r="B60" s="58">
        <v>46067.0</v>
      </c>
      <c r="C60" s="4" t="s">
        <v>192</v>
      </c>
      <c r="D60" s="4" t="s">
        <v>193</v>
      </c>
      <c r="E60" s="4" t="s">
        <v>31</v>
      </c>
      <c r="F60" s="45" t="s">
        <v>35</v>
      </c>
      <c r="G60" s="6" t="s">
        <v>470</v>
      </c>
      <c r="H60" s="4" t="s">
        <v>492</v>
      </c>
      <c r="I60" s="4" t="s">
        <v>416</v>
      </c>
      <c r="J60" s="62"/>
    </row>
    <row r="61">
      <c r="A61" s="4" t="s">
        <v>421</v>
      </c>
      <c r="B61" s="58">
        <v>46069.0</v>
      </c>
      <c r="C61" s="4" t="s">
        <v>72</v>
      </c>
      <c r="D61" s="4" t="s">
        <v>73</v>
      </c>
      <c r="E61" s="4" t="s">
        <v>31</v>
      </c>
      <c r="F61" s="45" t="s">
        <v>35</v>
      </c>
      <c r="G61" s="6" t="s">
        <v>508</v>
      </c>
      <c r="H61" s="4" t="s">
        <v>585</v>
      </c>
      <c r="I61" s="4" t="s">
        <v>416</v>
      </c>
      <c r="J61" s="62"/>
      <c r="K61" s="4" t="s">
        <v>611</v>
      </c>
    </row>
    <row r="62">
      <c r="A62" s="4" t="s">
        <v>391</v>
      </c>
      <c r="B62" s="58">
        <v>46069.0</v>
      </c>
      <c r="C62" s="4" t="s">
        <v>275</v>
      </c>
      <c r="D62" s="4" t="s">
        <v>230</v>
      </c>
      <c r="E62" s="4" t="s">
        <v>185</v>
      </c>
      <c r="F62" s="45" t="s">
        <v>615</v>
      </c>
      <c r="G62" s="6" t="s">
        <v>616</v>
      </c>
      <c r="H62" s="4" t="s">
        <v>617</v>
      </c>
      <c r="I62" s="4" t="s">
        <v>348</v>
      </c>
      <c r="J62" s="59">
        <v>884.0</v>
      </c>
      <c r="K62" s="4" t="s">
        <v>619</v>
      </c>
    </row>
    <row r="63">
      <c r="A63" s="4" t="s">
        <v>352</v>
      </c>
      <c r="B63" s="58">
        <v>46080.0</v>
      </c>
      <c r="C63" s="4" t="s">
        <v>197</v>
      </c>
      <c r="D63" s="4" t="s">
        <v>198</v>
      </c>
      <c r="E63" s="4" t="s">
        <v>31</v>
      </c>
      <c r="F63" s="45" t="s">
        <v>35</v>
      </c>
      <c r="G63" s="6" t="s">
        <v>569</v>
      </c>
      <c r="H63" s="4" t="s">
        <v>620</v>
      </c>
      <c r="I63" s="4" t="s">
        <v>348</v>
      </c>
      <c r="J63" s="59">
        <v>885.0</v>
      </c>
      <c r="K63" s="4" t="s">
        <v>622</v>
      </c>
    </row>
    <row r="64">
      <c r="A64" s="4" t="s">
        <v>352</v>
      </c>
      <c r="B64" s="58">
        <v>46080.0</v>
      </c>
      <c r="C64" s="4" t="s">
        <v>197</v>
      </c>
      <c r="D64" s="4" t="s">
        <v>198</v>
      </c>
      <c r="E64" s="4" t="s">
        <v>31</v>
      </c>
      <c r="F64" s="45" t="s">
        <v>35</v>
      </c>
      <c r="G64" s="6" t="s">
        <v>573</v>
      </c>
      <c r="H64" s="4" t="s">
        <v>620</v>
      </c>
      <c r="I64" s="4" t="s">
        <v>348</v>
      </c>
      <c r="J64" s="59">
        <v>886.0</v>
      </c>
      <c r="K64" s="4" t="s">
        <v>622</v>
      </c>
    </row>
    <row r="65">
      <c r="A65" s="4" t="s">
        <v>421</v>
      </c>
      <c r="B65" s="58">
        <v>46084.0</v>
      </c>
      <c r="C65" s="4" t="s">
        <v>157</v>
      </c>
      <c r="D65" s="4" t="s">
        <v>158</v>
      </c>
      <c r="E65" s="4" t="s">
        <v>31</v>
      </c>
      <c r="F65" s="45" t="s">
        <v>35</v>
      </c>
      <c r="G65" s="6" t="s">
        <v>544</v>
      </c>
      <c r="H65" s="4" t="s">
        <v>626</v>
      </c>
      <c r="I65" s="4" t="s">
        <v>348</v>
      </c>
      <c r="J65" s="59">
        <v>888.0</v>
      </c>
    </row>
    <row r="66">
      <c r="A66" s="4" t="s">
        <v>421</v>
      </c>
      <c r="B66" s="58">
        <v>46084.0</v>
      </c>
      <c r="C66" s="4" t="s">
        <v>157</v>
      </c>
      <c r="D66" s="4" t="s">
        <v>158</v>
      </c>
      <c r="E66" s="4" t="s">
        <v>31</v>
      </c>
      <c r="F66" s="45" t="s">
        <v>35</v>
      </c>
      <c r="G66" s="6" t="s">
        <v>539</v>
      </c>
      <c r="H66" s="4" t="s">
        <v>626</v>
      </c>
      <c r="I66" s="4" t="s">
        <v>348</v>
      </c>
      <c r="J66" s="59">
        <v>889.0</v>
      </c>
    </row>
    <row r="67">
      <c r="A67" s="4" t="s">
        <v>352</v>
      </c>
      <c r="B67" s="58">
        <v>46086.0</v>
      </c>
      <c r="C67" s="4" t="s">
        <v>49</v>
      </c>
      <c r="D67" s="4" t="s">
        <v>50</v>
      </c>
      <c r="E67" s="4" t="s">
        <v>31</v>
      </c>
      <c r="F67" s="45" t="s">
        <v>35</v>
      </c>
      <c r="G67" s="6" t="s">
        <v>547</v>
      </c>
      <c r="H67" s="4" t="s">
        <v>631</v>
      </c>
      <c r="I67" s="4" t="s">
        <v>348</v>
      </c>
      <c r="J67" s="62"/>
    </row>
    <row r="68">
      <c r="A68" s="4" t="s">
        <v>352</v>
      </c>
      <c r="B68" s="58">
        <v>46086.0</v>
      </c>
      <c r="C68" s="4" t="s">
        <v>49</v>
      </c>
      <c r="D68" s="4" t="s">
        <v>50</v>
      </c>
      <c r="E68" s="4" t="s">
        <v>31</v>
      </c>
      <c r="F68" s="45" t="s">
        <v>35</v>
      </c>
      <c r="G68" s="6" t="s">
        <v>498</v>
      </c>
      <c r="H68" s="4" t="s">
        <v>485</v>
      </c>
      <c r="I68" s="4" t="s">
        <v>348</v>
      </c>
      <c r="J68" s="62"/>
    </row>
    <row r="69">
      <c r="A69" s="4" t="s">
        <v>352</v>
      </c>
      <c r="B69" s="58">
        <v>46086.0</v>
      </c>
      <c r="C69" s="4" t="s">
        <v>49</v>
      </c>
      <c r="D69" s="4" t="s">
        <v>50</v>
      </c>
      <c r="E69" s="4" t="s">
        <v>31</v>
      </c>
      <c r="F69" s="45" t="s">
        <v>35</v>
      </c>
      <c r="G69" s="6" t="s">
        <v>493</v>
      </c>
      <c r="H69" s="4" t="s">
        <v>485</v>
      </c>
      <c r="I69" s="4" t="s">
        <v>348</v>
      </c>
      <c r="J69" s="62"/>
    </row>
    <row r="70">
      <c r="A70" s="4" t="s">
        <v>352</v>
      </c>
      <c r="B70" s="58">
        <v>46086.0</v>
      </c>
      <c r="C70" s="4" t="s">
        <v>49</v>
      </c>
      <c r="D70" s="4" t="s">
        <v>50</v>
      </c>
      <c r="E70" s="4" t="s">
        <v>31</v>
      </c>
      <c r="F70" s="45" t="s">
        <v>35</v>
      </c>
      <c r="G70" s="6" t="s">
        <v>504</v>
      </c>
      <c r="H70" s="4" t="s">
        <v>485</v>
      </c>
      <c r="I70" s="4" t="s">
        <v>348</v>
      </c>
      <c r="J70" s="62"/>
    </row>
    <row r="71">
      <c r="A71" s="4" t="s">
        <v>421</v>
      </c>
      <c r="B71" s="58">
        <v>46086.0</v>
      </c>
      <c r="C71" s="4" t="s">
        <v>163</v>
      </c>
      <c r="D71" s="4" t="s">
        <v>165</v>
      </c>
      <c r="E71" s="4" t="s">
        <v>31</v>
      </c>
      <c r="F71" s="45" t="s">
        <v>35</v>
      </c>
      <c r="G71" s="6" t="s">
        <v>408</v>
      </c>
      <c r="H71" s="4" t="s">
        <v>485</v>
      </c>
      <c r="I71" s="4" t="s">
        <v>348</v>
      </c>
      <c r="J71" s="62"/>
    </row>
    <row r="72">
      <c r="A72" s="4" t="s">
        <v>391</v>
      </c>
      <c r="B72" s="58">
        <v>46087.0</v>
      </c>
      <c r="C72" s="4" t="s">
        <v>157</v>
      </c>
      <c r="D72" s="4" t="s">
        <v>158</v>
      </c>
      <c r="E72" s="4" t="s">
        <v>31</v>
      </c>
      <c r="F72" s="45" t="s">
        <v>35</v>
      </c>
      <c r="G72" s="6" t="s">
        <v>561</v>
      </c>
      <c r="H72" s="4" t="s">
        <v>626</v>
      </c>
      <c r="I72" s="4" t="s">
        <v>416</v>
      </c>
      <c r="J72" s="59">
        <v>897.0</v>
      </c>
    </row>
    <row r="73">
      <c r="A73" s="4" t="s">
        <v>391</v>
      </c>
      <c r="B73" s="58">
        <v>46087.0</v>
      </c>
      <c r="C73" s="4" t="s">
        <v>163</v>
      </c>
      <c r="D73" s="4" t="s">
        <v>165</v>
      </c>
      <c r="E73" s="4" t="s">
        <v>31</v>
      </c>
      <c r="F73" s="45" t="s">
        <v>35</v>
      </c>
      <c r="G73" s="6" t="s">
        <v>408</v>
      </c>
      <c r="H73" s="4" t="s">
        <v>485</v>
      </c>
      <c r="I73" s="4" t="s">
        <v>348</v>
      </c>
      <c r="J73" s="62"/>
      <c r="K73" s="4" t="s">
        <v>531</v>
      </c>
    </row>
    <row r="74">
      <c r="A74" s="4" t="s">
        <v>421</v>
      </c>
      <c r="B74" s="58">
        <v>46091.0</v>
      </c>
      <c r="C74" s="4" t="s">
        <v>100</v>
      </c>
      <c r="D74" s="4" t="s">
        <v>102</v>
      </c>
      <c r="E74" s="4" t="s">
        <v>294</v>
      </c>
      <c r="F74" s="45">
        <v>6103.0</v>
      </c>
      <c r="G74" s="6">
        <v>10881.0</v>
      </c>
      <c r="H74" s="4" t="s">
        <v>507</v>
      </c>
      <c r="I74" s="4" t="s">
        <v>348</v>
      </c>
      <c r="J74" s="62"/>
    </row>
    <row r="75">
      <c r="A75" s="4" t="s">
        <v>421</v>
      </c>
      <c r="B75" s="58">
        <v>46091.0</v>
      </c>
      <c r="C75" s="4" t="s">
        <v>100</v>
      </c>
      <c r="D75" s="4" t="s">
        <v>102</v>
      </c>
      <c r="E75" s="4" t="s">
        <v>31</v>
      </c>
      <c r="F75" s="45" t="s">
        <v>35</v>
      </c>
      <c r="G75" s="6" t="s">
        <v>563</v>
      </c>
      <c r="H75" s="4" t="s">
        <v>492</v>
      </c>
      <c r="I75" s="4" t="s">
        <v>348</v>
      </c>
      <c r="J75" s="62"/>
      <c r="K75" s="4" t="s">
        <v>650</v>
      </c>
    </row>
    <row r="76">
      <c r="A76" s="4" t="s">
        <v>421</v>
      </c>
      <c r="B76" s="58">
        <v>46093.0</v>
      </c>
      <c r="C76" s="4" t="s">
        <v>49</v>
      </c>
      <c r="D76" s="4" t="s">
        <v>50</v>
      </c>
      <c r="E76" s="4" t="s">
        <v>31</v>
      </c>
      <c r="F76" s="45" t="s">
        <v>35</v>
      </c>
      <c r="G76" s="6" t="s">
        <v>498</v>
      </c>
      <c r="H76" s="4" t="s">
        <v>652</v>
      </c>
      <c r="I76" s="4" t="s">
        <v>348</v>
      </c>
      <c r="J76" s="62"/>
    </row>
    <row r="77">
      <c r="A77" s="4" t="s">
        <v>421</v>
      </c>
      <c r="B77" s="58">
        <v>46093.0</v>
      </c>
      <c r="C77" s="4" t="s">
        <v>49</v>
      </c>
      <c r="D77" s="4" t="s">
        <v>50</v>
      </c>
      <c r="E77" s="4" t="s">
        <v>31</v>
      </c>
      <c r="F77" s="45" t="s">
        <v>35</v>
      </c>
      <c r="G77" s="6" t="s">
        <v>493</v>
      </c>
      <c r="H77" s="4" t="s">
        <v>654</v>
      </c>
      <c r="I77" s="4" t="s">
        <v>348</v>
      </c>
      <c r="J77" s="62"/>
    </row>
    <row r="78">
      <c r="A78" s="4" t="s">
        <v>421</v>
      </c>
      <c r="B78" s="58">
        <v>46094.0</v>
      </c>
      <c r="C78" s="4" t="s">
        <v>43</v>
      </c>
      <c r="D78" s="4" t="s">
        <v>44</v>
      </c>
      <c r="E78" s="4" t="s">
        <v>185</v>
      </c>
      <c r="F78" s="45" t="s">
        <v>186</v>
      </c>
      <c r="G78" s="6" t="s">
        <v>644</v>
      </c>
      <c r="H78" s="4" t="s">
        <v>494</v>
      </c>
      <c r="I78" s="4" t="s">
        <v>348</v>
      </c>
      <c r="J78" s="62"/>
      <c r="K78" s="4" t="s">
        <v>658</v>
      </c>
    </row>
    <row r="79">
      <c r="A79" s="4" t="s">
        <v>421</v>
      </c>
      <c r="B79" s="58">
        <v>46094.0</v>
      </c>
      <c r="C79" s="4" t="s">
        <v>43</v>
      </c>
      <c r="D79" s="4" t="s">
        <v>44</v>
      </c>
      <c r="E79" s="4" t="s">
        <v>185</v>
      </c>
      <c r="F79" s="45" t="s">
        <v>280</v>
      </c>
      <c r="G79" s="6" t="s">
        <v>623</v>
      </c>
      <c r="H79" s="4" t="s">
        <v>494</v>
      </c>
      <c r="I79" s="4" t="s">
        <v>348</v>
      </c>
      <c r="J79" s="62"/>
      <c r="K79" s="4" t="s">
        <v>659</v>
      </c>
    </row>
    <row r="80">
      <c r="A80" s="4" t="s">
        <v>421</v>
      </c>
      <c r="B80" s="58">
        <v>46094.0</v>
      </c>
      <c r="C80" s="4" t="s">
        <v>43</v>
      </c>
      <c r="D80" s="4" t="s">
        <v>44</v>
      </c>
      <c r="E80" s="4" t="s">
        <v>185</v>
      </c>
      <c r="F80" s="45" t="s">
        <v>280</v>
      </c>
      <c r="G80" s="6" t="s">
        <v>612</v>
      </c>
      <c r="H80" s="4" t="s">
        <v>494</v>
      </c>
      <c r="I80" s="4" t="s">
        <v>348</v>
      </c>
      <c r="J80" s="62"/>
      <c r="K80" s="4" t="s">
        <v>663</v>
      </c>
    </row>
    <row r="81">
      <c r="A81" s="4" t="s">
        <v>421</v>
      </c>
      <c r="B81" s="58">
        <v>46094.0</v>
      </c>
      <c r="C81" s="4" t="s">
        <v>43</v>
      </c>
      <c r="D81" s="4" t="s">
        <v>44</v>
      </c>
      <c r="E81" s="4" t="s">
        <v>185</v>
      </c>
      <c r="F81" s="45" t="s">
        <v>267</v>
      </c>
      <c r="G81" s="6" t="s">
        <v>580</v>
      </c>
      <c r="H81" s="4" t="s">
        <v>494</v>
      </c>
      <c r="I81" s="4" t="s">
        <v>348</v>
      </c>
      <c r="J81" s="62"/>
      <c r="K81" s="4" t="s">
        <v>663</v>
      </c>
    </row>
    <row r="82">
      <c r="A82" s="4" t="s">
        <v>352</v>
      </c>
      <c r="B82" s="58">
        <v>46083.0</v>
      </c>
      <c r="C82" s="4" t="s">
        <v>107</v>
      </c>
      <c r="D82" s="4" t="s">
        <v>109</v>
      </c>
      <c r="E82" s="4" t="s">
        <v>31</v>
      </c>
      <c r="F82" s="45" t="s">
        <v>35</v>
      </c>
      <c r="G82" s="6" t="s">
        <v>529</v>
      </c>
      <c r="H82" s="4" t="s">
        <v>669</v>
      </c>
      <c r="I82" s="4" t="s">
        <v>416</v>
      </c>
      <c r="J82" s="59">
        <v>868.0</v>
      </c>
    </row>
    <row r="83">
      <c r="A83" s="4" t="s">
        <v>421</v>
      </c>
      <c r="B83" s="58">
        <v>46090.0</v>
      </c>
      <c r="C83" s="4" t="s">
        <v>36</v>
      </c>
      <c r="D83" s="4" t="s">
        <v>37</v>
      </c>
      <c r="E83" s="4" t="s">
        <v>185</v>
      </c>
      <c r="F83" s="45" t="s">
        <v>186</v>
      </c>
      <c r="G83" s="6" t="s">
        <v>520</v>
      </c>
      <c r="H83" s="4" t="s">
        <v>514</v>
      </c>
      <c r="I83" s="4" t="s">
        <v>416</v>
      </c>
      <c r="J83" s="62"/>
    </row>
    <row r="84">
      <c r="A84" s="4" t="s">
        <v>421</v>
      </c>
      <c r="B84" s="58">
        <v>46090.0</v>
      </c>
      <c r="C84" s="4" t="s">
        <v>36</v>
      </c>
      <c r="D84" s="4" t="s">
        <v>37</v>
      </c>
      <c r="E84" s="4" t="s">
        <v>185</v>
      </c>
      <c r="F84" s="45" t="s">
        <v>186</v>
      </c>
      <c r="G84" s="6" t="s">
        <v>524</v>
      </c>
      <c r="H84" s="4" t="s">
        <v>514</v>
      </c>
      <c r="I84" s="4" t="s">
        <v>416</v>
      </c>
      <c r="J84" s="62"/>
    </row>
    <row r="85">
      <c r="A85" s="4" t="s">
        <v>421</v>
      </c>
      <c r="B85" s="58">
        <v>46097.0</v>
      </c>
      <c r="C85" s="4" t="s">
        <v>43</v>
      </c>
      <c r="D85" s="4" t="s">
        <v>44</v>
      </c>
      <c r="E85" s="4" t="s">
        <v>185</v>
      </c>
      <c r="F85" s="45" t="s">
        <v>285</v>
      </c>
      <c r="G85" s="6" t="s">
        <v>675</v>
      </c>
      <c r="H85" s="4" t="s">
        <v>676</v>
      </c>
      <c r="I85" s="4" t="s">
        <v>348</v>
      </c>
      <c r="J85" s="62"/>
    </row>
    <row r="86">
      <c r="A86" s="4" t="s">
        <v>421</v>
      </c>
      <c r="B86" s="58">
        <v>46097.0</v>
      </c>
      <c r="C86" s="4" t="s">
        <v>43</v>
      </c>
      <c r="D86" s="4" t="s">
        <v>44</v>
      </c>
      <c r="E86" s="4" t="s">
        <v>185</v>
      </c>
      <c r="F86" s="45" t="s">
        <v>267</v>
      </c>
      <c r="G86" s="6" t="s">
        <v>630</v>
      </c>
      <c r="H86" s="4" t="s">
        <v>676</v>
      </c>
      <c r="I86" s="4" t="s">
        <v>348</v>
      </c>
      <c r="J86" s="62"/>
      <c r="K86" s="4" t="s">
        <v>679</v>
      </c>
    </row>
    <row r="87">
      <c r="A87" s="4" t="s">
        <v>421</v>
      </c>
      <c r="B87" s="58">
        <v>46094.0</v>
      </c>
      <c r="C87" s="4" t="s">
        <v>18</v>
      </c>
      <c r="D87" s="4" t="s">
        <v>19</v>
      </c>
      <c r="E87" s="4" t="s">
        <v>31</v>
      </c>
      <c r="F87" s="45" t="s">
        <v>35</v>
      </c>
      <c r="G87" s="6" t="s">
        <v>108</v>
      </c>
      <c r="H87" s="4" t="s">
        <v>684</v>
      </c>
      <c r="I87" s="4" t="s">
        <v>416</v>
      </c>
      <c r="J87" s="62"/>
    </row>
    <row r="88">
      <c r="A88" s="4" t="s">
        <v>421</v>
      </c>
      <c r="B88" s="58">
        <v>46094.0</v>
      </c>
      <c r="C88" s="4" t="s">
        <v>18</v>
      </c>
      <c r="D88" s="4" t="s">
        <v>19</v>
      </c>
      <c r="E88" s="4" t="s">
        <v>31</v>
      </c>
      <c r="F88" s="45" t="s">
        <v>35</v>
      </c>
      <c r="G88" s="6" t="s">
        <v>140</v>
      </c>
      <c r="H88" s="4" t="s">
        <v>599</v>
      </c>
      <c r="I88" s="4" t="s">
        <v>416</v>
      </c>
      <c r="J88" s="62"/>
    </row>
    <row r="89">
      <c r="A89" s="4" t="s">
        <v>421</v>
      </c>
      <c r="B89" s="58">
        <v>46098.0</v>
      </c>
      <c r="C89" s="4" t="s">
        <v>100</v>
      </c>
      <c r="D89" s="4" t="s">
        <v>102</v>
      </c>
      <c r="E89" s="4" t="s">
        <v>31</v>
      </c>
      <c r="F89" s="45" t="s">
        <v>35</v>
      </c>
      <c r="G89" s="6" t="s">
        <v>566</v>
      </c>
      <c r="H89" s="4" t="s">
        <v>485</v>
      </c>
      <c r="I89" s="4" t="s">
        <v>416</v>
      </c>
      <c r="J89" s="59">
        <v>872.0</v>
      </c>
      <c r="K89" s="4" t="s">
        <v>689</v>
      </c>
    </row>
    <row r="90">
      <c r="A90" s="4" t="s">
        <v>352</v>
      </c>
      <c r="B90" s="58">
        <v>46109.0</v>
      </c>
      <c r="C90" s="4" t="s">
        <v>157</v>
      </c>
      <c r="D90" s="4" t="s">
        <v>158</v>
      </c>
      <c r="E90" s="4" t="s">
        <v>31</v>
      </c>
      <c r="F90" s="45" t="s">
        <v>35</v>
      </c>
      <c r="G90" s="6" t="s">
        <v>600</v>
      </c>
      <c r="H90" s="4" t="s">
        <v>692</v>
      </c>
      <c r="I90" s="4" t="s">
        <v>416</v>
      </c>
      <c r="J90" s="62"/>
      <c r="K90" s="4" t="s">
        <v>693</v>
      </c>
    </row>
    <row r="91">
      <c r="A91" s="4" t="s">
        <v>352</v>
      </c>
      <c r="B91" s="58">
        <v>46108.0</v>
      </c>
      <c r="C91" s="4" t="s">
        <v>415</v>
      </c>
      <c r="D91" s="4" t="s">
        <v>68</v>
      </c>
      <c r="E91" s="4" t="s">
        <v>31</v>
      </c>
      <c r="F91" s="45" t="s">
        <v>35</v>
      </c>
      <c r="G91" s="6" t="s">
        <v>694</v>
      </c>
      <c r="H91" s="4" t="s">
        <v>485</v>
      </c>
      <c r="I91" s="4" t="s">
        <v>416</v>
      </c>
      <c r="J91" s="59">
        <v>913.0</v>
      </c>
      <c r="K91" s="4" t="s">
        <v>697</v>
      </c>
    </row>
    <row r="92">
      <c r="A92" s="4" t="s">
        <v>421</v>
      </c>
      <c r="B92" s="58">
        <v>45985.0</v>
      </c>
      <c r="C92" s="4" t="s">
        <v>197</v>
      </c>
      <c r="D92" s="4" t="s">
        <v>198</v>
      </c>
      <c r="E92" s="4" t="s">
        <v>185</v>
      </c>
      <c r="F92" s="45" t="s">
        <v>280</v>
      </c>
      <c r="G92" s="6" t="s">
        <v>382</v>
      </c>
      <c r="H92" s="4" t="s">
        <v>698</v>
      </c>
      <c r="I92" s="4" t="s">
        <v>348</v>
      </c>
      <c r="J92" s="59">
        <v>836.0</v>
      </c>
      <c r="K92" s="4" t="s">
        <v>699</v>
      </c>
    </row>
    <row r="93">
      <c r="A93" s="4" t="s">
        <v>421</v>
      </c>
      <c r="B93" s="58">
        <v>46113.0</v>
      </c>
      <c r="C93" s="4" t="s">
        <v>157</v>
      </c>
      <c r="D93" s="4" t="s">
        <v>158</v>
      </c>
      <c r="E93" s="4" t="s">
        <v>31</v>
      </c>
      <c r="F93" s="45" t="s">
        <v>35</v>
      </c>
      <c r="G93" s="6" t="s">
        <v>593</v>
      </c>
      <c r="H93" s="4" t="s">
        <v>501</v>
      </c>
      <c r="I93" s="4" t="s">
        <v>348</v>
      </c>
      <c r="J93" s="62"/>
      <c r="K93" s="4" t="s">
        <v>701</v>
      </c>
    </row>
    <row r="94">
      <c r="A94" s="4" t="s">
        <v>352</v>
      </c>
      <c r="B94" s="58">
        <v>46098.0</v>
      </c>
      <c r="C94" s="4" t="s">
        <v>18</v>
      </c>
      <c r="D94" s="4" t="s">
        <v>19</v>
      </c>
      <c r="E94" s="4" t="s">
        <v>31</v>
      </c>
      <c r="F94" s="45" t="s">
        <v>35</v>
      </c>
      <c r="G94" s="6" t="s">
        <v>108</v>
      </c>
      <c r="H94" s="4" t="s">
        <v>599</v>
      </c>
      <c r="I94" s="4" t="s">
        <v>416</v>
      </c>
      <c r="J94" s="59">
        <v>911.0</v>
      </c>
      <c r="K94" s="4" t="s">
        <v>703</v>
      </c>
    </row>
    <row r="95">
      <c r="A95" s="4" t="s">
        <v>352</v>
      </c>
      <c r="B95" s="58">
        <v>46098.0</v>
      </c>
      <c r="C95" s="4" t="s">
        <v>18</v>
      </c>
      <c r="D95" s="4" t="s">
        <v>19</v>
      </c>
      <c r="E95" s="4" t="s">
        <v>31</v>
      </c>
      <c r="F95" s="45" t="s">
        <v>35</v>
      </c>
      <c r="G95" s="6" t="s">
        <v>140</v>
      </c>
      <c r="H95" s="4" t="s">
        <v>599</v>
      </c>
      <c r="I95" s="4" t="s">
        <v>416</v>
      </c>
      <c r="J95" s="59">
        <v>912.0</v>
      </c>
      <c r="K95" s="4" t="s">
        <v>706</v>
      </c>
    </row>
    <row r="96">
      <c r="A96" s="4" t="s">
        <v>421</v>
      </c>
      <c r="B96" s="58">
        <v>46101.0</v>
      </c>
      <c r="C96" s="4" t="s">
        <v>277</v>
      </c>
      <c r="D96" s="4" t="s">
        <v>278</v>
      </c>
      <c r="E96" s="4" t="s">
        <v>31</v>
      </c>
      <c r="F96" s="45" t="s">
        <v>35</v>
      </c>
      <c r="G96" s="6" t="s">
        <v>590</v>
      </c>
      <c r="H96" s="4" t="s">
        <v>485</v>
      </c>
      <c r="I96" s="4" t="s">
        <v>416</v>
      </c>
      <c r="J96" s="59">
        <v>904.0</v>
      </c>
      <c r="K96" s="4" t="s">
        <v>709</v>
      </c>
    </row>
    <row r="97">
      <c r="A97" s="4" t="s">
        <v>352</v>
      </c>
      <c r="B97" s="58">
        <v>46113.0</v>
      </c>
      <c r="C97" s="4" t="s">
        <v>157</v>
      </c>
      <c r="D97" s="4" t="s">
        <v>158</v>
      </c>
      <c r="E97" s="4" t="s">
        <v>31</v>
      </c>
      <c r="F97" s="45" t="s">
        <v>35</v>
      </c>
      <c r="G97" s="6" t="s">
        <v>593</v>
      </c>
      <c r="H97" s="4" t="s">
        <v>626</v>
      </c>
      <c r="I97" s="4" t="s">
        <v>416</v>
      </c>
      <c r="J97" s="62"/>
      <c r="K97" s="4" t="s">
        <v>711</v>
      </c>
    </row>
    <row r="98">
      <c r="A98" s="4" t="s">
        <v>391</v>
      </c>
      <c r="B98" s="58">
        <v>46111.0</v>
      </c>
      <c r="C98" s="4" t="s">
        <v>129</v>
      </c>
      <c r="D98" s="4" t="s">
        <v>130</v>
      </c>
      <c r="E98" s="4" t="s">
        <v>185</v>
      </c>
      <c r="F98" s="45" t="s">
        <v>632</v>
      </c>
      <c r="G98" s="6" t="s">
        <v>633</v>
      </c>
      <c r="H98" s="4" t="s">
        <v>715</v>
      </c>
      <c r="I98" s="4" t="s">
        <v>348</v>
      </c>
      <c r="J98" s="59">
        <v>915.0</v>
      </c>
      <c r="K98" s="4" t="s">
        <v>716</v>
      </c>
    </row>
    <row r="99">
      <c r="A99" s="4" t="s">
        <v>352</v>
      </c>
      <c r="B99" s="58">
        <v>46122.0</v>
      </c>
      <c r="C99" s="4" t="s">
        <v>43</v>
      </c>
      <c r="D99" s="4" t="s">
        <v>44</v>
      </c>
      <c r="E99" s="4" t="s">
        <v>185</v>
      </c>
      <c r="F99" s="45" t="s">
        <v>186</v>
      </c>
      <c r="G99" s="6" t="s">
        <v>627</v>
      </c>
      <c r="H99" s="4" t="s">
        <v>719</v>
      </c>
      <c r="I99" s="4" t="s">
        <v>348</v>
      </c>
      <c r="J99" s="59">
        <v>918.0</v>
      </c>
      <c r="K99" s="4" t="s">
        <v>720</v>
      </c>
    </row>
    <row r="100">
      <c r="A100" s="4" t="s">
        <v>352</v>
      </c>
      <c r="B100" s="58">
        <v>46122.0</v>
      </c>
      <c r="C100" s="4" t="s">
        <v>43</v>
      </c>
      <c r="D100" s="4" t="s">
        <v>44</v>
      </c>
      <c r="E100" s="4" t="s">
        <v>185</v>
      </c>
      <c r="F100" s="45" t="s">
        <v>280</v>
      </c>
      <c r="G100" s="6" t="s">
        <v>636</v>
      </c>
      <c r="H100" s="4" t="s">
        <v>722</v>
      </c>
      <c r="I100" s="4" t="s">
        <v>348</v>
      </c>
      <c r="J100" s="59">
        <v>917.0</v>
      </c>
      <c r="K100" s="4" t="s">
        <v>724</v>
      </c>
    </row>
    <row r="101">
      <c r="A101" s="4" t="s">
        <v>391</v>
      </c>
      <c r="B101" s="58">
        <v>46122.0</v>
      </c>
      <c r="C101" s="4" t="s">
        <v>36</v>
      </c>
      <c r="D101" s="4" t="s">
        <v>37</v>
      </c>
      <c r="E101" s="4" t="s">
        <v>185</v>
      </c>
      <c r="F101" s="45" t="s">
        <v>280</v>
      </c>
      <c r="G101" s="6" t="s">
        <v>536</v>
      </c>
      <c r="H101" s="4" t="s">
        <v>726</v>
      </c>
      <c r="I101" s="4" t="s">
        <v>416</v>
      </c>
      <c r="J101" s="62"/>
    </row>
    <row r="102">
      <c r="A102" s="4" t="s">
        <v>352</v>
      </c>
      <c r="B102" s="58">
        <v>46126.0</v>
      </c>
      <c r="C102" s="4" t="s">
        <v>95</v>
      </c>
      <c r="D102" s="4" t="s">
        <v>96</v>
      </c>
      <c r="E102" s="4" t="s">
        <v>31</v>
      </c>
      <c r="F102" s="45" t="s">
        <v>35</v>
      </c>
      <c r="G102" s="6" t="s">
        <v>671</v>
      </c>
      <c r="H102" s="4" t="s">
        <v>595</v>
      </c>
      <c r="I102" s="4" t="s">
        <v>416</v>
      </c>
      <c r="J102" s="62"/>
    </row>
    <row r="103">
      <c r="A103" s="4" t="s">
        <v>352</v>
      </c>
      <c r="B103" s="58">
        <v>46126.0</v>
      </c>
      <c r="C103" s="4" t="s">
        <v>95</v>
      </c>
      <c r="D103" s="4" t="s">
        <v>96</v>
      </c>
      <c r="E103" s="4" t="s">
        <v>31</v>
      </c>
      <c r="F103" s="45" t="s">
        <v>35</v>
      </c>
      <c r="G103" s="6" t="s">
        <v>672</v>
      </c>
      <c r="H103" s="4" t="s">
        <v>730</v>
      </c>
      <c r="I103" s="4" t="s">
        <v>416</v>
      </c>
      <c r="J103" s="62"/>
    </row>
    <row r="104">
      <c r="A104" s="4" t="s">
        <v>352</v>
      </c>
      <c r="B104" s="58">
        <v>46126.0</v>
      </c>
      <c r="C104" s="4" t="s">
        <v>95</v>
      </c>
      <c r="D104" s="4" t="s">
        <v>96</v>
      </c>
      <c r="E104" s="4" t="s">
        <v>31</v>
      </c>
      <c r="F104" s="45" t="s">
        <v>35</v>
      </c>
      <c r="G104" s="6" t="s">
        <v>677</v>
      </c>
      <c r="H104" s="4" t="s">
        <v>595</v>
      </c>
      <c r="I104" s="4" t="s">
        <v>416</v>
      </c>
      <c r="J104" s="62"/>
    </row>
    <row r="105">
      <c r="A105" s="4" t="s">
        <v>352</v>
      </c>
      <c r="B105" s="58">
        <v>46126.0</v>
      </c>
      <c r="C105" s="4" t="s">
        <v>197</v>
      </c>
      <c r="D105" s="4" t="s">
        <v>198</v>
      </c>
      <c r="E105" s="4" t="s">
        <v>31</v>
      </c>
      <c r="F105" s="45" t="s">
        <v>35</v>
      </c>
      <c r="G105" s="6" t="s">
        <v>690</v>
      </c>
      <c r="H105" s="4" t="s">
        <v>620</v>
      </c>
      <c r="I105" s="4" t="s">
        <v>348</v>
      </c>
      <c r="J105" s="62"/>
    </row>
    <row r="106">
      <c r="A106" s="4" t="s">
        <v>352</v>
      </c>
      <c r="B106" s="58">
        <v>46126.0</v>
      </c>
      <c r="C106" s="4" t="s">
        <v>49</v>
      </c>
      <c r="D106" s="4" t="s">
        <v>50</v>
      </c>
      <c r="E106" s="4" t="s">
        <v>31</v>
      </c>
      <c r="F106" s="45" t="s">
        <v>35</v>
      </c>
      <c r="G106" s="6" t="s">
        <v>547</v>
      </c>
      <c r="H106" s="4" t="s">
        <v>492</v>
      </c>
      <c r="I106" s="4" t="s">
        <v>348</v>
      </c>
      <c r="J106" s="62"/>
    </row>
    <row r="107">
      <c r="A107" s="4" t="s">
        <v>391</v>
      </c>
      <c r="B107" s="58">
        <v>46126.0</v>
      </c>
      <c r="C107" s="4" t="s">
        <v>49</v>
      </c>
      <c r="D107" s="4" t="s">
        <v>50</v>
      </c>
      <c r="E107" s="4" t="s">
        <v>31</v>
      </c>
      <c r="F107" s="45" t="s">
        <v>35</v>
      </c>
      <c r="G107" s="6" t="s">
        <v>504</v>
      </c>
      <c r="H107" s="4" t="s">
        <v>492</v>
      </c>
      <c r="I107" s="4" t="s">
        <v>348</v>
      </c>
      <c r="J107" s="62"/>
    </row>
    <row r="108">
      <c r="A108" s="4" t="s">
        <v>421</v>
      </c>
      <c r="B108" s="58">
        <v>46127.0</v>
      </c>
      <c r="C108" s="4" t="s">
        <v>49</v>
      </c>
      <c r="D108" s="4" t="s">
        <v>50</v>
      </c>
      <c r="E108" s="4" t="s">
        <v>31</v>
      </c>
      <c r="F108" s="45" t="s">
        <v>35</v>
      </c>
      <c r="G108" s="6" t="s">
        <v>498</v>
      </c>
      <c r="H108" s="4" t="s">
        <v>492</v>
      </c>
      <c r="I108" s="4" t="s">
        <v>348</v>
      </c>
      <c r="J108" s="62"/>
    </row>
    <row r="109">
      <c r="A109" s="4" t="s">
        <v>421</v>
      </c>
      <c r="B109" s="58">
        <v>46127.0</v>
      </c>
      <c r="C109" s="4" t="s">
        <v>49</v>
      </c>
      <c r="D109" s="4" t="s">
        <v>50</v>
      </c>
      <c r="E109" s="4" t="s">
        <v>31</v>
      </c>
      <c r="F109" s="45" t="s">
        <v>35</v>
      </c>
      <c r="G109" s="6" t="s">
        <v>504</v>
      </c>
      <c r="H109" s="4" t="s">
        <v>492</v>
      </c>
      <c r="I109" s="4" t="s">
        <v>348</v>
      </c>
      <c r="J109" s="62"/>
    </row>
    <row r="110">
      <c r="A110" s="4" t="s">
        <v>352</v>
      </c>
      <c r="B110" s="58">
        <v>46127.0</v>
      </c>
      <c r="C110" s="4" t="s">
        <v>217</v>
      </c>
      <c r="D110" s="4" t="s">
        <v>218</v>
      </c>
      <c r="E110" s="4" t="s">
        <v>31</v>
      </c>
      <c r="F110" s="45" t="s">
        <v>35</v>
      </c>
      <c r="G110" s="6" t="s">
        <v>666</v>
      </c>
      <c r="H110" s="4" t="s">
        <v>741</v>
      </c>
      <c r="I110" s="4" t="s">
        <v>416</v>
      </c>
      <c r="J110" s="62"/>
      <c r="K110" s="4" t="s">
        <v>742</v>
      </c>
    </row>
    <row r="111">
      <c r="A111" s="4" t="s">
        <v>352</v>
      </c>
      <c r="B111" s="58">
        <v>46128.0</v>
      </c>
      <c r="C111" s="4" t="s">
        <v>23</v>
      </c>
      <c r="D111" s="4" t="s">
        <v>24</v>
      </c>
      <c r="E111" s="4" t="s">
        <v>31</v>
      </c>
      <c r="F111" s="45" t="s">
        <v>324</v>
      </c>
      <c r="G111" s="6" t="s">
        <v>351</v>
      </c>
      <c r="H111" s="4" t="s">
        <v>744</v>
      </c>
      <c r="I111" s="4" t="s">
        <v>416</v>
      </c>
      <c r="J111" s="62"/>
      <c r="K111" s="4" t="s">
        <v>745</v>
      </c>
    </row>
    <row r="112">
      <c r="A112" s="4" t="s">
        <v>352</v>
      </c>
      <c r="B112" s="58">
        <v>46128.0</v>
      </c>
      <c r="C112" s="4" t="s">
        <v>23</v>
      </c>
      <c r="D112" s="4" t="s">
        <v>24</v>
      </c>
      <c r="E112" s="4" t="s">
        <v>31</v>
      </c>
      <c r="F112" s="45" t="s">
        <v>324</v>
      </c>
      <c r="G112" s="6" t="s">
        <v>488</v>
      </c>
      <c r="H112" s="4" t="s">
        <v>747</v>
      </c>
      <c r="I112" s="4" t="s">
        <v>416</v>
      </c>
      <c r="J112" s="62"/>
      <c r="K112" s="4" t="s">
        <v>748</v>
      </c>
    </row>
    <row r="113">
      <c r="A113" s="4" t="s">
        <v>352</v>
      </c>
      <c r="B113" s="58">
        <v>46128.0</v>
      </c>
      <c r="C113" s="4" t="s">
        <v>143</v>
      </c>
      <c r="D113" s="4" t="s">
        <v>144</v>
      </c>
      <c r="E113" s="4" t="s">
        <v>31</v>
      </c>
      <c r="F113" s="45" t="s">
        <v>35</v>
      </c>
      <c r="G113" s="6" t="s">
        <v>680</v>
      </c>
      <c r="H113" s="4" t="s">
        <v>751</v>
      </c>
      <c r="I113" s="4" t="s">
        <v>348</v>
      </c>
      <c r="J113" s="59">
        <v>927.0</v>
      </c>
    </row>
    <row r="114">
      <c r="A114" s="4" t="s">
        <v>421</v>
      </c>
      <c r="B114" s="58">
        <v>46129.0</v>
      </c>
      <c r="C114" s="4" t="s">
        <v>72</v>
      </c>
      <c r="D114" s="4" t="s">
        <v>73</v>
      </c>
      <c r="E114" s="4" t="s">
        <v>31</v>
      </c>
      <c r="F114" s="45" t="s">
        <v>35</v>
      </c>
      <c r="G114" s="6" t="s">
        <v>661</v>
      </c>
      <c r="H114" s="4" t="s">
        <v>753</v>
      </c>
      <c r="I114" s="4" t="s">
        <v>348</v>
      </c>
      <c r="J114" s="62"/>
    </row>
    <row r="115">
      <c r="A115" s="4" t="s">
        <v>421</v>
      </c>
      <c r="B115" s="58">
        <v>46135.0</v>
      </c>
      <c r="C115" s="4" t="s">
        <v>72</v>
      </c>
      <c r="D115" s="4" t="s">
        <v>73</v>
      </c>
      <c r="E115" s="4" t="s">
        <v>31</v>
      </c>
      <c r="F115" s="45" t="s">
        <v>35</v>
      </c>
      <c r="G115" s="6" t="s">
        <v>508</v>
      </c>
      <c r="H115" s="4" t="s">
        <v>755</v>
      </c>
      <c r="I115" s="4" t="s">
        <v>416</v>
      </c>
      <c r="J115" s="62"/>
    </row>
    <row r="116">
      <c r="A116" s="4" t="s">
        <v>421</v>
      </c>
      <c r="B116" s="58">
        <v>46139.0</v>
      </c>
      <c r="C116" s="4" t="s">
        <v>18</v>
      </c>
      <c r="D116" s="4" t="s">
        <v>19</v>
      </c>
      <c r="E116" s="4" t="s">
        <v>185</v>
      </c>
      <c r="F116" s="45" t="s">
        <v>186</v>
      </c>
      <c r="G116" s="6" t="s">
        <v>223</v>
      </c>
      <c r="H116" s="4" t="s">
        <v>676</v>
      </c>
      <c r="I116" s="4" t="s">
        <v>348</v>
      </c>
      <c r="J116" s="62"/>
    </row>
    <row r="117">
      <c r="A117" s="4" t="s">
        <v>421</v>
      </c>
      <c r="B117" s="58">
        <v>46139.0</v>
      </c>
      <c r="C117" s="4" t="s">
        <v>18</v>
      </c>
      <c r="D117" s="4" t="s">
        <v>19</v>
      </c>
      <c r="E117" s="4" t="s">
        <v>185</v>
      </c>
      <c r="F117" s="45" t="s">
        <v>285</v>
      </c>
      <c r="G117" s="6" t="s">
        <v>289</v>
      </c>
      <c r="H117" s="4" t="s">
        <v>514</v>
      </c>
      <c r="I117" s="4" t="s">
        <v>348</v>
      </c>
      <c r="J117" s="62"/>
    </row>
    <row r="118">
      <c r="A118" s="4" t="s">
        <v>352</v>
      </c>
      <c r="B118" s="58">
        <v>46139.0</v>
      </c>
      <c r="C118" s="4" t="s">
        <v>43</v>
      </c>
      <c r="D118" s="4" t="s">
        <v>44</v>
      </c>
      <c r="E118" s="4" t="s">
        <v>185</v>
      </c>
      <c r="F118" s="45" t="s">
        <v>280</v>
      </c>
      <c r="G118" s="6" t="s">
        <v>687</v>
      </c>
      <c r="H118" s="4" t="s">
        <v>759</v>
      </c>
      <c r="I118" s="4" t="s">
        <v>348</v>
      </c>
      <c r="J118" s="62"/>
      <c r="K118" s="4" t="s">
        <v>760</v>
      </c>
    </row>
    <row r="119">
      <c r="A119" s="4" t="s">
        <v>352</v>
      </c>
      <c r="B119" s="58">
        <v>46140.0</v>
      </c>
      <c r="C119" s="4" t="s">
        <v>43</v>
      </c>
      <c r="D119" s="4" t="s">
        <v>44</v>
      </c>
      <c r="E119" s="4" t="s">
        <v>185</v>
      </c>
      <c r="F119" s="45" t="s">
        <v>280</v>
      </c>
      <c r="G119" s="6" t="s">
        <v>655</v>
      </c>
      <c r="H119" s="4" t="s">
        <v>759</v>
      </c>
      <c r="I119" s="4" t="s">
        <v>348</v>
      </c>
      <c r="J119" s="62"/>
      <c r="K119" s="4" t="s">
        <v>761</v>
      </c>
    </row>
    <row r="120">
      <c r="A120" s="4" t="s">
        <v>352</v>
      </c>
      <c r="B120" s="58">
        <v>46140.0</v>
      </c>
      <c r="C120" s="4" t="s">
        <v>43</v>
      </c>
      <c r="D120" s="4" t="s">
        <v>44</v>
      </c>
      <c r="E120" s="4" t="s">
        <v>185</v>
      </c>
      <c r="F120" s="45" t="s">
        <v>280</v>
      </c>
      <c r="G120" s="6" t="s">
        <v>657</v>
      </c>
      <c r="H120" s="4" t="s">
        <v>759</v>
      </c>
      <c r="I120" s="4" t="s">
        <v>348</v>
      </c>
      <c r="J120" s="62"/>
      <c r="K120" s="4" t="s">
        <v>761</v>
      </c>
    </row>
    <row r="121">
      <c r="A121" s="4" t="s">
        <v>352</v>
      </c>
      <c r="B121" s="58">
        <v>46140.0</v>
      </c>
      <c r="C121" s="4" t="s">
        <v>43</v>
      </c>
      <c r="D121" s="4" t="s">
        <v>44</v>
      </c>
      <c r="E121" s="4" t="s">
        <v>185</v>
      </c>
      <c r="F121" s="45" t="s">
        <v>280</v>
      </c>
      <c r="G121" s="6" t="s">
        <v>685</v>
      </c>
      <c r="H121" s="4" t="s">
        <v>759</v>
      </c>
      <c r="I121" s="4" t="s">
        <v>348</v>
      </c>
      <c r="J121" s="62"/>
      <c r="K121" s="4" t="s">
        <v>761</v>
      </c>
    </row>
    <row r="122">
      <c r="A122" s="4" t="s">
        <v>352</v>
      </c>
      <c r="B122" s="58">
        <v>46141.0</v>
      </c>
      <c r="C122" s="4" t="s">
        <v>23</v>
      </c>
      <c r="D122" s="4" t="s">
        <v>24</v>
      </c>
      <c r="E122" s="4" t="s">
        <v>31</v>
      </c>
      <c r="F122" s="45" t="s">
        <v>324</v>
      </c>
      <c r="G122" s="6" t="s">
        <v>497</v>
      </c>
      <c r="H122" s="4" t="s">
        <v>741</v>
      </c>
      <c r="I122" s="4" t="s">
        <v>416</v>
      </c>
      <c r="J122" s="59">
        <v>937.0</v>
      </c>
    </row>
    <row r="123">
      <c r="A123" s="4" t="s">
        <v>352</v>
      </c>
      <c r="B123" s="58">
        <v>46142.0</v>
      </c>
      <c r="C123" s="4" t="s">
        <v>43</v>
      </c>
      <c r="D123" s="4" t="s">
        <v>44</v>
      </c>
      <c r="E123" s="4" t="s">
        <v>185</v>
      </c>
      <c r="F123" s="45" t="s">
        <v>186</v>
      </c>
      <c r="G123" s="6" t="s">
        <v>664</v>
      </c>
      <c r="H123" s="4" t="s">
        <v>676</v>
      </c>
      <c r="I123" s="4" t="s">
        <v>348</v>
      </c>
      <c r="J123" s="62"/>
      <c r="K123" s="4" t="s">
        <v>762</v>
      </c>
    </row>
    <row r="124">
      <c r="A124" s="4" t="s">
        <v>352</v>
      </c>
      <c r="B124" s="58">
        <v>46142.0</v>
      </c>
      <c r="C124" s="4" t="s">
        <v>43</v>
      </c>
      <c r="D124" s="4" t="s">
        <v>44</v>
      </c>
      <c r="E124" s="4" t="s">
        <v>185</v>
      </c>
      <c r="F124" s="45" t="s">
        <v>267</v>
      </c>
      <c r="G124" s="6" t="s">
        <v>598</v>
      </c>
      <c r="H124" s="4" t="s">
        <v>676</v>
      </c>
      <c r="I124" s="4" t="s">
        <v>348</v>
      </c>
      <c r="J124" s="62"/>
      <c r="K124" s="4" t="s">
        <v>763</v>
      </c>
    </row>
    <row r="125">
      <c r="A125" s="4" t="s">
        <v>352</v>
      </c>
      <c r="B125" s="58">
        <v>46142.0</v>
      </c>
      <c r="C125" s="4" t="s">
        <v>43</v>
      </c>
      <c r="D125" s="4" t="s">
        <v>44</v>
      </c>
      <c r="E125" s="4" t="s">
        <v>185</v>
      </c>
      <c r="F125" s="45" t="s">
        <v>186</v>
      </c>
      <c r="G125" s="6" t="s">
        <v>696</v>
      </c>
      <c r="H125" s="4" t="s">
        <v>676</v>
      </c>
      <c r="I125" s="4" t="s">
        <v>348</v>
      </c>
      <c r="J125" s="62"/>
    </row>
    <row r="126">
      <c r="A126" s="4" t="s">
        <v>352</v>
      </c>
      <c r="B126" s="58">
        <v>46142.0</v>
      </c>
      <c r="C126" s="4" t="s">
        <v>43</v>
      </c>
      <c r="D126" s="4" t="s">
        <v>44</v>
      </c>
      <c r="E126" s="4" t="s">
        <v>185</v>
      </c>
      <c r="F126" s="45" t="s">
        <v>186</v>
      </c>
      <c r="G126" s="6" t="s">
        <v>645</v>
      </c>
      <c r="H126" s="4" t="s">
        <v>676</v>
      </c>
      <c r="I126" s="4" t="s">
        <v>348</v>
      </c>
      <c r="J126" s="62"/>
      <c r="K126" s="4" t="s">
        <v>764</v>
      </c>
    </row>
    <row r="127">
      <c r="A127" s="4" t="s">
        <v>352</v>
      </c>
      <c r="B127" s="58">
        <v>46142.0</v>
      </c>
      <c r="C127" s="4" t="s">
        <v>43</v>
      </c>
      <c r="D127" s="4" t="s">
        <v>44</v>
      </c>
      <c r="E127" s="4" t="s">
        <v>185</v>
      </c>
      <c r="F127" s="45" t="s">
        <v>267</v>
      </c>
      <c r="G127" s="6" t="s">
        <v>614</v>
      </c>
      <c r="H127" s="4" t="s">
        <v>676</v>
      </c>
      <c r="I127" s="4" t="s">
        <v>348</v>
      </c>
      <c r="J127" s="59">
        <v>946.0</v>
      </c>
      <c r="K127" s="4" t="s">
        <v>764</v>
      </c>
    </row>
    <row r="128">
      <c r="A128" s="4" t="s">
        <v>386</v>
      </c>
      <c r="B128" s="58">
        <v>46142.0</v>
      </c>
      <c r="C128" s="4" t="s">
        <v>18</v>
      </c>
      <c r="E128" s="4" t="s">
        <v>185</v>
      </c>
      <c r="F128" s="45" t="s">
        <v>186</v>
      </c>
      <c r="G128" s="6" t="s">
        <v>245</v>
      </c>
      <c r="H128" s="4" t="s">
        <v>722</v>
      </c>
      <c r="I128" s="4" t="s">
        <v>348</v>
      </c>
      <c r="J128" s="59">
        <v>938.0</v>
      </c>
      <c r="K128" s="4" t="s">
        <v>766</v>
      </c>
    </row>
    <row r="129">
      <c r="A129" s="4" t="s">
        <v>352</v>
      </c>
      <c r="B129" s="58">
        <v>46146.0</v>
      </c>
      <c r="C129" s="4" t="s">
        <v>767</v>
      </c>
      <c r="E129" s="4" t="s">
        <v>185</v>
      </c>
      <c r="F129" s="45" t="s">
        <v>615</v>
      </c>
      <c r="G129" s="6" t="s">
        <v>769</v>
      </c>
      <c r="H129" s="4" t="s">
        <v>479</v>
      </c>
      <c r="I129" s="4" t="s">
        <v>348</v>
      </c>
      <c r="J129" s="62"/>
    </row>
    <row r="130">
      <c r="A130" s="4" t="s">
        <v>386</v>
      </c>
      <c r="B130" s="58">
        <v>46146.0</v>
      </c>
      <c r="C130" s="4" t="s">
        <v>184</v>
      </c>
      <c r="D130" s="4" t="s">
        <v>187</v>
      </c>
      <c r="E130" s="4" t="s">
        <v>31</v>
      </c>
      <c r="F130" s="45" t="s">
        <v>182</v>
      </c>
      <c r="G130" s="6">
        <v>2.8024038E7</v>
      </c>
      <c r="H130" s="4" t="s">
        <v>603</v>
      </c>
      <c r="I130" s="4" t="s">
        <v>604</v>
      </c>
      <c r="J130" s="59">
        <v>942.0</v>
      </c>
      <c r="K130" s="4" t="s">
        <v>770</v>
      </c>
    </row>
    <row r="131">
      <c r="A131" s="4" t="s">
        <v>391</v>
      </c>
      <c r="B131" s="58">
        <v>46154.0</v>
      </c>
      <c r="C131" s="4" t="s">
        <v>43</v>
      </c>
      <c r="D131" s="4" t="s">
        <v>44</v>
      </c>
      <c r="E131" s="4" t="s">
        <v>185</v>
      </c>
      <c r="F131" s="45" t="s">
        <v>186</v>
      </c>
      <c r="G131" s="6" t="s">
        <v>645</v>
      </c>
      <c r="H131" s="4" t="s">
        <v>514</v>
      </c>
      <c r="I131" s="4" t="s">
        <v>348</v>
      </c>
      <c r="J131" s="62"/>
    </row>
    <row r="132">
      <c r="A132" s="4" t="s">
        <v>421</v>
      </c>
      <c r="B132" s="58">
        <v>46155.0</v>
      </c>
      <c r="C132" s="4" t="s">
        <v>100</v>
      </c>
      <c r="D132" s="4" t="s">
        <v>102</v>
      </c>
      <c r="E132" s="4" t="s">
        <v>31</v>
      </c>
      <c r="F132" s="45" t="s">
        <v>35</v>
      </c>
      <c r="G132" s="6" t="s">
        <v>707</v>
      </c>
      <c r="H132" s="4" t="s">
        <v>555</v>
      </c>
      <c r="I132" s="4" t="s">
        <v>416</v>
      </c>
      <c r="J132" s="62"/>
      <c r="K132" s="4" t="s">
        <v>773</v>
      </c>
    </row>
    <row r="133">
      <c r="A133" s="4" t="s">
        <v>352</v>
      </c>
      <c r="B133" s="58">
        <v>46156.0</v>
      </c>
      <c r="C133" s="4" t="s">
        <v>157</v>
      </c>
      <c r="D133" s="4" t="s">
        <v>158</v>
      </c>
      <c r="E133" s="4" t="s">
        <v>31</v>
      </c>
      <c r="F133" s="45" t="s">
        <v>35</v>
      </c>
      <c r="G133" s="6" t="s">
        <v>537</v>
      </c>
      <c r="H133" s="4" t="s">
        <v>626</v>
      </c>
      <c r="I133" s="4" t="s">
        <v>348</v>
      </c>
      <c r="J133" s="62"/>
      <c r="K133" s="4" t="s">
        <v>775</v>
      </c>
    </row>
    <row r="134">
      <c r="A134" s="4" t="s">
        <v>352</v>
      </c>
      <c r="B134" s="58">
        <v>46175.0</v>
      </c>
      <c r="C134" s="4" t="s">
        <v>72</v>
      </c>
      <c r="D134" s="4" t="s">
        <v>73</v>
      </c>
      <c r="E134" s="4" t="s">
        <v>31</v>
      </c>
      <c r="F134" s="45" t="s">
        <v>35</v>
      </c>
      <c r="G134" s="6" t="s">
        <v>489</v>
      </c>
      <c r="H134" s="4" t="s">
        <v>776</v>
      </c>
      <c r="I134" s="4" t="s">
        <v>348</v>
      </c>
      <c r="J134" s="62"/>
      <c r="K134" s="4" t="s">
        <v>777</v>
      </c>
    </row>
    <row r="135">
      <c r="A135" s="4" t="s">
        <v>421</v>
      </c>
      <c r="B135" s="58">
        <v>46176.0</v>
      </c>
      <c r="C135" s="4" t="s">
        <v>265</v>
      </c>
      <c r="D135" s="4" t="s">
        <v>266</v>
      </c>
      <c r="E135" s="4" t="s">
        <v>31</v>
      </c>
      <c r="F135" s="45" t="s">
        <v>35</v>
      </c>
      <c r="G135" s="6" t="s">
        <v>780</v>
      </c>
      <c r="H135" s="4" t="s">
        <v>753</v>
      </c>
      <c r="I135" s="4" t="s">
        <v>416</v>
      </c>
      <c r="J135" s="62"/>
    </row>
    <row r="136">
      <c r="A136" s="4" t="s">
        <v>421</v>
      </c>
      <c r="B136" s="58">
        <v>46176.0</v>
      </c>
      <c r="C136" s="4" t="s">
        <v>265</v>
      </c>
      <c r="D136" s="4" t="s">
        <v>266</v>
      </c>
      <c r="E136" s="4" t="s">
        <v>31</v>
      </c>
      <c r="F136" s="45" t="s">
        <v>35</v>
      </c>
      <c r="G136" s="6" t="s">
        <v>781</v>
      </c>
      <c r="H136" s="4" t="s">
        <v>753</v>
      </c>
      <c r="I136" s="4" t="s">
        <v>416</v>
      </c>
      <c r="J136" s="62"/>
    </row>
    <row r="137">
      <c r="A137" s="4" t="s">
        <v>352</v>
      </c>
      <c r="B137" s="58">
        <v>46185.0</v>
      </c>
      <c r="C137" s="4" t="s">
        <v>157</v>
      </c>
      <c r="D137" s="4" t="s">
        <v>158</v>
      </c>
      <c r="E137" s="4" t="s">
        <v>31</v>
      </c>
      <c r="F137" s="45" t="s">
        <v>35</v>
      </c>
      <c r="G137" s="6" t="s">
        <v>734</v>
      </c>
      <c r="H137" s="4" t="s">
        <v>784</v>
      </c>
      <c r="I137" s="4" t="s">
        <v>416</v>
      </c>
      <c r="J137" s="59">
        <v>957.0</v>
      </c>
      <c r="K137" s="4" t="s">
        <v>785</v>
      </c>
    </row>
    <row r="138">
      <c r="A138" s="4" t="s">
        <v>391</v>
      </c>
      <c r="B138" s="58">
        <v>46189.0</v>
      </c>
      <c r="C138" s="4" t="s">
        <v>23</v>
      </c>
      <c r="D138" s="4" t="s">
        <v>24</v>
      </c>
      <c r="E138" s="4" t="s">
        <v>31</v>
      </c>
      <c r="F138" s="45" t="s">
        <v>324</v>
      </c>
      <c r="G138" s="6" t="s">
        <v>385</v>
      </c>
      <c r="H138" s="4" t="s">
        <v>741</v>
      </c>
      <c r="I138" s="4" t="s">
        <v>348</v>
      </c>
      <c r="J138" s="62"/>
    </row>
    <row r="139">
      <c r="A139" s="4" t="s">
        <v>391</v>
      </c>
      <c r="B139" s="58">
        <v>46189.0</v>
      </c>
      <c r="C139" s="4" t="s">
        <v>23</v>
      </c>
      <c r="D139" s="4" t="s">
        <v>24</v>
      </c>
      <c r="E139" s="4" t="s">
        <v>31</v>
      </c>
      <c r="F139" s="45" t="s">
        <v>324</v>
      </c>
      <c r="G139" s="6" t="s">
        <v>340</v>
      </c>
      <c r="H139" s="4" t="s">
        <v>788</v>
      </c>
      <c r="I139" s="4" t="s">
        <v>348</v>
      </c>
      <c r="J139" s="62"/>
    </row>
    <row r="140">
      <c r="A140" s="4" t="s">
        <v>352</v>
      </c>
      <c r="B140" s="58">
        <v>46192.0</v>
      </c>
      <c r="C140" s="4" t="s">
        <v>43</v>
      </c>
      <c r="D140" s="4" t="s">
        <v>44</v>
      </c>
      <c r="E140" s="4" t="s">
        <v>185</v>
      </c>
      <c r="F140" s="45" t="s">
        <v>186</v>
      </c>
      <c r="G140" s="6" t="s">
        <v>683</v>
      </c>
      <c r="H140" s="4" t="s">
        <v>789</v>
      </c>
      <c r="I140" s="4" t="s">
        <v>348</v>
      </c>
      <c r="J140" s="59">
        <v>961.0</v>
      </c>
      <c r="K140" s="4" t="s">
        <v>792</v>
      </c>
    </row>
    <row r="141">
      <c r="A141" s="4" t="s">
        <v>352</v>
      </c>
      <c r="B141" s="58">
        <v>46197.0</v>
      </c>
      <c r="C141" s="4" t="s">
        <v>23</v>
      </c>
      <c r="D141" s="4" t="s">
        <v>24</v>
      </c>
      <c r="E141" s="4" t="s">
        <v>31</v>
      </c>
      <c r="F141" s="45" t="s">
        <v>324</v>
      </c>
      <c r="G141" s="6" t="s">
        <v>497</v>
      </c>
      <c r="H141" s="4" t="s">
        <v>793</v>
      </c>
      <c r="I141" s="4" t="s">
        <v>794</v>
      </c>
      <c r="J141" s="62"/>
      <c r="K141" s="4" t="s">
        <v>795</v>
      </c>
    </row>
    <row r="142">
      <c r="A142" s="4" t="s">
        <v>352</v>
      </c>
      <c r="B142" s="58">
        <v>46197.0</v>
      </c>
      <c r="C142" s="4" t="s">
        <v>23</v>
      </c>
      <c r="D142" s="4" t="s">
        <v>24</v>
      </c>
      <c r="E142" s="4" t="s">
        <v>31</v>
      </c>
      <c r="F142" s="45" t="s">
        <v>324</v>
      </c>
      <c r="G142" s="6" t="s">
        <v>407</v>
      </c>
      <c r="H142" s="4" t="s">
        <v>793</v>
      </c>
      <c r="I142" s="4" t="s">
        <v>416</v>
      </c>
      <c r="J142" s="62"/>
      <c r="K142" s="4" t="s">
        <v>798</v>
      </c>
    </row>
    <row r="143">
      <c r="A143" s="4" t="s">
        <v>421</v>
      </c>
      <c r="B143" s="58">
        <v>46205.0</v>
      </c>
      <c r="C143" s="4" t="s">
        <v>100</v>
      </c>
      <c r="D143" s="4" t="s">
        <v>102</v>
      </c>
      <c r="E143" s="4" t="s">
        <v>185</v>
      </c>
      <c r="F143" s="45" t="s">
        <v>280</v>
      </c>
      <c r="G143" s="6" t="s">
        <v>737</v>
      </c>
      <c r="H143" s="4" t="s">
        <v>507</v>
      </c>
      <c r="I143" s="4" t="s">
        <v>348</v>
      </c>
      <c r="J143" s="62"/>
      <c r="K143" s="4" t="s">
        <v>799</v>
      </c>
    </row>
    <row r="144">
      <c r="A144" s="4" t="s">
        <v>421</v>
      </c>
      <c r="B144" s="58">
        <v>46205.0</v>
      </c>
      <c r="C144" s="4" t="s">
        <v>100</v>
      </c>
      <c r="D144" s="4" t="s">
        <v>102</v>
      </c>
      <c r="E144" s="4" t="s">
        <v>294</v>
      </c>
      <c r="F144" s="45">
        <v>6103.0</v>
      </c>
      <c r="G144" s="6">
        <v>10881.0</v>
      </c>
      <c r="H144" s="4" t="s">
        <v>801</v>
      </c>
      <c r="I144" s="4" t="s">
        <v>348</v>
      </c>
      <c r="J144" s="62"/>
      <c r="K144" s="4" t="s">
        <v>802</v>
      </c>
    </row>
    <row r="145">
      <c r="A145" s="4" t="s">
        <v>391</v>
      </c>
      <c r="B145" s="58">
        <v>46217.0</v>
      </c>
      <c r="C145" s="4" t="s">
        <v>23</v>
      </c>
      <c r="D145" s="4" t="s">
        <v>24</v>
      </c>
      <c r="E145" s="4" t="s">
        <v>31</v>
      </c>
      <c r="F145" s="45" t="s">
        <v>324</v>
      </c>
      <c r="G145" s="6" t="s">
        <v>488</v>
      </c>
      <c r="H145" s="4" t="s">
        <v>803</v>
      </c>
      <c r="I145" s="4" t="s">
        <v>348</v>
      </c>
      <c r="J145" s="62"/>
      <c r="K145" s="4" t="s">
        <v>805</v>
      </c>
    </row>
    <row r="146">
      <c r="A146" s="4" t="s">
        <v>421</v>
      </c>
      <c r="B146" s="58">
        <v>46219.0</v>
      </c>
      <c r="C146" s="4" t="s">
        <v>23</v>
      </c>
      <c r="D146" s="4" t="s">
        <v>24</v>
      </c>
      <c r="E146" s="4" t="s">
        <v>31</v>
      </c>
      <c r="F146" s="45" t="s">
        <v>324</v>
      </c>
      <c r="G146" s="6" t="s">
        <v>325</v>
      </c>
      <c r="H146" s="4" t="s">
        <v>793</v>
      </c>
      <c r="I146" s="4" t="s">
        <v>348</v>
      </c>
      <c r="J146" s="62"/>
      <c r="K146" s="4" t="s">
        <v>806</v>
      </c>
    </row>
    <row r="147">
      <c r="A147" s="4" t="s">
        <v>352</v>
      </c>
      <c r="B147" s="58">
        <v>46219.0</v>
      </c>
      <c r="C147" s="4" t="s">
        <v>177</v>
      </c>
      <c r="D147" s="4" t="s">
        <v>178</v>
      </c>
      <c r="E147" s="4" t="s">
        <v>185</v>
      </c>
      <c r="F147" s="45" t="s">
        <v>186</v>
      </c>
      <c r="G147" s="6" t="s">
        <v>749</v>
      </c>
      <c r="H147" s="4" t="s">
        <v>807</v>
      </c>
      <c r="I147" s="4" t="s">
        <v>348</v>
      </c>
      <c r="J147" s="62"/>
      <c r="K147" s="4" t="s">
        <v>808</v>
      </c>
    </row>
    <row r="148">
      <c r="A148" s="4" t="s">
        <v>352</v>
      </c>
      <c r="B148" s="58">
        <v>46227.0</v>
      </c>
      <c r="C148" s="4" t="s">
        <v>9</v>
      </c>
      <c r="D148" s="4" t="s">
        <v>10</v>
      </c>
      <c r="E148" s="4" t="s">
        <v>31</v>
      </c>
      <c r="F148" s="45" t="s">
        <v>35</v>
      </c>
      <c r="G148" s="6" t="s">
        <v>56</v>
      </c>
      <c r="H148" s="4" t="s">
        <v>809</v>
      </c>
      <c r="I148" s="4" t="s">
        <v>348</v>
      </c>
      <c r="J148" s="62"/>
      <c r="K148" s="4" t="s">
        <v>810</v>
      </c>
    </row>
    <row r="149">
      <c r="A149" s="4" t="s">
        <v>352</v>
      </c>
      <c r="B149" s="58">
        <v>46225.0</v>
      </c>
      <c r="C149" s="4" t="s">
        <v>811</v>
      </c>
      <c r="D149" s="4" t="s">
        <v>198</v>
      </c>
      <c r="E149" s="4" t="s">
        <v>31</v>
      </c>
      <c r="F149" s="45" t="s">
        <v>324</v>
      </c>
      <c r="G149" s="6" t="s">
        <v>813</v>
      </c>
      <c r="H149" s="4" t="s">
        <v>620</v>
      </c>
      <c r="I149" s="4" t="s">
        <v>348</v>
      </c>
      <c r="J149" s="59">
        <v>968.0</v>
      </c>
      <c r="K149" s="4" t="s">
        <v>814</v>
      </c>
    </row>
    <row r="150">
      <c r="A150" s="4" t="s">
        <v>421</v>
      </c>
      <c r="B150" s="58">
        <v>46227.0</v>
      </c>
      <c r="C150" s="4" t="s">
        <v>415</v>
      </c>
      <c r="D150" s="4" t="s">
        <v>68</v>
      </c>
      <c r="E150" s="4" t="s">
        <v>31</v>
      </c>
      <c r="F150" s="45" t="s">
        <v>35</v>
      </c>
      <c r="G150" s="6" t="s">
        <v>804</v>
      </c>
      <c r="H150" s="4" t="s">
        <v>485</v>
      </c>
      <c r="I150" s="4" t="s">
        <v>416</v>
      </c>
      <c r="J150" s="59">
        <v>971.0</v>
      </c>
      <c r="K150" s="4" t="s">
        <v>815</v>
      </c>
    </row>
    <row r="151">
      <c r="B151" s="58"/>
      <c r="F151" s="45"/>
      <c r="G151" s="6"/>
      <c r="J151" s="59"/>
    </row>
    <row r="152">
      <c r="B152" s="58"/>
      <c r="F152" s="45"/>
      <c r="G152" s="6"/>
      <c r="J152" s="59"/>
    </row>
    <row r="153">
      <c r="B153" s="58"/>
      <c r="F153" s="45"/>
      <c r="G153" s="6"/>
      <c r="J153" s="59"/>
    </row>
    <row r="154">
      <c r="B154" s="58"/>
      <c r="F154" s="45"/>
      <c r="G154" s="6"/>
      <c r="J154" s="59"/>
    </row>
    <row r="155">
      <c r="B155" s="58"/>
      <c r="F155" s="45"/>
      <c r="G155" s="6"/>
      <c r="J155" s="59"/>
    </row>
    <row r="156">
      <c r="B156" s="58"/>
      <c r="F156" s="45"/>
      <c r="G156" s="6"/>
      <c r="J156" s="59"/>
    </row>
    <row r="157">
      <c r="B157" s="58"/>
      <c r="F157" s="45"/>
      <c r="G157" s="6"/>
      <c r="J157" s="59"/>
    </row>
    <row r="158">
      <c r="B158" s="64"/>
      <c r="F158" s="63"/>
      <c r="G158" s="65"/>
      <c r="J158" s="62"/>
    </row>
    <row r="159">
      <c r="B159" s="64"/>
      <c r="F159" s="63"/>
      <c r="G159" s="65"/>
      <c r="J159" s="62"/>
    </row>
    <row r="160">
      <c r="B160" s="64"/>
      <c r="F160" s="63"/>
      <c r="G160" s="65"/>
      <c r="J160" s="62"/>
    </row>
    <row r="161">
      <c r="B161" s="64"/>
      <c r="F161" s="63"/>
      <c r="G161" s="65"/>
      <c r="J161" s="62"/>
    </row>
    <row r="162">
      <c r="B162" s="64"/>
      <c r="F162" s="63"/>
      <c r="G162" s="65"/>
      <c r="J162" s="62"/>
    </row>
    <row r="163">
      <c r="B163" s="64"/>
      <c r="F163" s="63"/>
      <c r="G163" s="65"/>
      <c r="J163" s="62"/>
    </row>
    <row r="164">
      <c r="B164" s="64"/>
      <c r="F164" s="63"/>
      <c r="G164" s="65"/>
      <c r="J164" s="62"/>
    </row>
    <row r="165">
      <c r="B165" s="64"/>
      <c r="F165" s="63"/>
      <c r="G165" s="65"/>
      <c r="J165" s="62"/>
    </row>
    <row r="166">
      <c r="B166" s="64"/>
      <c r="F166" s="63"/>
      <c r="G166" s="65"/>
      <c r="J166" s="62"/>
    </row>
    <row r="167">
      <c r="B167" s="64"/>
      <c r="F167" s="63"/>
      <c r="G167" s="65"/>
      <c r="J167" s="62"/>
    </row>
    <row r="168">
      <c r="B168" s="64"/>
      <c r="F168" s="63"/>
      <c r="G168" s="65"/>
      <c r="J168" s="62"/>
    </row>
    <row r="169">
      <c r="B169" s="64"/>
      <c r="F169" s="63"/>
      <c r="G169" s="65"/>
      <c r="J169" s="62"/>
    </row>
    <row r="170">
      <c r="B170" s="64"/>
      <c r="F170" s="63"/>
      <c r="G170" s="65"/>
      <c r="J170" s="62"/>
    </row>
    <row r="171">
      <c r="B171" s="64"/>
      <c r="F171" s="63"/>
      <c r="G171" s="65"/>
      <c r="J171" s="62"/>
    </row>
    <row r="172">
      <c r="B172" s="64"/>
      <c r="F172" s="63"/>
      <c r="G172" s="65"/>
      <c r="J172" s="62"/>
    </row>
    <row r="173">
      <c r="B173" s="64"/>
      <c r="F173" s="63"/>
      <c r="G173" s="65"/>
      <c r="J173" s="62"/>
    </row>
    <row r="174">
      <c r="B174" s="64"/>
      <c r="F174" s="63"/>
      <c r="G174" s="65"/>
      <c r="J174" s="62"/>
    </row>
    <row r="175">
      <c r="B175" s="64"/>
      <c r="F175" s="63"/>
      <c r="G175" s="65"/>
      <c r="J175" s="62"/>
    </row>
    <row r="176">
      <c r="B176" s="64"/>
      <c r="F176" s="63"/>
      <c r="G176" s="65"/>
      <c r="J176" s="62"/>
    </row>
    <row r="177">
      <c r="B177" s="64"/>
      <c r="F177" s="63"/>
      <c r="G177" s="65"/>
      <c r="J177" s="62"/>
    </row>
    <row r="178">
      <c r="B178" s="64"/>
      <c r="F178" s="63"/>
      <c r="G178" s="65"/>
      <c r="J178" s="62"/>
    </row>
    <row r="179">
      <c r="B179" s="64"/>
      <c r="F179" s="63"/>
      <c r="G179" s="65"/>
      <c r="J179" s="62"/>
    </row>
    <row r="180">
      <c r="B180" s="64"/>
      <c r="F180" s="63"/>
      <c r="G180" s="65"/>
      <c r="J180" s="62"/>
    </row>
    <row r="181">
      <c r="B181" s="64"/>
      <c r="F181" s="63"/>
      <c r="G181" s="65"/>
      <c r="J181" s="62"/>
    </row>
    <row r="182">
      <c r="B182" s="64"/>
      <c r="F182" s="63"/>
      <c r="G182" s="65"/>
      <c r="J182" s="62"/>
    </row>
    <row r="183">
      <c r="B183" s="64"/>
      <c r="F183" s="63"/>
      <c r="G183" s="65"/>
      <c r="J183" s="62"/>
    </row>
    <row r="184">
      <c r="B184" s="64"/>
      <c r="F184" s="63"/>
      <c r="G184" s="65"/>
      <c r="J184" s="62"/>
    </row>
    <row r="185">
      <c r="B185" s="64"/>
      <c r="F185" s="63"/>
      <c r="G185" s="65"/>
      <c r="J185" s="62"/>
    </row>
    <row r="186">
      <c r="B186" s="64"/>
      <c r="F186" s="63"/>
      <c r="G186" s="65"/>
      <c r="J186" s="62"/>
    </row>
    <row r="187">
      <c r="B187" s="64"/>
      <c r="F187" s="63"/>
      <c r="G187" s="65"/>
      <c r="J187" s="62"/>
    </row>
    <row r="188">
      <c r="B188" s="64"/>
      <c r="F188" s="63"/>
      <c r="G188" s="65"/>
      <c r="J188" s="62"/>
    </row>
    <row r="189">
      <c r="B189" s="64"/>
      <c r="F189" s="63"/>
      <c r="G189" s="65"/>
      <c r="J189" s="62"/>
    </row>
    <row r="190">
      <c r="B190" s="64"/>
      <c r="F190" s="63"/>
      <c r="G190" s="65"/>
      <c r="J190" s="62"/>
    </row>
    <row r="191">
      <c r="B191" s="64"/>
      <c r="F191" s="63"/>
      <c r="G191" s="65"/>
      <c r="J191" s="62"/>
    </row>
    <row r="192">
      <c r="B192" s="64"/>
      <c r="F192" s="63"/>
      <c r="G192" s="65"/>
      <c r="J192" s="62"/>
    </row>
    <row r="193">
      <c r="B193" s="64"/>
      <c r="F193" s="63"/>
      <c r="G193" s="65"/>
      <c r="J193" s="62"/>
    </row>
    <row r="194">
      <c r="B194" s="64"/>
      <c r="F194" s="63"/>
      <c r="G194" s="65"/>
      <c r="J194" s="62"/>
    </row>
    <row r="195">
      <c r="B195" s="64"/>
      <c r="F195" s="63"/>
      <c r="G195" s="65"/>
      <c r="J195" s="62"/>
    </row>
    <row r="196">
      <c r="B196" s="64"/>
      <c r="F196" s="63"/>
      <c r="G196" s="65"/>
      <c r="J196" s="62"/>
    </row>
    <row r="197">
      <c r="B197" s="64"/>
      <c r="F197" s="63"/>
      <c r="G197" s="65"/>
      <c r="J197" s="62"/>
    </row>
    <row r="198">
      <c r="B198" s="64"/>
      <c r="F198" s="63"/>
      <c r="G198" s="65"/>
      <c r="J198" s="62"/>
    </row>
    <row r="199">
      <c r="B199" s="64"/>
      <c r="F199" s="63"/>
      <c r="G199" s="65"/>
      <c r="J199" s="62"/>
    </row>
    <row r="200">
      <c r="B200" s="64"/>
      <c r="F200" s="63"/>
      <c r="G200" s="65"/>
      <c r="J200" s="62"/>
    </row>
    <row r="201">
      <c r="B201" s="64"/>
      <c r="F201" s="63"/>
      <c r="G201" s="65"/>
      <c r="J201" s="62"/>
    </row>
    <row r="202">
      <c r="B202" s="64"/>
      <c r="F202" s="63"/>
      <c r="G202" s="65"/>
      <c r="J202" s="62"/>
    </row>
    <row r="203">
      <c r="B203" s="64"/>
      <c r="F203" s="63"/>
      <c r="G203" s="65"/>
      <c r="J203" s="62"/>
    </row>
    <row r="204">
      <c r="B204" s="64"/>
      <c r="F204" s="63"/>
      <c r="G204" s="65"/>
      <c r="J204" s="62"/>
    </row>
    <row r="205">
      <c r="B205" s="64"/>
      <c r="F205" s="63"/>
      <c r="G205" s="65"/>
      <c r="J205" s="62"/>
    </row>
    <row r="206">
      <c r="B206" s="64"/>
      <c r="F206" s="63"/>
      <c r="G206" s="65"/>
      <c r="J206" s="62"/>
    </row>
    <row r="207">
      <c r="B207" s="64"/>
      <c r="F207" s="63"/>
      <c r="G207" s="65"/>
      <c r="J207" s="62"/>
    </row>
    <row r="208">
      <c r="B208" s="64"/>
      <c r="F208" s="63"/>
      <c r="G208" s="65"/>
      <c r="J208" s="62"/>
    </row>
    <row r="209">
      <c r="B209" s="64"/>
      <c r="F209" s="63"/>
      <c r="G209" s="65"/>
      <c r="J209" s="62"/>
    </row>
    <row r="210">
      <c r="B210" s="64"/>
      <c r="F210" s="63"/>
      <c r="G210" s="65"/>
      <c r="J210" s="62"/>
    </row>
    <row r="211">
      <c r="B211" s="64"/>
      <c r="F211" s="63"/>
      <c r="G211" s="65"/>
      <c r="J211" s="62"/>
    </row>
    <row r="212">
      <c r="B212" s="64"/>
      <c r="F212" s="63"/>
      <c r="G212" s="65"/>
      <c r="J212" s="62"/>
    </row>
    <row r="213">
      <c r="B213" s="64"/>
      <c r="F213" s="63"/>
      <c r="G213" s="65"/>
      <c r="J213" s="62"/>
    </row>
    <row r="214">
      <c r="B214" s="64"/>
      <c r="F214" s="63"/>
      <c r="G214" s="65"/>
      <c r="J214" s="62"/>
    </row>
    <row r="215">
      <c r="B215" s="64"/>
      <c r="F215" s="63"/>
      <c r="G215" s="65"/>
      <c r="J215" s="62"/>
    </row>
    <row r="216">
      <c r="B216" s="64"/>
      <c r="F216" s="63"/>
      <c r="G216" s="65"/>
      <c r="J216" s="62"/>
    </row>
    <row r="217">
      <c r="B217" s="64"/>
      <c r="F217" s="63"/>
      <c r="G217" s="65"/>
      <c r="J217" s="62"/>
    </row>
    <row r="218">
      <c r="B218" s="64"/>
      <c r="F218" s="63"/>
      <c r="G218" s="65"/>
      <c r="J218" s="62"/>
    </row>
    <row r="219">
      <c r="B219" s="64"/>
      <c r="F219" s="63"/>
      <c r="G219" s="65"/>
      <c r="J219" s="62"/>
    </row>
    <row r="220">
      <c r="B220" s="64"/>
      <c r="F220" s="63"/>
      <c r="G220" s="65"/>
      <c r="J220" s="62"/>
    </row>
    <row r="221">
      <c r="B221" s="64"/>
      <c r="F221" s="63"/>
      <c r="G221" s="65"/>
      <c r="J221" s="62"/>
    </row>
    <row r="222">
      <c r="B222" s="64"/>
      <c r="F222" s="63"/>
      <c r="G222" s="65"/>
      <c r="J222" s="62"/>
    </row>
    <row r="223">
      <c r="B223" s="64"/>
      <c r="F223" s="63"/>
      <c r="G223" s="65"/>
      <c r="J223" s="62"/>
    </row>
    <row r="224">
      <c r="B224" s="64"/>
      <c r="F224" s="63"/>
      <c r="G224" s="65"/>
      <c r="J224" s="62"/>
    </row>
    <row r="225">
      <c r="B225" s="64"/>
      <c r="F225" s="63"/>
      <c r="G225" s="65"/>
      <c r="J225" s="62"/>
    </row>
    <row r="226">
      <c r="B226" s="64"/>
      <c r="F226" s="63"/>
      <c r="G226" s="65"/>
      <c r="J226" s="62"/>
    </row>
    <row r="227">
      <c r="B227" s="64"/>
      <c r="F227" s="63"/>
      <c r="G227" s="65"/>
      <c r="J227" s="62"/>
    </row>
    <row r="228">
      <c r="B228" s="64"/>
      <c r="F228" s="63"/>
      <c r="G228" s="65"/>
      <c r="J228" s="62"/>
    </row>
    <row r="229">
      <c r="B229" s="64"/>
      <c r="F229" s="63"/>
      <c r="G229" s="65"/>
      <c r="J229" s="62"/>
    </row>
    <row r="230">
      <c r="B230" s="64"/>
      <c r="F230" s="63"/>
      <c r="G230" s="65"/>
      <c r="J230" s="62"/>
    </row>
    <row r="231">
      <c r="B231" s="64"/>
      <c r="F231" s="63"/>
      <c r="G231" s="65"/>
      <c r="J231" s="62"/>
    </row>
    <row r="232">
      <c r="B232" s="64"/>
      <c r="F232" s="63"/>
      <c r="G232" s="65"/>
      <c r="J232" s="62"/>
    </row>
    <row r="233">
      <c r="B233" s="64"/>
      <c r="F233" s="63"/>
      <c r="G233" s="65"/>
      <c r="J233" s="62"/>
    </row>
    <row r="234">
      <c r="B234" s="64"/>
      <c r="F234" s="63"/>
      <c r="G234" s="65"/>
      <c r="J234" s="62"/>
    </row>
    <row r="235">
      <c r="B235" s="64"/>
      <c r="F235" s="63"/>
      <c r="G235" s="65"/>
      <c r="J235" s="62"/>
    </row>
    <row r="236">
      <c r="B236" s="64"/>
      <c r="F236" s="63"/>
      <c r="G236" s="65"/>
      <c r="J236" s="62"/>
    </row>
    <row r="237">
      <c r="B237" s="64"/>
      <c r="F237" s="63"/>
      <c r="G237" s="65"/>
      <c r="J237" s="62"/>
    </row>
    <row r="238">
      <c r="B238" s="64"/>
      <c r="F238" s="63"/>
      <c r="G238" s="65"/>
      <c r="J238" s="62"/>
    </row>
    <row r="239">
      <c r="B239" s="64"/>
      <c r="F239" s="63"/>
      <c r="G239" s="65"/>
      <c r="J239" s="62"/>
    </row>
    <row r="240">
      <c r="B240" s="64"/>
      <c r="F240" s="63"/>
      <c r="G240" s="65"/>
      <c r="J240" s="62"/>
    </row>
    <row r="241">
      <c r="B241" s="64"/>
      <c r="F241" s="63"/>
      <c r="G241" s="65"/>
      <c r="J241" s="62"/>
    </row>
    <row r="242">
      <c r="B242" s="64"/>
      <c r="F242" s="63"/>
      <c r="G242" s="65"/>
      <c r="J242" s="62"/>
    </row>
    <row r="243">
      <c r="B243" s="64"/>
      <c r="F243" s="63"/>
      <c r="G243" s="65"/>
      <c r="J243" s="62"/>
    </row>
    <row r="244">
      <c r="B244" s="64"/>
      <c r="F244" s="63"/>
      <c r="G244" s="65"/>
      <c r="J244" s="62"/>
    </row>
    <row r="245">
      <c r="B245" s="64"/>
      <c r="F245" s="63"/>
      <c r="G245" s="65"/>
      <c r="J245" s="62"/>
    </row>
    <row r="246">
      <c r="B246" s="64"/>
      <c r="F246" s="63"/>
      <c r="G246" s="65"/>
      <c r="J246" s="62"/>
    </row>
    <row r="247">
      <c r="B247" s="64"/>
      <c r="F247" s="63"/>
      <c r="G247" s="65"/>
      <c r="J247" s="62"/>
    </row>
    <row r="248">
      <c r="B248" s="64"/>
      <c r="F248" s="63"/>
      <c r="G248" s="65"/>
      <c r="J248" s="62"/>
    </row>
    <row r="249">
      <c r="B249" s="64"/>
      <c r="F249" s="63"/>
      <c r="G249" s="65"/>
      <c r="J249" s="62"/>
    </row>
    <row r="250">
      <c r="B250" s="64"/>
      <c r="F250" s="63"/>
      <c r="G250" s="65"/>
      <c r="J250" s="62"/>
    </row>
    <row r="251">
      <c r="B251" s="64"/>
      <c r="F251" s="63"/>
      <c r="G251" s="65"/>
      <c r="J251" s="62"/>
    </row>
    <row r="252">
      <c r="B252" s="64"/>
      <c r="F252" s="63"/>
      <c r="G252" s="65"/>
      <c r="J252" s="62"/>
    </row>
    <row r="253">
      <c r="B253" s="64"/>
      <c r="F253" s="63"/>
      <c r="G253" s="65"/>
      <c r="J253" s="62"/>
    </row>
    <row r="254">
      <c r="B254" s="64"/>
      <c r="F254" s="63"/>
      <c r="G254" s="65"/>
      <c r="J254" s="62"/>
    </row>
    <row r="255">
      <c r="B255" s="64"/>
      <c r="F255" s="63"/>
      <c r="G255" s="65"/>
      <c r="J255" s="62"/>
    </row>
    <row r="256">
      <c r="B256" s="64"/>
      <c r="F256" s="63"/>
      <c r="G256" s="65"/>
      <c r="J256" s="62"/>
    </row>
    <row r="257">
      <c r="B257" s="64"/>
      <c r="F257" s="63"/>
      <c r="G257" s="65"/>
      <c r="J257" s="62"/>
    </row>
    <row r="258">
      <c r="B258" s="64"/>
      <c r="F258" s="63"/>
      <c r="G258" s="65"/>
      <c r="J258" s="62"/>
    </row>
    <row r="259">
      <c r="B259" s="64"/>
      <c r="F259" s="63"/>
      <c r="G259" s="65"/>
      <c r="J259" s="62"/>
    </row>
    <row r="260">
      <c r="B260" s="64"/>
      <c r="F260" s="63"/>
      <c r="G260" s="65"/>
      <c r="J260" s="62"/>
    </row>
    <row r="261">
      <c r="B261" s="64"/>
      <c r="F261" s="63"/>
      <c r="G261" s="65"/>
      <c r="J261" s="62"/>
    </row>
    <row r="262">
      <c r="B262" s="64"/>
      <c r="F262" s="63"/>
      <c r="G262" s="65"/>
      <c r="J262" s="62"/>
    </row>
    <row r="263">
      <c r="B263" s="64"/>
      <c r="F263" s="63"/>
      <c r="G263" s="65"/>
      <c r="J263" s="62"/>
    </row>
    <row r="264">
      <c r="B264" s="64"/>
      <c r="F264" s="63"/>
      <c r="G264" s="65"/>
      <c r="J264" s="62"/>
    </row>
    <row r="265">
      <c r="B265" s="64"/>
      <c r="F265" s="63"/>
      <c r="G265" s="65"/>
      <c r="J265" s="62"/>
    </row>
    <row r="266">
      <c r="B266" s="64"/>
      <c r="F266" s="63"/>
      <c r="G266" s="65"/>
      <c r="J266" s="62"/>
    </row>
    <row r="267">
      <c r="B267" s="64"/>
      <c r="F267" s="63"/>
      <c r="G267" s="65"/>
      <c r="J267" s="62"/>
    </row>
    <row r="268">
      <c r="B268" s="64"/>
      <c r="F268" s="63"/>
      <c r="G268" s="65"/>
      <c r="J268" s="62"/>
    </row>
    <row r="269">
      <c r="B269" s="64"/>
      <c r="F269" s="63"/>
      <c r="G269" s="65"/>
      <c r="J269" s="62"/>
    </row>
    <row r="270">
      <c r="B270" s="64"/>
      <c r="F270" s="63"/>
      <c r="G270" s="65"/>
      <c r="J270" s="62"/>
    </row>
    <row r="271">
      <c r="B271" s="64"/>
      <c r="F271" s="63"/>
      <c r="G271" s="65"/>
      <c r="J271" s="62"/>
    </row>
    <row r="272">
      <c r="B272" s="64"/>
      <c r="F272" s="63"/>
      <c r="G272" s="65"/>
      <c r="J272" s="62"/>
    </row>
    <row r="273">
      <c r="B273" s="64"/>
      <c r="F273" s="63"/>
      <c r="G273" s="65"/>
      <c r="J273" s="62"/>
    </row>
    <row r="274">
      <c r="B274" s="64"/>
      <c r="F274" s="63"/>
      <c r="G274" s="65"/>
      <c r="J274" s="62"/>
    </row>
    <row r="275">
      <c r="B275" s="64"/>
      <c r="F275" s="63"/>
      <c r="G275" s="65"/>
      <c r="J275" s="62"/>
    </row>
    <row r="276">
      <c r="B276" s="64"/>
      <c r="F276" s="63"/>
      <c r="G276" s="65"/>
      <c r="J276" s="62"/>
    </row>
    <row r="277">
      <c r="B277" s="64"/>
      <c r="F277" s="63"/>
      <c r="G277" s="65"/>
      <c r="J277" s="62"/>
    </row>
    <row r="278">
      <c r="B278" s="64"/>
      <c r="F278" s="63"/>
      <c r="G278" s="65"/>
      <c r="J278" s="62"/>
    </row>
    <row r="279">
      <c r="B279" s="64"/>
      <c r="F279" s="63"/>
      <c r="G279" s="65"/>
      <c r="J279" s="62"/>
    </row>
    <row r="280">
      <c r="B280" s="64"/>
      <c r="F280" s="63"/>
      <c r="G280" s="65"/>
      <c r="J280" s="62"/>
    </row>
    <row r="281">
      <c r="B281" s="64"/>
      <c r="F281" s="63"/>
      <c r="G281" s="65"/>
      <c r="J281" s="62"/>
    </row>
    <row r="282">
      <c r="B282" s="64"/>
      <c r="F282" s="63"/>
      <c r="G282" s="65"/>
      <c r="J282" s="62"/>
    </row>
    <row r="283">
      <c r="B283" s="64"/>
      <c r="F283" s="63"/>
      <c r="G283" s="65"/>
      <c r="J283" s="62"/>
    </row>
    <row r="284">
      <c r="B284" s="64"/>
      <c r="F284" s="63"/>
      <c r="G284" s="65"/>
      <c r="J284" s="62"/>
    </row>
    <row r="285">
      <c r="B285" s="64"/>
      <c r="F285" s="63"/>
      <c r="G285" s="65"/>
      <c r="J285" s="62"/>
    </row>
    <row r="286">
      <c r="B286" s="64"/>
      <c r="F286" s="63"/>
      <c r="G286" s="65"/>
      <c r="J286" s="62"/>
    </row>
    <row r="287">
      <c r="B287" s="64"/>
      <c r="F287" s="63"/>
      <c r="G287" s="65"/>
      <c r="J287" s="62"/>
    </row>
    <row r="288">
      <c r="B288" s="64"/>
      <c r="F288" s="63"/>
      <c r="G288" s="65"/>
      <c r="J288" s="62"/>
    </row>
    <row r="289">
      <c r="B289" s="64"/>
      <c r="F289" s="63"/>
      <c r="G289" s="65"/>
      <c r="J289" s="62"/>
    </row>
    <row r="290">
      <c r="B290" s="64"/>
      <c r="F290" s="63"/>
      <c r="G290" s="65"/>
      <c r="J290" s="62"/>
    </row>
    <row r="291">
      <c r="B291" s="64"/>
      <c r="F291" s="63"/>
      <c r="G291" s="65"/>
      <c r="J291" s="62"/>
    </row>
    <row r="292">
      <c r="B292" s="64"/>
      <c r="F292" s="63"/>
      <c r="G292" s="65"/>
      <c r="J292" s="62"/>
    </row>
    <row r="293">
      <c r="B293" s="64"/>
      <c r="F293" s="63"/>
      <c r="G293" s="65"/>
      <c r="J293" s="62"/>
    </row>
    <row r="294">
      <c r="B294" s="64"/>
      <c r="F294" s="63"/>
      <c r="G294" s="65"/>
      <c r="J294" s="62"/>
    </row>
    <row r="295">
      <c r="B295" s="64"/>
      <c r="F295" s="63"/>
      <c r="G295" s="65"/>
      <c r="J295" s="62"/>
    </row>
    <row r="296">
      <c r="B296" s="64"/>
      <c r="F296" s="63"/>
      <c r="G296" s="65"/>
      <c r="J296" s="62"/>
    </row>
    <row r="297">
      <c r="B297" s="64"/>
      <c r="F297" s="63"/>
      <c r="G297" s="65"/>
      <c r="J297" s="62"/>
    </row>
    <row r="298">
      <c r="B298" s="64"/>
      <c r="F298" s="63"/>
      <c r="G298" s="65"/>
      <c r="J298" s="62"/>
    </row>
    <row r="299">
      <c r="B299" s="64"/>
      <c r="F299" s="63"/>
      <c r="G299" s="65"/>
      <c r="J299" s="62"/>
    </row>
    <row r="300">
      <c r="B300" s="64"/>
      <c r="F300" s="63"/>
      <c r="G300" s="65"/>
      <c r="J300" s="62"/>
    </row>
    <row r="301">
      <c r="B301" s="64"/>
      <c r="F301" s="63"/>
      <c r="G301" s="65"/>
      <c r="J301" s="62"/>
    </row>
    <row r="302">
      <c r="B302" s="64"/>
      <c r="F302" s="63"/>
      <c r="G302" s="65"/>
      <c r="J302" s="62"/>
    </row>
    <row r="303">
      <c r="B303" s="64"/>
      <c r="F303" s="63"/>
      <c r="G303" s="65"/>
      <c r="J303" s="62"/>
    </row>
    <row r="304">
      <c r="B304" s="64"/>
      <c r="F304" s="63"/>
      <c r="G304" s="65"/>
      <c r="J304" s="62"/>
    </row>
    <row r="305">
      <c r="B305" s="64"/>
      <c r="F305" s="63"/>
      <c r="G305" s="65"/>
      <c r="J305" s="62"/>
    </row>
    <row r="306">
      <c r="B306" s="64"/>
      <c r="F306" s="63"/>
      <c r="G306" s="65"/>
      <c r="J306" s="62"/>
    </row>
    <row r="307">
      <c r="B307" s="64"/>
      <c r="F307" s="63"/>
      <c r="G307" s="65"/>
      <c r="J307" s="62"/>
    </row>
    <row r="308">
      <c r="B308" s="64"/>
      <c r="F308" s="63"/>
      <c r="G308" s="65"/>
      <c r="J308" s="62"/>
    </row>
    <row r="309">
      <c r="B309" s="64"/>
      <c r="F309" s="63"/>
      <c r="G309" s="65"/>
      <c r="J309" s="62"/>
    </row>
    <row r="310">
      <c r="B310" s="64"/>
      <c r="F310" s="63"/>
      <c r="G310" s="65"/>
      <c r="J310" s="62"/>
    </row>
    <row r="311">
      <c r="B311" s="64"/>
      <c r="F311" s="63"/>
      <c r="G311" s="65"/>
      <c r="J311" s="62"/>
    </row>
    <row r="312">
      <c r="B312" s="64"/>
      <c r="F312" s="63"/>
      <c r="G312" s="65"/>
      <c r="J312" s="62"/>
    </row>
    <row r="313">
      <c r="B313" s="64"/>
      <c r="F313" s="63"/>
      <c r="G313" s="65"/>
      <c r="J313" s="62"/>
    </row>
    <row r="314">
      <c r="B314" s="64"/>
      <c r="F314" s="63"/>
      <c r="G314" s="65"/>
      <c r="J314" s="62"/>
    </row>
    <row r="315">
      <c r="B315" s="64"/>
      <c r="F315" s="63"/>
      <c r="G315" s="65"/>
      <c r="J315" s="62"/>
    </row>
    <row r="316">
      <c r="B316" s="64"/>
      <c r="F316" s="63"/>
      <c r="G316" s="65"/>
      <c r="J316" s="62"/>
    </row>
    <row r="317">
      <c r="B317" s="64"/>
      <c r="F317" s="63"/>
      <c r="G317" s="65"/>
      <c r="J317" s="62"/>
    </row>
    <row r="318">
      <c r="B318" s="64"/>
      <c r="F318" s="63"/>
      <c r="G318" s="65"/>
      <c r="J318" s="62"/>
    </row>
    <row r="319">
      <c r="B319" s="64"/>
      <c r="F319" s="63"/>
      <c r="G319" s="65"/>
      <c r="J319" s="62"/>
    </row>
    <row r="320">
      <c r="B320" s="64"/>
      <c r="F320" s="63"/>
      <c r="G320" s="65"/>
      <c r="J320" s="62"/>
    </row>
    <row r="321">
      <c r="B321" s="64"/>
      <c r="F321" s="63"/>
      <c r="G321" s="65"/>
      <c r="J321" s="62"/>
    </row>
    <row r="322">
      <c r="B322" s="64"/>
      <c r="F322" s="63"/>
      <c r="G322" s="65"/>
      <c r="J322" s="62"/>
    </row>
    <row r="323">
      <c r="B323" s="64"/>
      <c r="F323" s="63"/>
      <c r="G323" s="65"/>
      <c r="J323" s="62"/>
    </row>
    <row r="324">
      <c r="B324" s="64"/>
      <c r="F324" s="63"/>
      <c r="G324" s="65"/>
      <c r="J324" s="62"/>
    </row>
    <row r="325">
      <c r="B325" s="64"/>
      <c r="F325" s="63"/>
      <c r="G325" s="65"/>
      <c r="J325" s="62"/>
    </row>
    <row r="326">
      <c r="B326" s="64"/>
      <c r="F326" s="63"/>
      <c r="G326" s="65"/>
      <c r="J326" s="62"/>
    </row>
    <row r="327">
      <c r="B327" s="64"/>
      <c r="F327" s="63"/>
      <c r="G327" s="65"/>
      <c r="J327" s="62"/>
    </row>
    <row r="328">
      <c r="B328" s="64"/>
      <c r="F328" s="63"/>
      <c r="G328" s="65"/>
      <c r="J328" s="62"/>
    </row>
    <row r="329">
      <c r="B329" s="64"/>
      <c r="F329" s="63"/>
      <c r="G329" s="65"/>
      <c r="J329" s="62"/>
    </row>
    <row r="330">
      <c r="B330" s="64"/>
      <c r="F330" s="63"/>
      <c r="G330" s="65"/>
      <c r="J330" s="62"/>
    </row>
    <row r="331">
      <c r="B331" s="64"/>
      <c r="F331" s="63"/>
      <c r="G331" s="65"/>
      <c r="J331" s="62"/>
    </row>
    <row r="332">
      <c r="B332" s="64"/>
      <c r="F332" s="63"/>
      <c r="G332" s="65"/>
      <c r="J332" s="62"/>
    </row>
    <row r="333">
      <c r="B333" s="64"/>
      <c r="F333" s="63"/>
      <c r="G333" s="65"/>
      <c r="J333" s="62"/>
    </row>
    <row r="334">
      <c r="B334" s="64"/>
      <c r="F334" s="63"/>
      <c r="G334" s="65"/>
      <c r="J334" s="62"/>
    </row>
    <row r="335">
      <c r="B335" s="64"/>
      <c r="F335" s="63"/>
      <c r="G335" s="65"/>
      <c r="J335" s="62"/>
    </row>
    <row r="336">
      <c r="B336" s="64"/>
      <c r="F336" s="63"/>
      <c r="G336" s="65"/>
      <c r="J336" s="62"/>
    </row>
    <row r="337">
      <c r="B337" s="64"/>
      <c r="F337" s="63"/>
      <c r="G337" s="65"/>
      <c r="J337" s="62"/>
    </row>
    <row r="338">
      <c r="B338" s="64"/>
      <c r="F338" s="63"/>
      <c r="G338" s="65"/>
      <c r="J338" s="62"/>
    </row>
    <row r="339">
      <c r="B339" s="64"/>
      <c r="F339" s="63"/>
      <c r="G339" s="65"/>
      <c r="J339" s="62"/>
    </row>
    <row r="340">
      <c r="B340" s="64"/>
      <c r="F340" s="63"/>
      <c r="G340" s="65"/>
      <c r="J340" s="62"/>
    </row>
    <row r="341">
      <c r="B341" s="64"/>
      <c r="F341" s="63"/>
      <c r="G341" s="65"/>
      <c r="J341" s="62"/>
    </row>
    <row r="342">
      <c r="B342" s="64"/>
      <c r="F342" s="63"/>
      <c r="G342" s="65"/>
      <c r="J342" s="62"/>
    </row>
    <row r="343">
      <c r="B343" s="64"/>
      <c r="F343" s="63"/>
      <c r="G343" s="65"/>
      <c r="J343" s="62"/>
    </row>
    <row r="344">
      <c r="B344" s="64"/>
      <c r="F344" s="63"/>
      <c r="G344" s="65"/>
      <c r="J344" s="62"/>
    </row>
    <row r="345">
      <c r="B345" s="64"/>
      <c r="F345" s="63"/>
      <c r="G345" s="65"/>
      <c r="J345" s="62"/>
    </row>
    <row r="346">
      <c r="B346" s="64"/>
      <c r="F346" s="63"/>
      <c r="G346" s="65"/>
      <c r="J346" s="62"/>
    </row>
    <row r="347">
      <c r="B347" s="64"/>
      <c r="F347" s="63"/>
      <c r="G347" s="65"/>
      <c r="J347" s="62"/>
    </row>
    <row r="348">
      <c r="B348" s="64"/>
      <c r="F348" s="63"/>
      <c r="G348" s="65"/>
      <c r="J348" s="62"/>
    </row>
    <row r="349">
      <c r="B349" s="64"/>
      <c r="F349" s="63"/>
      <c r="G349" s="65"/>
      <c r="J349" s="62"/>
    </row>
    <row r="350">
      <c r="B350" s="64"/>
      <c r="F350" s="63"/>
      <c r="G350" s="65"/>
      <c r="J350" s="62"/>
    </row>
    <row r="351">
      <c r="B351" s="64"/>
      <c r="F351" s="63"/>
      <c r="G351" s="65"/>
      <c r="J351" s="62"/>
    </row>
    <row r="352">
      <c r="B352" s="64"/>
      <c r="F352" s="63"/>
      <c r="G352" s="65"/>
      <c r="J352" s="62"/>
    </row>
    <row r="353">
      <c r="B353" s="64"/>
      <c r="F353" s="63"/>
      <c r="G353" s="65"/>
      <c r="J353" s="62"/>
    </row>
    <row r="354">
      <c r="B354" s="64"/>
      <c r="F354" s="63"/>
      <c r="G354" s="65"/>
      <c r="J354" s="62"/>
    </row>
    <row r="355">
      <c r="B355" s="64"/>
      <c r="F355" s="63"/>
      <c r="G355" s="65"/>
      <c r="J355" s="62"/>
    </row>
    <row r="356">
      <c r="B356" s="64"/>
      <c r="F356" s="63"/>
      <c r="G356" s="65"/>
      <c r="J356" s="62"/>
    </row>
    <row r="357">
      <c r="B357" s="64"/>
      <c r="F357" s="63"/>
      <c r="G357" s="65"/>
      <c r="J357" s="62"/>
    </row>
    <row r="358">
      <c r="B358" s="64"/>
      <c r="F358" s="63"/>
      <c r="G358" s="65"/>
      <c r="J358" s="62"/>
    </row>
    <row r="359">
      <c r="B359" s="64"/>
      <c r="F359" s="63"/>
      <c r="G359" s="65"/>
      <c r="J359" s="62"/>
    </row>
    <row r="360">
      <c r="B360" s="64"/>
      <c r="F360" s="63"/>
      <c r="G360" s="65"/>
      <c r="J360" s="62"/>
    </row>
    <row r="361">
      <c r="B361" s="64"/>
      <c r="F361" s="63"/>
      <c r="G361" s="65"/>
      <c r="J361" s="62"/>
    </row>
    <row r="362">
      <c r="B362" s="64"/>
      <c r="F362" s="63"/>
      <c r="G362" s="65"/>
      <c r="J362" s="62"/>
    </row>
    <row r="363">
      <c r="B363" s="64"/>
      <c r="F363" s="63"/>
      <c r="G363" s="65"/>
      <c r="J363" s="62"/>
    </row>
    <row r="364">
      <c r="B364" s="64"/>
      <c r="F364" s="63"/>
      <c r="G364" s="65"/>
      <c r="J364" s="62"/>
    </row>
    <row r="365">
      <c r="B365" s="64"/>
      <c r="F365" s="63"/>
      <c r="G365" s="65"/>
      <c r="J365" s="62"/>
    </row>
    <row r="366">
      <c r="B366" s="64"/>
      <c r="F366" s="63"/>
      <c r="G366" s="65"/>
      <c r="J366" s="62"/>
    </row>
    <row r="367">
      <c r="B367" s="64"/>
      <c r="F367" s="63"/>
      <c r="G367" s="65"/>
      <c r="J367" s="62"/>
    </row>
    <row r="368">
      <c r="B368" s="64"/>
      <c r="F368" s="63"/>
      <c r="G368" s="65"/>
      <c r="J368" s="62"/>
    </row>
    <row r="369">
      <c r="B369" s="64"/>
      <c r="F369" s="63"/>
      <c r="G369" s="65"/>
      <c r="J369" s="62"/>
    </row>
    <row r="370">
      <c r="B370" s="64"/>
      <c r="F370" s="63"/>
      <c r="G370" s="65"/>
      <c r="J370" s="62"/>
    </row>
    <row r="371">
      <c r="B371" s="64"/>
      <c r="F371" s="63"/>
      <c r="G371" s="65"/>
      <c r="J371" s="62"/>
    </row>
    <row r="372">
      <c r="B372" s="64"/>
      <c r="F372" s="63"/>
      <c r="G372" s="65"/>
      <c r="J372" s="62"/>
    </row>
    <row r="373">
      <c r="B373" s="64"/>
      <c r="F373" s="63"/>
      <c r="G373" s="65"/>
      <c r="J373" s="62"/>
    </row>
    <row r="374">
      <c r="B374" s="64"/>
      <c r="F374" s="63"/>
      <c r="G374" s="65"/>
      <c r="J374" s="62"/>
    </row>
    <row r="375">
      <c r="B375" s="64"/>
      <c r="F375" s="63"/>
      <c r="G375" s="65"/>
      <c r="J375" s="62"/>
    </row>
    <row r="376">
      <c r="B376" s="64"/>
      <c r="F376" s="63"/>
      <c r="G376" s="65"/>
      <c r="J376" s="62"/>
    </row>
    <row r="377">
      <c r="B377" s="64"/>
      <c r="F377" s="63"/>
      <c r="G377" s="65"/>
      <c r="J377" s="62"/>
    </row>
    <row r="378">
      <c r="B378" s="64"/>
      <c r="F378" s="63"/>
      <c r="G378" s="65"/>
      <c r="J378" s="62"/>
    </row>
    <row r="379">
      <c r="B379" s="64"/>
      <c r="F379" s="63"/>
      <c r="G379" s="65"/>
      <c r="J379" s="62"/>
    </row>
    <row r="380">
      <c r="B380" s="64"/>
      <c r="F380" s="63"/>
      <c r="G380" s="65"/>
      <c r="J380" s="62"/>
    </row>
    <row r="381">
      <c r="B381" s="64"/>
      <c r="F381" s="63"/>
      <c r="G381" s="65"/>
      <c r="J381" s="62"/>
    </row>
    <row r="382">
      <c r="B382" s="64"/>
      <c r="F382" s="63"/>
      <c r="G382" s="65"/>
      <c r="J382" s="62"/>
    </row>
    <row r="383">
      <c r="B383" s="64"/>
      <c r="F383" s="63"/>
      <c r="G383" s="65"/>
      <c r="J383" s="62"/>
    </row>
    <row r="384">
      <c r="B384" s="64"/>
      <c r="F384" s="63"/>
      <c r="G384" s="65"/>
      <c r="J384" s="62"/>
    </row>
    <row r="385">
      <c r="B385" s="64"/>
      <c r="F385" s="63"/>
      <c r="G385" s="65"/>
      <c r="J385" s="62"/>
    </row>
    <row r="386">
      <c r="B386" s="64"/>
      <c r="F386" s="63"/>
      <c r="G386" s="65"/>
      <c r="J386" s="62"/>
    </row>
    <row r="387">
      <c r="B387" s="64"/>
      <c r="F387" s="63"/>
      <c r="G387" s="65"/>
      <c r="J387" s="62"/>
    </row>
    <row r="388">
      <c r="B388" s="64"/>
      <c r="F388" s="63"/>
      <c r="G388" s="65"/>
      <c r="J388" s="62"/>
    </row>
    <row r="389">
      <c r="B389" s="64"/>
      <c r="F389" s="63"/>
      <c r="G389" s="65"/>
      <c r="J389" s="62"/>
    </row>
    <row r="390">
      <c r="B390" s="64"/>
      <c r="F390" s="63"/>
      <c r="G390" s="65"/>
      <c r="J390" s="62"/>
    </row>
    <row r="391">
      <c r="B391" s="64"/>
      <c r="F391" s="63"/>
      <c r="G391" s="65"/>
      <c r="J391" s="62"/>
    </row>
    <row r="392">
      <c r="B392" s="64"/>
      <c r="F392" s="63"/>
      <c r="G392" s="65"/>
      <c r="J392" s="62"/>
    </row>
    <row r="393">
      <c r="B393" s="64"/>
      <c r="F393" s="63"/>
      <c r="G393" s="65"/>
      <c r="J393" s="62"/>
    </row>
    <row r="394">
      <c r="B394" s="64"/>
      <c r="F394" s="63"/>
      <c r="G394" s="65"/>
      <c r="J394" s="62"/>
    </row>
    <row r="395">
      <c r="B395" s="64"/>
      <c r="F395" s="63"/>
      <c r="G395" s="65"/>
      <c r="J395" s="62"/>
    </row>
    <row r="396">
      <c r="B396" s="64"/>
      <c r="F396" s="63"/>
      <c r="G396" s="65"/>
      <c r="J396" s="62"/>
    </row>
    <row r="397">
      <c r="B397" s="64"/>
      <c r="F397" s="63"/>
      <c r="G397" s="65"/>
      <c r="J397" s="62"/>
    </row>
    <row r="398">
      <c r="B398" s="64"/>
      <c r="F398" s="63"/>
      <c r="G398" s="65"/>
      <c r="J398" s="62"/>
    </row>
    <row r="399">
      <c r="B399" s="64"/>
      <c r="F399" s="63"/>
      <c r="G399" s="65"/>
      <c r="J399" s="62"/>
    </row>
    <row r="400">
      <c r="B400" s="64"/>
      <c r="F400" s="63"/>
      <c r="G400" s="65"/>
      <c r="J400" s="62"/>
    </row>
    <row r="401">
      <c r="B401" s="64"/>
      <c r="F401" s="63"/>
      <c r="G401" s="65"/>
      <c r="J401" s="62"/>
    </row>
    <row r="402">
      <c r="B402" s="64"/>
      <c r="F402" s="63"/>
      <c r="G402" s="65"/>
      <c r="J402" s="62"/>
    </row>
    <row r="403">
      <c r="B403" s="64"/>
      <c r="F403" s="63"/>
      <c r="G403" s="65"/>
      <c r="J403" s="62"/>
    </row>
    <row r="404">
      <c r="B404" s="64"/>
      <c r="F404" s="63"/>
      <c r="G404" s="65"/>
      <c r="J404" s="62"/>
    </row>
    <row r="405">
      <c r="B405" s="64"/>
      <c r="F405" s="63"/>
      <c r="G405" s="65"/>
      <c r="J405" s="62"/>
    </row>
    <row r="406">
      <c r="B406" s="64"/>
      <c r="F406" s="63"/>
      <c r="G406" s="65"/>
      <c r="J406" s="62"/>
    </row>
    <row r="407">
      <c r="B407" s="64"/>
      <c r="F407" s="63"/>
      <c r="G407" s="65"/>
      <c r="J407" s="62"/>
    </row>
    <row r="408">
      <c r="B408" s="64"/>
      <c r="F408" s="63"/>
      <c r="G408" s="65"/>
      <c r="J408" s="62"/>
    </row>
    <row r="409">
      <c r="B409" s="64"/>
      <c r="F409" s="63"/>
      <c r="G409" s="65"/>
      <c r="J409" s="62"/>
    </row>
    <row r="410">
      <c r="B410" s="64"/>
      <c r="F410" s="63"/>
      <c r="G410" s="65"/>
      <c r="J410" s="62"/>
    </row>
    <row r="411">
      <c r="B411" s="64"/>
      <c r="F411" s="63"/>
      <c r="G411" s="65"/>
      <c r="J411" s="62"/>
    </row>
    <row r="412">
      <c r="B412" s="64"/>
      <c r="F412" s="63"/>
      <c r="G412" s="65"/>
      <c r="J412" s="62"/>
    </row>
    <row r="413">
      <c r="B413" s="64"/>
      <c r="F413" s="63"/>
      <c r="G413" s="65"/>
      <c r="J413" s="62"/>
    </row>
    <row r="414">
      <c r="B414" s="64"/>
      <c r="F414" s="63"/>
      <c r="G414" s="65"/>
      <c r="J414" s="62"/>
    </row>
    <row r="415">
      <c r="B415" s="64"/>
      <c r="F415" s="63"/>
      <c r="G415" s="65"/>
      <c r="J415" s="62"/>
    </row>
    <row r="416">
      <c r="B416" s="64"/>
      <c r="F416" s="63"/>
      <c r="G416" s="65"/>
      <c r="J416" s="62"/>
    </row>
    <row r="417">
      <c r="B417" s="64"/>
      <c r="F417" s="63"/>
      <c r="G417" s="65"/>
      <c r="J417" s="62"/>
    </row>
    <row r="418">
      <c r="B418" s="64"/>
      <c r="F418" s="63"/>
      <c r="G418" s="65"/>
      <c r="J418" s="62"/>
    </row>
    <row r="419">
      <c r="B419" s="64"/>
      <c r="F419" s="63"/>
      <c r="G419" s="65"/>
      <c r="J419" s="62"/>
    </row>
    <row r="420">
      <c r="B420" s="64"/>
      <c r="F420" s="63"/>
      <c r="G420" s="65"/>
      <c r="J420" s="62"/>
    </row>
    <row r="421">
      <c r="B421" s="64"/>
      <c r="F421" s="63"/>
      <c r="G421" s="65"/>
      <c r="J421" s="62"/>
    </row>
    <row r="422">
      <c r="B422" s="64"/>
      <c r="F422" s="63"/>
      <c r="G422" s="65"/>
      <c r="J422" s="62"/>
    </row>
    <row r="423">
      <c r="B423" s="64"/>
      <c r="F423" s="63"/>
      <c r="G423" s="65"/>
      <c r="J423" s="62"/>
    </row>
    <row r="424">
      <c r="B424" s="64"/>
      <c r="F424" s="63"/>
      <c r="G424" s="65"/>
      <c r="J424" s="62"/>
    </row>
    <row r="425">
      <c r="B425" s="64"/>
      <c r="F425" s="63"/>
      <c r="G425" s="65"/>
      <c r="J425" s="62"/>
    </row>
    <row r="426">
      <c r="B426" s="64"/>
      <c r="F426" s="63"/>
      <c r="G426" s="65"/>
      <c r="J426" s="62"/>
    </row>
    <row r="427">
      <c r="B427" s="64"/>
      <c r="F427" s="63"/>
      <c r="G427" s="65"/>
      <c r="J427" s="62"/>
    </row>
    <row r="428">
      <c r="B428" s="64"/>
      <c r="F428" s="63"/>
      <c r="G428" s="65"/>
      <c r="J428" s="62"/>
    </row>
    <row r="429">
      <c r="B429" s="64"/>
      <c r="F429" s="63"/>
      <c r="G429" s="65"/>
      <c r="J429" s="62"/>
    </row>
    <row r="430">
      <c r="B430" s="64"/>
      <c r="F430" s="63"/>
      <c r="G430" s="65"/>
      <c r="J430" s="62"/>
    </row>
    <row r="431">
      <c r="B431" s="64"/>
      <c r="F431" s="63"/>
      <c r="G431" s="65"/>
      <c r="J431" s="62"/>
    </row>
    <row r="432">
      <c r="B432" s="64"/>
      <c r="F432" s="63"/>
      <c r="G432" s="65"/>
      <c r="J432" s="62"/>
    </row>
    <row r="433">
      <c r="B433" s="64"/>
      <c r="F433" s="63"/>
      <c r="G433" s="65"/>
      <c r="J433" s="62"/>
    </row>
    <row r="434">
      <c r="B434" s="64"/>
      <c r="F434" s="63"/>
      <c r="G434" s="65"/>
      <c r="J434" s="62"/>
    </row>
    <row r="435">
      <c r="B435" s="64"/>
      <c r="F435" s="63"/>
      <c r="G435" s="65"/>
      <c r="J435" s="62"/>
    </row>
    <row r="436">
      <c r="B436" s="64"/>
      <c r="F436" s="63"/>
      <c r="G436" s="65"/>
      <c r="J436" s="62"/>
    </row>
    <row r="437">
      <c r="B437" s="64"/>
      <c r="F437" s="63"/>
      <c r="G437" s="65"/>
      <c r="J437" s="62"/>
    </row>
    <row r="438">
      <c r="B438" s="64"/>
      <c r="F438" s="63"/>
      <c r="G438" s="65"/>
      <c r="J438" s="62"/>
    </row>
    <row r="439">
      <c r="B439" s="64"/>
      <c r="F439" s="63"/>
      <c r="G439" s="65"/>
      <c r="J439" s="62"/>
    </row>
    <row r="440">
      <c r="B440" s="64"/>
      <c r="F440" s="63"/>
      <c r="G440" s="65"/>
      <c r="J440" s="62"/>
    </row>
    <row r="441">
      <c r="B441" s="64"/>
      <c r="F441" s="63"/>
      <c r="G441" s="65"/>
      <c r="J441" s="62"/>
    </row>
    <row r="442">
      <c r="B442" s="64"/>
      <c r="F442" s="63"/>
      <c r="G442" s="65"/>
      <c r="J442" s="62"/>
    </row>
    <row r="443">
      <c r="B443" s="64"/>
      <c r="F443" s="63"/>
      <c r="G443" s="65"/>
      <c r="J443" s="62"/>
    </row>
    <row r="444">
      <c r="B444" s="64"/>
      <c r="F444" s="63"/>
      <c r="G444" s="65"/>
      <c r="J444" s="62"/>
    </row>
    <row r="445">
      <c r="B445" s="64"/>
      <c r="F445" s="63"/>
      <c r="G445" s="65"/>
      <c r="J445" s="62"/>
    </row>
    <row r="446">
      <c r="B446" s="64"/>
      <c r="F446" s="63"/>
      <c r="G446" s="65"/>
      <c r="J446" s="62"/>
    </row>
    <row r="447">
      <c r="B447" s="64"/>
      <c r="F447" s="63"/>
      <c r="G447" s="65"/>
      <c r="J447" s="62"/>
    </row>
    <row r="448">
      <c r="B448" s="64"/>
      <c r="F448" s="63"/>
      <c r="G448" s="65"/>
      <c r="J448" s="62"/>
    </row>
    <row r="449">
      <c r="B449" s="64"/>
      <c r="F449" s="63"/>
      <c r="G449" s="65"/>
      <c r="J449" s="62"/>
    </row>
    <row r="450">
      <c r="B450" s="64"/>
      <c r="F450" s="63"/>
      <c r="G450" s="65"/>
      <c r="J450" s="62"/>
    </row>
    <row r="451">
      <c r="B451" s="64"/>
      <c r="F451" s="63"/>
      <c r="G451" s="65"/>
      <c r="J451" s="62"/>
    </row>
    <row r="452">
      <c r="B452" s="64"/>
      <c r="F452" s="63"/>
      <c r="G452" s="65"/>
      <c r="J452" s="62"/>
    </row>
    <row r="453">
      <c r="B453" s="64"/>
      <c r="F453" s="63"/>
      <c r="G453" s="65"/>
      <c r="J453" s="62"/>
    </row>
    <row r="454">
      <c r="B454" s="64"/>
      <c r="F454" s="63"/>
      <c r="G454" s="65"/>
      <c r="J454" s="62"/>
    </row>
    <row r="455">
      <c r="B455" s="64"/>
      <c r="F455" s="63"/>
      <c r="G455" s="65"/>
      <c r="J455" s="62"/>
    </row>
    <row r="456">
      <c r="B456" s="64"/>
      <c r="F456" s="63"/>
      <c r="G456" s="65"/>
      <c r="J456" s="62"/>
    </row>
    <row r="457">
      <c r="B457" s="64"/>
      <c r="F457" s="63"/>
      <c r="G457" s="65"/>
      <c r="J457" s="62"/>
    </row>
    <row r="458">
      <c r="B458" s="64"/>
      <c r="F458" s="63"/>
      <c r="G458" s="65"/>
      <c r="J458" s="62"/>
    </row>
    <row r="459">
      <c r="B459" s="64"/>
      <c r="F459" s="63"/>
      <c r="G459" s="65"/>
      <c r="J459" s="62"/>
    </row>
    <row r="460">
      <c r="B460" s="64"/>
      <c r="F460" s="63"/>
      <c r="G460" s="65"/>
      <c r="J460" s="62"/>
    </row>
    <row r="461">
      <c r="B461" s="64"/>
      <c r="F461" s="63"/>
      <c r="G461" s="65"/>
      <c r="J461" s="62"/>
    </row>
    <row r="462">
      <c r="B462" s="64"/>
      <c r="F462" s="63"/>
      <c r="G462" s="65"/>
      <c r="J462" s="62"/>
    </row>
    <row r="463">
      <c r="B463" s="64"/>
      <c r="F463" s="63"/>
      <c r="G463" s="65"/>
      <c r="J463" s="62"/>
    </row>
    <row r="464">
      <c r="B464" s="64"/>
      <c r="F464" s="63"/>
      <c r="G464" s="65"/>
      <c r="J464" s="62"/>
    </row>
    <row r="465">
      <c r="B465" s="64"/>
      <c r="F465" s="63"/>
      <c r="G465" s="65"/>
      <c r="J465" s="62"/>
    </row>
    <row r="466">
      <c r="B466" s="64"/>
      <c r="F466" s="63"/>
      <c r="G466" s="65"/>
      <c r="J466" s="62"/>
    </row>
    <row r="467">
      <c r="B467" s="64"/>
      <c r="F467" s="63"/>
      <c r="G467" s="65"/>
      <c r="J467" s="62"/>
    </row>
    <row r="468">
      <c r="B468" s="64"/>
      <c r="F468" s="63"/>
      <c r="G468" s="65"/>
      <c r="J468" s="62"/>
    </row>
    <row r="469">
      <c r="B469" s="64"/>
      <c r="F469" s="63"/>
      <c r="G469" s="65"/>
      <c r="J469" s="62"/>
    </row>
    <row r="470">
      <c r="B470" s="64"/>
      <c r="F470" s="63"/>
      <c r="G470" s="65"/>
      <c r="J470" s="62"/>
    </row>
    <row r="471">
      <c r="B471" s="64"/>
      <c r="F471" s="63"/>
      <c r="G471" s="65"/>
      <c r="J471" s="62"/>
    </row>
    <row r="472">
      <c r="B472" s="64"/>
      <c r="F472" s="63"/>
      <c r="G472" s="65"/>
      <c r="J472" s="62"/>
    </row>
    <row r="473">
      <c r="B473" s="64"/>
      <c r="F473" s="63"/>
      <c r="G473" s="65"/>
      <c r="J473" s="62"/>
    </row>
    <row r="474">
      <c r="B474" s="64"/>
      <c r="F474" s="63"/>
      <c r="G474" s="65"/>
      <c r="J474" s="62"/>
    </row>
    <row r="475">
      <c r="B475" s="64"/>
      <c r="F475" s="63"/>
      <c r="G475" s="65"/>
      <c r="J475" s="62"/>
    </row>
    <row r="476">
      <c r="B476" s="64"/>
      <c r="F476" s="63"/>
      <c r="G476" s="65"/>
      <c r="J476" s="62"/>
    </row>
    <row r="477">
      <c r="B477" s="64"/>
      <c r="F477" s="63"/>
      <c r="G477" s="65"/>
      <c r="J477" s="62"/>
    </row>
    <row r="478">
      <c r="B478" s="64"/>
      <c r="F478" s="63"/>
      <c r="G478" s="65"/>
      <c r="J478" s="62"/>
    </row>
    <row r="479">
      <c r="B479" s="64"/>
      <c r="F479" s="63"/>
      <c r="G479" s="65"/>
      <c r="J479" s="62"/>
    </row>
    <row r="480">
      <c r="B480" s="64"/>
      <c r="F480" s="63"/>
      <c r="G480" s="65"/>
      <c r="J480" s="62"/>
    </row>
    <row r="481">
      <c r="B481" s="64"/>
      <c r="F481" s="63"/>
      <c r="G481" s="65"/>
      <c r="J481" s="62"/>
    </row>
    <row r="482">
      <c r="B482" s="64"/>
      <c r="F482" s="63"/>
      <c r="G482" s="65"/>
      <c r="J482" s="62"/>
    </row>
    <row r="483">
      <c r="B483" s="64"/>
      <c r="F483" s="63"/>
      <c r="G483" s="65"/>
      <c r="J483" s="62"/>
    </row>
    <row r="484">
      <c r="B484" s="64"/>
      <c r="F484" s="63"/>
      <c r="G484" s="65"/>
      <c r="J484" s="62"/>
    </row>
    <row r="485">
      <c r="B485" s="64"/>
      <c r="F485" s="63"/>
      <c r="G485" s="65"/>
      <c r="J485" s="62"/>
    </row>
    <row r="486">
      <c r="B486" s="64"/>
      <c r="F486" s="63"/>
      <c r="G486" s="65"/>
      <c r="J486" s="62"/>
    </row>
    <row r="487">
      <c r="B487" s="64"/>
      <c r="F487" s="63"/>
      <c r="G487" s="65"/>
      <c r="J487" s="62"/>
    </row>
    <row r="488">
      <c r="B488" s="64"/>
      <c r="F488" s="63"/>
      <c r="G488" s="65"/>
      <c r="J488" s="62"/>
    </row>
    <row r="489">
      <c r="B489" s="64"/>
      <c r="F489" s="63"/>
      <c r="G489" s="65"/>
      <c r="J489" s="62"/>
    </row>
    <row r="490">
      <c r="B490" s="64"/>
      <c r="F490" s="63"/>
      <c r="G490" s="65"/>
      <c r="J490" s="62"/>
    </row>
    <row r="491">
      <c r="B491" s="64"/>
      <c r="F491" s="63"/>
      <c r="G491" s="65"/>
      <c r="J491" s="62"/>
    </row>
    <row r="492">
      <c r="B492" s="64"/>
      <c r="F492" s="63"/>
      <c r="G492" s="65"/>
      <c r="J492" s="62"/>
    </row>
    <row r="493">
      <c r="B493" s="64"/>
      <c r="F493" s="63"/>
      <c r="G493" s="65"/>
      <c r="J493" s="62"/>
    </row>
    <row r="494">
      <c r="B494" s="64"/>
      <c r="F494" s="63"/>
      <c r="G494" s="65"/>
      <c r="J494" s="62"/>
    </row>
    <row r="495">
      <c r="B495" s="64"/>
      <c r="F495" s="63"/>
      <c r="G495" s="65"/>
      <c r="J495" s="62"/>
    </row>
    <row r="496">
      <c r="B496" s="64"/>
      <c r="F496" s="63"/>
      <c r="G496" s="65"/>
      <c r="J496" s="62"/>
    </row>
    <row r="497">
      <c r="B497" s="64"/>
      <c r="F497" s="63"/>
      <c r="G497" s="65"/>
      <c r="J497" s="62"/>
    </row>
    <row r="498">
      <c r="B498" s="64"/>
      <c r="F498" s="63"/>
      <c r="G498" s="65"/>
      <c r="J498" s="62"/>
    </row>
    <row r="499">
      <c r="B499" s="64"/>
      <c r="F499" s="63"/>
      <c r="G499" s="65"/>
      <c r="J499" s="62"/>
    </row>
    <row r="500">
      <c r="B500" s="64"/>
      <c r="F500" s="63"/>
      <c r="G500" s="65"/>
      <c r="J500" s="62"/>
    </row>
    <row r="501">
      <c r="B501" s="64"/>
      <c r="F501" s="63"/>
      <c r="G501" s="65"/>
      <c r="J501" s="62"/>
    </row>
    <row r="502">
      <c r="B502" s="64"/>
      <c r="F502" s="63"/>
      <c r="G502" s="65"/>
      <c r="J502" s="62"/>
    </row>
    <row r="503">
      <c r="B503" s="64"/>
      <c r="F503" s="63"/>
      <c r="G503" s="65"/>
      <c r="J503" s="62"/>
    </row>
    <row r="504">
      <c r="B504" s="64"/>
      <c r="F504" s="63"/>
      <c r="G504" s="65"/>
      <c r="J504" s="62"/>
    </row>
    <row r="505">
      <c r="B505" s="64"/>
      <c r="F505" s="63"/>
      <c r="G505" s="65"/>
      <c r="J505" s="62"/>
    </row>
    <row r="506">
      <c r="B506" s="64"/>
      <c r="F506" s="63"/>
      <c r="G506" s="65"/>
      <c r="J506" s="62"/>
    </row>
    <row r="507">
      <c r="B507" s="64"/>
      <c r="F507" s="63"/>
      <c r="G507" s="65"/>
      <c r="J507" s="62"/>
    </row>
    <row r="508">
      <c r="B508" s="64"/>
      <c r="F508" s="63"/>
      <c r="G508" s="65"/>
      <c r="J508" s="62"/>
    </row>
    <row r="509">
      <c r="B509" s="64"/>
      <c r="F509" s="63"/>
      <c r="G509" s="65"/>
      <c r="J509" s="62"/>
    </row>
    <row r="510">
      <c r="B510" s="64"/>
      <c r="F510" s="63"/>
      <c r="G510" s="65"/>
      <c r="J510" s="62"/>
    </row>
    <row r="511">
      <c r="B511" s="64"/>
      <c r="F511" s="63"/>
      <c r="G511" s="65"/>
      <c r="J511" s="62"/>
    </row>
    <row r="512">
      <c r="B512" s="64"/>
      <c r="F512" s="63"/>
      <c r="G512" s="65"/>
      <c r="J512" s="62"/>
    </row>
    <row r="513">
      <c r="B513" s="64"/>
      <c r="F513" s="63"/>
      <c r="G513" s="65"/>
      <c r="J513" s="62"/>
    </row>
    <row r="514">
      <c r="B514" s="64"/>
      <c r="F514" s="63"/>
      <c r="G514" s="65"/>
      <c r="J514" s="62"/>
    </row>
    <row r="515">
      <c r="B515" s="64"/>
      <c r="F515" s="63"/>
      <c r="G515" s="65"/>
      <c r="J515" s="62"/>
    </row>
    <row r="516">
      <c r="B516" s="64"/>
      <c r="F516" s="63"/>
      <c r="G516" s="65"/>
      <c r="J516" s="62"/>
    </row>
    <row r="517">
      <c r="B517" s="64"/>
      <c r="F517" s="63"/>
      <c r="G517" s="65"/>
      <c r="J517" s="62"/>
    </row>
    <row r="518">
      <c r="B518" s="64"/>
      <c r="F518" s="63"/>
      <c r="G518" s="65"/>
      <c r="J518" s="62"/>
    </row>
    <row r="519">
      <c r="B519" s="64"/>
      <c r="F519" s="63"/>
      <c r="G519" s="65"/>
      <c r="J519" s="62"/>
    </row>
    <row r="520">
      <c r="B520" s="64"/>
      <c r="F520" s="63"/>
      <c r="G520" s="65"/>
      <c r="J520" s="62"/>
    </row>
    <row r="521">
      <c r="B521" s="64"/>
      <c r="F521" s="63"/>
      <c r="G521" s="65"/>
      <c r="J521" s="62"/>
    </row>
    <row r="522">
      <c r="B522" s="64"/>
      <c r="F522" s="63"/>
      <c r="G522" s="65"/>
      <c r="J522" s="62"/>
    </row>
    <row r="523">
      <c r="B523" s="64"/>
      <c r="F523" s="63"/>
      <c r="G523" s="65"/>
      <c r="J523" s="62"/>
    </row>
    <row r="524">
      <c r="B524" s="64"/>
      <c r="F524" s="63"/>
      <c r="G524" s="65"/>
      <c r="J524" s="62"/>
    </row>
    <row r="525">
      <c r="B525" s="64"/>
      <c r="F525" s="63"/>
      <c r="G525" s="65"/>
      <c r="J525" s="62"/>
    </row>
    <row r="526">
      <c r="B526" s="64"/>
      <c r="F526" s="63"/>
      <c r="G526" s="65"/>
      <c r="J526" s="62"/>
    </row>
    <row r="527">
      <c r="B527" s="64"/>
      <c r="F527" s="63"/>
      <c r="G527" s="65"/>
      <c r="J527" s="62"/>
    </row>
    <row r="528">
      <c r="B528" s="64"/>
      <c r="F528" s="63"/>
      <c r="G528" s="65"/>
      <c r="J528" s="62"/>
    </row>
    <row r="529">
      <c r="B529" s="64"/>
      <c r="F529" s="63"/>
      <c r="G529" s="65"/>
      <c r="J529" s="62"/>
    </row>
    <row r="530">
      <c r="B530" s="64"/>
      <c r="F530" s="63"/>
      <c r="G530" s="65"/>
      <c r="J530" s="62"/>
    </row>
    <row r="531">
      <c r="B531" s="64"/>
      <c r="F531" s="63"/>
      <c r="G531" s="65"/>
      <c r="J531" s="62"/>
    </row>
    <row r="532">
      <c r="B532" s="64"/>
      <c r="F532" s="63"/>
      <c r="G532" s="65"/>
      <c r="J532" s="62"/>
    </row>
    <row r="533">
      <c r="B533" s="64"/>
      <c r="F533" s="63"/>
      <c r="G533" s="65"/>
      <c r="J533" s="62"/>
    </row>
    <row r="534">
      <c r="B534" s="64"/>
      <c r="F534" s="63"/>
      <c r="G534" s="65"/>
      <c r="J534" s="62"/>
    </row>
    <row r="535">
      <c r="B535" s="64"/>
      <c r="F535" s="63"/>
      <c r="G535" s="65"/>
      <c r="J535" s="62"/>
    </row>
    <row r="536">
      <c r="B536" s="64"/>
      <c r="F536" s="63"/>
      <c r="G536" s="65"/>
      <c r="J536" s="62"/>
    </row>
    <row r="537">
      <c r="B537" s="64"/>
      <c r="F537" s="63"/>
      <c r="G537" s="65"/>
      <c r="J537" s="62"/>
    </row>
    <row r="538">
      <c r="B538" s="64"/>
      <c r="F538" s="63"/>
      <c r="G538" s="65"/>
      <c r="J538" s="62"/>
    </row>
    <row r="539">
      <c r="B539" s="64"/>
      <c r="F539" s="63"/>
      <c r="G539" s="65"/>
      <c r="J539" s="62"/>
    </row>
    <row r="540">
      <c r="B540" s="64"/>
      <c r="F540" s="63"/>
      <c r="G540" s="65"/>
      <c r="J540" s="62"/>
    </row>
    <row r="541">
      <c r="B541" s="64"/>
      <c r="F541" s="63"/>
      <c r="G541" s="65"/>
      <c r="J541" s="62"/>
    </row>
    <row r="542">
      <c r="B542" s="64"/>
      <c r="F542" s="63"/>
      <c r="G542" s="65"/>
      <c r="J542" s="62"/>
    </row>
    <row r="543">
      <c r="B543" s="64"/>
      <c r="F543" s="63"/>
      <c r="G543" s="65"/>
      <c r="J543" s="62"/>
    </row>
    <row r="544">
      <c r="B544" s="64"/>
      <c r="F544" s="63"/>
      <c r="G544" s="65"/>
      <c r="J544" s="62"/>
    </row>
    <row r="545">
      <c r="B545" s="64"/>
      <c r="F545" s="63"/>
      <c r="G545" s="65"/>
      <c r="J545" s="62"/>
    </row>
    <row r="546">
      <c r="B546" s="64"/>
      <c r="F546" s="63"/>
      <c r="G546" s="65"/>
      <c r="J546" s="62"/>
    </row>
    <row r="547">
      <c r="B547" s="64"/>
      <c r="F547" s="63"/>
      <c r="G547" s="65"/>
      <c r="J547" s="62"/>
    </row>
    <row r="548">
      <c r="B548" s="64"/>
      <c r="F548" s="63"/>
      <c r="G548" s="65"/>
      <c r="J548" s="62"/>
    </row>
    <row r="549">
      <c r="B549" s="64"/>
      <c r="F549" s="63"/>
      <c r="G549" s="65"/>
      <c r="J549" s="62"/>
    </row>
    <row r="550">
      <c r="B550" s="64"/>
      <c r="F550" s="63"/>
      <c r="G550" s="65"/>
      <c r="J550" s="62"/>
    </row>
    <row r="551">
      <c r="B551" s="64"/>
      <c r="F551" s="63"/>
      <c r="G551" s="65"/>
      <c r="J551" s="62"/>
    </row>
    <row r="552">
      <c r="B552" s="64"/>
      <c r="F552" s="63"/>
      <c r="G552" s="65"/>
      <c r="J552" s="62"/>
    </row>
    <row r="553">
      <c r="B553" s="64"/>
      <c r="F553" s="63"/>
      <c r="G553" s="65"/>
      <c r="J553" s="62"/>
    </row>
    <row r="554">
      <c r="B554" s="64"/>
      <c r="F554" s="63"/>
      <c r="G554" s="65"/>
      <c r="J554" s="62"/>
    </row>
    <row r="555">
      <c r="B555" s="64"/>
      <c r="F555" s="63"/>
      <c r="G555" s="65"/>
      <c r="J555" s="62"/>
    </row>
    <row r="556">
      <c r="B556" s="64"/>
      <c r="F556" s="63"/>
      <c r="G556" s="65"/>
      <c r="J556" s="62"/>
    </row>
    <row r="557">
      <c r="B557" s="64"/>
      <c r="F557" s="63"/>
      <c r="G557" s="65"/>
      <c r="J557" s="62"/>
    </row>
    <row r="558">
      <c r="B558" s="64"/>
      <c r="F558" s="63"/>
      <c r="G558" s="65"/>
      <c r="J558" s="62"/>
    </row>
    <row r="559">
      <c r="B559" s="64"/>
      <c r="F559" s="63"/>
      <c r="G559" s="65"/>
      <c r="J559" s="62"/>
    </row>
    <row r="560">
      <c r="B560" s="64"/>
      <c r="F560" s="63"/>
      <c r="G560" s="65"/>
      <c r="J560" s="62"/>
    </row>
    <row r="561">
      <c r="B561" s="64"/>
      <c r="F561" s="63"/>
      <c r="G561" s="65"/>
      <c r="J561" s="62"/>
    </row>
    <row r="562">
      <c r="B562" s="64"/>
      <c r="F562" s="63"/>
      <c r="G562" s="65"/>
      <c r="J562" s="62"/>
    </row>
    <row r="563">
      <c r="B563" s="64"/>
      <c r="F563" s="63"/>
      <c r="G563" s="65"/>
      <c r="J563" s="62"/>
    </row>
    <row r="564">
      <c r="B564" s="64"/>
      <c r="F564" s="63"/>
      <c r="G564" s="65"/>
      <c r="J564" s="62"/>
    </row>
    <row r="565">
      <c r="B565" s="64"/>
      <c r="F565" s="63"/>
      <c r="G565" s="65"/>
      <c r="J565" s="62"/>
    </row>
    <row r="566">
      <c r="B566" s="64"/>
      <c r="F566" s="63"/>
      <c r="G566" s="65"/>
      <c r="J566" s="62"/>
    </row>
    <row r="567">
      <c r="B567" s="64"/>
      <c r="F567" s="63"/>
      <c r="G567" s="65"/>
      <c r="J567" s="62"/>
    </row>
    <row r="568">
      <c r="B568" s="64"/>
      <c r="F568" s="63"/>
      <c r="G568" s="65"/>
      <c r="J568" s="62"/>
    </row>
    <row r="569">
      <c r="B569" s="64"/>
      <c r="F569" s="63"/>
      <c r="G569" s="65"/>
      <c r="J569" s="62"/>
    </row>
    <row r="570">
      <c r="B570" s="64"/>
      <c r="F570" s="63"/>
      <c r="G570" s="65"/>
      <c r="J570" s="62"/>
    </row>
    <row r="571">
      <c r="B571" s="64"/>
      <c r="F571" s="63"/>
      <c r="G571" s="65"/>
      <c r="J571" s="62"/>
    </row>
    <row r="572">
      <c r="B572" s="64"/>
      <c r="F572" s="63"/>
      <c r="G572" s="65"/>
      <c r="J572" s="62"/>
    </row>
    <row r="573">
      <c r="B573" s="64"/>
      <c r="F573" s="63"/>
      <c r="G573" s="65"/>
      <c r="J573" s="62"/>
    </row>
    <row r="574">
      <c r="B574" s="64"/>
      <c r="F574" s="63"/>
      <c r="G574" s="65"/>
      <c r="J574" s="62"/>
    </row>
    <row r="575">
      <c r="B575" s="64"/>
      <c r="F575" s="63"/>
      <c r="G575" s="65"/>
      <c r="J575" s="62"/>
    </row>
    <row r="576">
      <c r="B576" s="64"/>
      <c r="F576" s="63"/>
      <c r="G576" s="65"/>
      <c r="J576" s="62"/>
    </row>
    <row r="577">
      <c r="B577" s="64"/>
      <c r="F577" s="63"/>
      <c r="G577" s="65"/>
      <c r="J577" s="62"/>
    </row>
    <row r="578">
      <c r="B578" s="64"/>
      <c r="F578" s="63"/>
      <c r="G578" s="65"/>
      <c r="J578" s="62"/>
    </row>
    <row r="579">
      <c r="B579" s="64"/>
      <c r="F579" s="63"/>
      <c r="G579" s="65"/>
      <c r="J579" s="62"/>
    </row>
    <row r="580">
      <c r="B580" s="64"/>
      <c r="F580" s="63"/>
      <c r="G580" s="65"/>
      <c r="J580" s="62"/>
    </row>
    <row r="581">
      <c r="B581" s="64"/>
      <c r="F581" s="63"/>
      <c r="G581" s="65"/>
      <c r="J581" s="62"/>
    </row>
    <row r="582">
      <c r="B582" s="64"/>
      <c r="F582" s="63"/>
      <c r="G582" s="65"/>
      <c r="J582" s="62"/>
    </row>
    <row r="583">
      <c r="B583" s="64"/>
      <c r="F583" s="63"/>
      <c r="G583" s="65"/>
      <c r="J583" s="62"/>
    </row>
    <row r="584">
      <c r="B584" s="64"/>
      <c r="F584" s="63"/>
      <c r="G584" s="65"/>
      <c r="J584" s="62"/>
    </row>
    <row r="585">
      <c r="B585" s="64"/>
      <c r="F585" s="63"/>
      <c r="G585" s="65"/>
      <c r="J585" s="62"/>
    </row>
    <row r="586">
      <c r="B586" s="64"/>
      <c r="F586" s="63"/>
      <c r="G586" s="65"/>
      <c r="J586" s="62"/>
    </row>
    <row r="587">
      <c r="B587" s="64"/>
      <c r="F587" s="63"/>
      <c r="G587" s="65"/>
      <c r="J587" s="62"/>
    </row>
    <row r="588">
      <c r="B588" s="64"/>
      <c r="F588" s="63"/>
      <c r="G588" s="65"/>
      <c r="J588" s="62"/>
    </row>
    <row r="589">
      <c r="B589" s="64"/>
      <c r="F589" s="63"/>
      <c r="G589" s="65"/>
      <c r="J589" s="62"/>
    </row>
    <row r="590">
      <c r="B590" s="64"/>
      <c r="F590" s="63"/>
      <c r="G590" s="65"/>
      <c r="J590" s="62"/>
    </row>
    <row r="591">
      <c r="B591" s="64"/>
      <c r="F591" s="63"/>
      <c r="G591" s="65"/>
      <c r="J591" s="62"/>
    </row>
    <row r="592">
      <c r="B592" s="64"/>
      <c r="F592" s="63"/>
      <c r="G592" s="65"/>
      <c r="J592" s="62"/>
    </row>
    <row r="593">
      <c r="B593" s="64"/>
      <c r="F593" s="63"/>
      <c r="G593" s="65"/>
      <c r="J593" s="62"/>
    </row>
    <row r="594">
      <c r="B594" s="64"/>
      <c r="F594" s="63"/>
      <c r="G594" s="65"/>
      <c r="J594" s="62"/>
    </row>
    <row r="595">
      <c r="B595" s="64"/>
      <c r="F595" s="63"/>
      <c r="G595" s="65"/>
      <c r="J595" s="62"/>
    </row>
    <row r="596">
      <c r="B596" s="64"/>
      <c r="F596" s="63"/>
      <c r="G596" s="65"/>
      <c r="J596" s="62"/>
    </row>
    <row r="597">
      <c r="B597" s="64"/>
      <c r="F597" s="63"/>
      <c r="G597" s="65"/>
      <c r="J597" s="62"/>
    </row>
    <row r="598">
      <c r="B598" s="64"/>
      <c r="F598" s="63"/>
      <c r="G598" s="65"/>
      <c r="J598" s="62"/>
    </row>
    <row r="599">
      <c r="B599" s="64"/>
      <c r="F599" s="63"/>
      <c r="G599" s="65"/>
      <c r="J599" s="62"/>
    </row>
    <row r="600">
      <c r="B600" s="64"/>
      <c r="F600" s="63"/>
      <c r="G600" s="65"/>
      <c r="J600" s="62"/>
    </row>
    <row r="601">
      <c r="B601" s="64"/>
      <c r="F601" s="63"/>
      <c r="G601" s="65"/>
      <c r="J601" s="62"/>
    </row>
    <row r="602">
      <c r="B602" s="64"/>
      <c r="F602" s="63"/>
      <c r="G602" s="65"/>
      <c r="J602" s="62"/>
    </row>
    <row r="603">
      <c r="B603" s="64"/>
      <c r="F603" s="63"/>
      <c r="G603" s="65"/>
      <c r="J603" s="62"/>
    </row>
    <row r="604">
      <c r="B604" s="64"/>
      <c r="F604" s="63"/>
      <c r="G604" s="65"/>
      <c r="J604" s="62"/>
    </row>
    <row r="605">
      <c r="B605" s="64"/>
      <c r="F605" s="63"/>
      <c r="G605" s="65"/>
      <c r="J605" s="62"/>
    </row>
    <row r="606">
      <c r="B606" s="64"/>
      <c r="F606" s="63"/>
      <c r="G606" s="65"/>
      <c r="J606" s="62"/>
    </row>
    <row r="607">
      <c r="B607" s="64"/>
      <c r="F607" s="63"/>
      <c r="G607" s="65"/>
      <c r="J607" s="62"/>
    </row>
    <row r="608">
      <c r="B608" s="64"/>
      <c r="F608" s="63"/>
      <c r="G608" s="65"/>
      <c r="J608" s="62"/>
    </row>
    <row r="609">
      <c r="B609" s="64"/>
      <c r="F609" s="63"/>
      <c r="G609" s="65"/>
      <c r="J609" s="62"/>
    </row>
    <row r="610">
      <c r="B610" s="64"/>
      <c r="F610" s="63"/>
      <c r="G610" s="65"/>
      <c r="J610" s="62"/>
    </row>
    <row r="611">
      <c r="B611" s="64"/>
      <c r="F611" s="63"/>
      <c r="G611" s="65"/>
      <c r="J611" s="62"/>
    </row>
    <row r="612">
      <c r="B612" s="64"/>
      <c r="F612" s="63"/>
      <c r="G612" s="65"/>
      <c r="J612" s="62"/>
    </row>
    <row r="613">
      <c r="B613" s="64"/>
      <c r="F613" s="63"/>
      <c r="G613" s="65"/>
      <c r="J613" s="62"/>
    </row>
    <row r="614">
      <c r="B614" s="64"/>
      <c r="F614" s="63"/>
      <c r="G614" s="65"/>
      <c r="J614" s="62"/>
    </row>
    <row r="615">
      <c r="B615" s="64"/>
      <c r="F615" s="63"/>
      <c r="G615" s="65"/>
      <c r="J615" s="62"/>
    </row>
    <row r="616">
      <c r="B616" s="64"/>
      <c r="F616" s="63"/>
      <c r="G616" s="65"/>
      <c r="J616" s="62"/>
    </row>
    <row r="617">
      <c r="B617" s="64"/>
      <c r="F617" s="63"/>
      <c r="G617" s="65"/>
      <c r="J617" s="62"/>
    </row>
    <row r="618">
      <c r="B618" s="64"/>
      <c r="F618" s="63"/>
      <c r="G618" s="65"/>
      <c r="J618" s="62"/>
    </row>
    <row r="619">
      <c r="B619" s="64"/>
      <c r="F619" s="63"/>
      <c r="G619" s="65"/>
      <c r="J619" s="62"/>
    </row>
    <row r="620">
      <c r="B620" s="64"/>
      <c r="F620" s="63"/>
      <c r="G620" s="65"/>
      <c r="J620" s="62"/>
    </row>
    <row r="621">
      <c r="B621" s="64"/>
      <c r="F621" s="63"/>
      <c r="G621" s="65"/>
      <c r="J621" s="62"/>
    </row>
    <row r="622">
      <c r="B622" s="64"/>
      <c r="F622" s="63"/>
      <c r="G622" s="65"/>
      <c r="J622" s="62"/>
    </row>
    <row r="623">
      <c r="B623" s="64"/>
      <c r="F623" s="63"/>
      <c r="G623" s="65"/>
      <c r="J623" s="62"/>
    </row>
    <row r="624">
      <c r="B624" s="64"/>
      <c r="F624" s="63"/>
      <c r="G624" s="65"/>
      <c r="J624" s="62"/>
    </row>
    <row r="625">
      <c r="B625" s="64"/>
      <c r="F625" s="63"/>
      <c r="G625" s="65"/>
      <c r="J625" s="62"/>
    </row>
    <row r="626">
      <c r="B626" s="64"/>
      <c r="F626" s="63"/>
      <c r="G626" s="65"/>
      <c r="J626" s="62"/>
    </row>
    <row r="627">
      <c r="B627" s="64"/>
      <c r="F627" s="63"/>
      <c r="G627" s="65"/>
      <c r="J627" s="62"/>
    </row>
    <row r="628">
      <c r="B628" s="64"/>
      <c r="F628" s="63"/>
      <c r="G628" s="65"/>
      <c r="J628" s="62"/>
    </row>
    <row r="629">
      <c r="B629" s="64"/>
      <c r="F629" s="63"/>
      <c r="G629" s="65"/>
      <c r="J629" s="62"/>
    </row>
    <row r="630">
      <c r="B630" s="64"/>
      <c r="F630" s="63"/>
      <c r="G630" s="65"/>
      <c r="J630" s="62"/>
    </row>
    <row r="631">
      <c r="B631" s="64"/>
      <c r="F631" s="63"/>
      <c r="G631" s="65"/>
      <c r="J631" s="62"/>
    </row>
    <row r="632">
      <c r="B632" s="64"/>
      <c r="F632" s="63"/>
      <c r="G632" s="65"/>
      <c r="J632" s="62"/>
    </row>
    <row r="633">
      <c r="B633" s="64"/>
      <c r="F633" s="63"/>
      <c r="G633" s="65"/>
      <c r="J633" s="62"/>
    </row>
    <row r="634">
      <c r="B634" s="64"/>
      <c r="F634" s="63"/>
      <c r="G634" s="65"/>
      <c r="J634" s="62"/>
    </row>
    <row r="635">
      <c r="B635" s="64"/>
      <c r="F635" s="63"/>
      <c r="G635" s="65"/>
      <c r="J635" s="62"/>
    </row>
    <row r="636">
      <c r="B636" s="64"/>
      <c r="F636" s="63"/>
      <c r="G636" s="65"/>
      <c r="J636" s="62"/>
    </row>
    <row r="637">
      <c r="B637" s="64"/>
      <c r="F637" s="63"/>
      <c r="G637" s="65"/>
      <c r="J637" s="62"/>
    </row>
    <row r="638">
      <c r="B638" s="64"/>
      <c r="F638" s="63"/>
      <c r="G638" s="65"/>
      <c r="J638" s="62"/>
    </row>
    <row r="639">
      <c r="B639" s="64"/>
      <c r="F639" s="63"/>
      <c r="G639" s="65"/>
      <c r="J639" s="62"/>
    </row>
    <row r="640">
      <c r="B640" s="64"/>
      <c r="F640" s="63"/>
      <c r="G640" s="65"/>
      <c r="J640" s="62"/>
    </row>
    <row r="641">
      <c r="B641" s="64"/>
      <c r="F641" s="63"/>
      <c r="G641" s="65"/>
      <c r="J641" s="62"/>
    </row>
    <row r="642">
      <c r="B642" s="64"/>
      <c r="F642" s="63"/>
      <c r="G642" s="65"/>
      <c r="J642" s="62"/>
    </row>
    <row r="643">
      <c r="B643" s="64"/>
      <c r="F643" s="63"/>
      <c r="G643" s="65"/>
      <c r="J643" s="62"/>
    </row>
    <row r="644">
      <c r="B644" s="64"/>
      <c r="F644" s="63"/>
      <c r="G644" s="65"/>
      <c r="J644" s="62"/>
    </row>
    <row r="645">
      <c r="B645" s="64"/>
      <c r="F645" s="63"/>
      <c r="G645" s="65"/>
      <c r="J645" s="62"/>
    </row>
    <row r="646">
      <c r="B646" s="64"/>
      <c r="F646" s="63"/>
      <c r="G646" s="65"/>
      <c r="J646" s="62"/>
    </row>
    <row r="647">
      <c r="B647" s="64"/>
      <c r="F647" s="63"/>
      <c r="G647" s="65"/>
      <c r="J647" s="62"/>
    </row>
    <row r="648">
      <c r="B648" s="64"/>
      <c r="F648" s="63"/>
      <c r="G648" s="65"/>
      <c r="J648" s="62"/>
    </row>
    <row r="649">
      <c r="B649" s="64"/>
      <c r="F649" s="63"/>
      <c r="G649" s="65"/>
      <c r="J649" s="62"/>
    </row>
    <row r="650">
      <c r="B650" s="64"/>
      <c r="F650" s="63"/>
      <c r="G650" s="65"/>
      <c r="J650" s="62"/>
    </row>
    <row r="651">
      <c r="B651" s="64"/>
      <c r="F651" s="63"/>
      <c r="G651" s="65"/>
      <c r="J651" s="62"/>
    </row>
    <row r="652">
      <c r="B652" s="64"/>
      <c r="F652" s="63"/>
      <c r="G652" s="65"/>
      <c r="J652" s="62"/>
    </row>
    <row r="653">
      <c r="B653" s="64"/>
      <c r="F653" s="63"/>
      <c r="G653" s="65"/>
      <c r="J653" s="62"/>
    </row>
    <row r="654">
      <c r="B654" s="64"/>
      <c r="F654" s="63"/>
      <c r="G654" s="65"/>
      <c r="J654" s="62"/>
    </row>
    <row r="655">
      <c r="B655" s="64"/>
      <c r="F655" s="63"/>
      <c r="G655" s="65"/>
      <c r="J655" s="62"/>
    </row>
    <row r="656">
      <c r="B656" s="64"/>
      <c r="F656" s="63"/>
      <c r="G656" s="65"/>
      <c r="J656" s="62"/>
    </row>
    <row r="657">
      <c r="B657" s="64"/>
      <c r="F657" s="63"/>
      <c r="G657" s="65"/>
      <c r="J657" s="62"/>
    </row>
    <row r="658">
      <c r="B658" s="64"/>
      <c r="F658" s="63"/>
      <c r="G658" s="65"/>
      <c r="J658" s="62"/>
    </row>
    <row r="659">
      <c r="B659" s="64"/>
      <c r="F659" s="63"/>
      <c r="G659" s="65"/>
      <c r="J659" s="62"/>
    </row>
    <row r="660">
      <c r="B660" s="64"/>
      <c r="F660" s="63"/>
      <c r="G660" s="65"/>
      <c r="J660" s="62"/>
    </row>
    <row r="661">
      <c r="B661" s="64"/>
      <c r="F661" s="63"/>
      <c r="G661" s="65"/>
      <c r="J661" s="62"/>
    </row>
    <row r="662">
      <c r="B662" s="64"/>
      <c r="F662" s="63"/>
      <c r="G662" s="65"/>
      <c r="J662" s="62"/>
    </row>
    <row r="663">
      <c r="B663" s="64"/>
      <c r="F663" s="63"/>
      <c r="G663" s="65"/>
      <c r="J663" s="62"/>
    </row>
    <row r="664">
      <c r="B664" s="64"/>
      <c r="F664" s="63"/>
      <c r="G664" s="65"/>
      <c r="J664" s="62"/>
    </row>
    <row r="665">
      <c r="B665" s="64"/>
      <c r="F665" s="63"/>
      <c r="G665" s="65"/>
      <c r="J665" s="62"/>
    </row>
    <row r="666">
      <c r="B666" s="64"/>
      <c r="F666" s="63"/>
      <c r="G666" s="65"/>
      <c r="J666" s="62"/>
    </row>
    <row r="667">
      <c r="B667" s="64"/>
      <c r="F667" s="63"/>
      <c r="G667" s="65"/>
      <c r="J667" s="62"/>
    </row>
    <row r="668">
      <c r="B668" s="64"/>
      <c r="F668" s="63"/>
      <c r="G668" s="65"/>
      <c r="J668" s="62"/>
    </row>
    <row r="669">
      <c r="B669" s="64"/>
      <c r="F669" s="63"/>
      <c r="G669" s="65"/>
      <c r="J669" s="62"/>
    </row>
    <row r="670">
      <c r="B670" s="64"/>
      <c r="F670" s="63"/>
      <c r="G670" s="65"/>
      <c r="J670" s="62"/>
    </row>
    <row r="671">
      <c r="B671" s="64"/>
      <c r="F671" s="63"/>
      <c r="G671" s="65"/>
      <c r="J671" s="62"/>
    </row>
    <row r="672">
      <c r="B672" s="64"/>
      <c r="F672" s="63"/>
      <c r="G672" s="65"/>
      <c r="J672" s="62"/>
    </row>
    <row r="673">
      <c r="B673" s="64"/>
      <c r="F673" s="63"/>
      <c r="G673" s="65"/>
      <c r="J673" s="62"/>
    </row>
    <row r="674">
      <c r="B674" s="64"/>
      <c r="F674" s="63"/>
      <c r="G674" s="65"/>
      <c r="J674" s="62"/>
    </row>
    <row r="675">
      <c r="B675" s="64"/>
      <c r="F675" s="63"/>
      <c r="G675" s="65"/>
      <c r="J675" s="62"/>
    </row>
    <row r="676">
      <c r="B676" s="64"/>
      <c r="F676" s="63"/>
      <c r="G676" s="65"/>
      <c r="J676" s="62"/>
    </row>
    <row r="677">
      <c r="B677" s="64"/>
      <c r="F677" s="63"/>
      <c r="G677" s="65"/>
      <c r="J677" s="62"/>
    </row>
    <row r="678">
      <c r="B678" s="64"/>
      <c r="F678" s="63"/>
      <c r="G678" s="65"/>
      <c r="J678" s="62"/>
    </row>
    <row r="679">
      <c r="B679" s="64"/>
      <c r="F679" s="63"/>
      <c r="G679" s="65"/>
      <c r="J679" s="62"/>
    </row>
    <row r="680">
      <c r="B680" s="64"/>
      <c r="F680" s="63"/>
      <c r="G680" s="65"/>
      <c r="J680" s="62"/>
    </row>
    <row r="681">
      <c r="B681" s="64"/>
      <c r="F681" s="63"/>
      <c r="G681" s="65"/>
      <c r="J681" s="62"/>
    </row>
    <row r="682">
      <c r="B682" s="64"/>
      <c r="F682" s="63"/>
      <c r="G682" s="65"/>
      <c r="J682" s="62"/>
    </row>
    <row r="683">
      <c r="B683" s="64"/>
      <c r="F683" s="63"/>
      <c r="G683" s="65"/>
      <c r="J683" s="62"/>
    </row>
    <row r="684">
      <c r="B684" s="64"/>
      <c r="F684" s="63"/>
      <c r="G684" s="65"/>
      <c r="J684" s="62"/>
    </row>
    <row r="685">
      <c r="B685" s="64"/>
      <c r="F685" s="63"/>
      <c r="G685" s="65"/>
      <c r="J685" s="62"/>
    </row>
    <row r="686">
      <c r="B686" s="64"/>
      <c r="F686" s="63"/>
      <c r="G686" s="65"/>
      <c r="J686" s="62"/>
    </row>
    <row r="687">
      <c r="B687" s="64"/>
      <c r="F687" s="63"/>
      <c r="G687" s="65"/>
      <c r="J687" s="62"/>
    </row>
    <row r="688">
      <c r="B688" s="64"/>
      <c r="F688" s="63"/>
      <c r="G688" s="65"/>
      <c r="J688" s="62"/>
    </row>
    <row r="689">
      <c r="B689" s="64"/>
      <c r="F689" s="63"/>
      <c r="G689" s="65"/>
      <c r="J689" s="62"/>
    </row>
    <row r="690">
      <c r="B690" s="64"/>
      <c r="F690" s="63"/>
      <c r="G690" s="65"/>
      <c r="J690" s="62"/>
    </row>
    <row r="691">
      <c r="B691" s="64"/>
      <c r="F691" s="63"/>
      <c r="G691" s="65"/>
      <c r="J691" s="62"/>
    </row>
    <row r="692">
      <c r="B692" s="64"/>
      <c r="F692" s="63"/>
      <c r="G692" s="65"/>
      <c r="J692" s="62"/>
    </row>
    <row r="693">
      <c r="B693" s="64"/>
      <c r="F693" s="63"/>
      <c r="G693" s="65"/>
      <c r="J693" s="62"/>
    </row>
    <row r="694">
      <c r="B694" s="64"/>
      <c r="F694" s="63"/>
      <c r="G694" s="65"/>
      <c r="J694" s="62"/>
    </row>
    <row r="695">
      <c r="B695" s="64"/>
      <c r="F695" s="63"/>
      <c r="G695" s="65"/>
      <c r="J695" s="62"/>
    </row>
    <row r="696">
      <c r="B696" s="64"/>
      <c r="F696" s="63"/>
      <c r="G696" s="65"/>
      <c r="J696" s="62"/>
    </row>
    <row r="697">
      <c r="B697" s="64"/>
      <c r="F697" s="63"/>
      <c r="G697" s="65"/>
      <c r="J697" s="62"/>
    </row>
    <row r="698">
      <c r="B698" s="64"/>
      <c r="F698" s="63"/>
      <c r="G698" s="65"/>
      <c r="J698" s="62"/>
    </row>
    <row r="699">
      <c r="B699" s="64"/>
      <c r="F699" s="63"/>
      <c r="G699" s="65"/>
      <c r="J699" s="62"/>
    </row>
    <row r="700">
      <c r="B700" s="64"/>
      <c r="F700" s="63"/>
      <c r="G700" s="65"/>
      <c r="J700" s="62"/>
    </row>
    <row r="701">
      <c r="B701" s="64"/>
      <c r="F701" s="63"/>
      <c r="G701" s="65"/>
      <c r="J701" s="62"/>
    </row>
    <row r="702">
      <c r="B702" s="64"/>
      <c r="F702" s="63"/>
      <c r="G702" s="65"/>
      <c r="J702" s="62"/>
    </row>
    <row r="703">
      <c r="B703" s="64"/>
      <c r="F703" s="63"/>
      <c r="G703" s="65"/>
      <c r="J703" s="62"/>
    </row>
    <row r="704">
      <c r="B704" s="64"/>
      <c r="F704" s="63"/>
      <c r="G704" s="65"/>
      <c r="J704" s="62"/>
    </row>
    <row r="705">
      <c r="B705" s="64"/>
      <c r="F705" s="63"/>
      <c r="G705" s="65"/>
      <c r="J705" s="62"/>
    </row>
    <row r="706">
      <c r="B706" s="64"/>
      <c r="F706" s="63"/>
      <c r="G706" s="65"/>
      <c r="J706" s="62"/>
    </row>
    <row r="707">
      <c r="B707" s="64"/>
      <c r="F707" s="63"/>
      <c r="G707" s="65"/>
      <c r="J707" s="62"/>
    </row>
    <row r="708">
      <c r="B708" s="64"/>
      <c r="F708" s="63"/>
      <c r="G708" s="65"/>
      <c r="J708" s="62"/>
    </row>
    <row r="709">
      <c r="B709" s="64"/>
      <c r="F709" s="63"/>
      <c r="G709" s="65"/>
      <c r="J709" s="62"/>
    </row>
    <row r="710">
      <c r="B710" s="64"/>
      <c r="F710" s="63"/>
      <c r="G710" s="65"/>
      <c r="J710" s="62"/>
    </row>
    <row r="711">
      <c r="B711" s="64"/>
      <c r="F711" s="63"/>
      <c r="G711" s="65"/>
      <c r="J711" s="62"/>
    </row>
    <row r="712">
      <c r="B712" s="64"/>
      <c r="F712" s="63"/>
      <c r="G712" s="65"/>
      <c r="J712" s="62"/>
    </row>
    <row r="713">
      <c r="B713" s="64"/>
      <c r="F713" s="63"/>
      <c r="G713" s="65"/>
      <c r="J713" s="62"/>
    </row>
    <row r="714">
      <c r="B714" s="64"/>
      <c r="F714" s="63"/>
      <c r="G714" s="65"/>
      <c r="J714" s="62"/>
    </row>
    <row r="715">
      <c r="B715" s="64"/>
      <c r="F715" s="63"/>
      <c r="G715" s="65"/>
      <c r="J715" s="62"/>
    </row>
    <row r="716">
      <c r="B716" s="64"/>
      <c r="F716" s="63"/>
      <c r="G716" s="65"/>
      <c r="J716" s="62"/>
    </row>
    <row r="717">
      <c r="B717" s="64"/>
      <c r="F717" s="63"/>
      <c r="G717" s="65"/>
      <c r="J717" s="62"/>
    </row>
    <row r="718">
      <c r="B718" s="64"/>
      <c r="F718" s="63"/>
      <c r="G718" s="65"/>
      <c r="J718" s="62"/>
    </row>
    <row r="719">
      <c r="B719" s="64"/>
      <c r="F719" s="63"/>
      <c r="G719" s="65"/>
      <c r="J719" s="62"/>
    </row>
    <row r="720">
      <c r="B720" s="64"/>
      <c r="F720" s="63"/>
      <c r="G720" s="65"/>
      <c r="J720" s="62"/>
    </row>
    <row r="721">
      <c r="B721" s="64"/>
      <c r="F721" s="63"/>
      <c r="G721" s="65"/>
      <c r="J721" s="62"/>
    </row>
    <row r="722">
      <c r="B722" s="64"/>
      <c r="F722" s="63"/>
      <c r="G722" s="65"/>
      <c r="J722" s="62"/>
    </row>
    <row r="723">
      <c r="B723" s="64"/>
      <c r="F723" s="63"/>
      <c r="G723" s="65"/>
      <c r="J723" s="62"/>
    </row>
    <row r="724">
      <c r="B724" s="64"/>
      <c r="F724" s="63"/>
      <c r="G724" s="65"/>
      <c r="J724" s="62"/>
    </row>
    <row r="725">
      <c r="B725" s="64"/>
      <c r="F725" s="63"/>
      <c r="G725" s="65"/>
      <c r="J725" s="62"/>
    </row>
    <row r="726">
      <c r="B726" s="64"/>
      <c r="F726" s="63"/>
      <c r="G726" s="65"/>
      <c r="J726" s="62"/>
    </row>
    <row r="727">
      <c r="B727" s="64"/>
      <c r="F727" s="63"/>
      <c r="G727" s="65"/>
      <c r="J727" s="62"/>
    </row>
    <row r="728">
      <c r="B728" s="64"/>
      <c r="F728" s="63"/>
      <c r="G728" s="65"/>
      <c r="J728" s="62"/>
    </row>
    <row r="729">
      <c r="B729" s="64"/>
      <c r="F729" s="63"/>
      <c r="G729" s="65"/>
      <c r="J729" s="62"/>
    </row>
    <row r="730">
      <c r="B730" s="64"/>
      <c r="F730" s="63"/>
      <c r="G730" s="65"/>
      <c r="J730" s="62"/>
    </row>
    <row r="731">
      <c r="B731" s="64"/>
      <c r="F731" s="63"/>
      <c r="G731" s="65"/>
      <c r="J731" s="62"/>
    </row>
    <row r="732">
      <c r="B732" s="64"/>
      <c r="F732" s="63"/>
      <c r="G732" s="65"/>
      <c r="J732" s="62"/>
    </row>
    <row r="733">
      <c r="B733" s="64"/>
      <c r="F733" s="63"/>
      <c r="G733" s="65"/>
      <c r="J733" s="62"/>
    </row>
    <row r="734">
      <c r="B734" s="64"/>
      <c r="F734" s="63"/>
      <c r="G734" s="65"/>
      <c r="J734" s="62"/>
    </row>
    <row r="735">
      <c r="B735" s="64"/>
      <c r="F735" s="63"/>
      <c r="G735" s="65"/>
      <c r="J735" s="62"/>
    </row>
    <row r="736">
      <c r="B736" s="64"/>
      <c r="F736" s="63"/>
      <c r="G736" s="65"/>
      <c r="J736" s="62"/>
    </row>
    <row r="737">
      <c r="B737" s="64"/>
      <c r="F737" s="63"/>
      <c r="G737" s="65"/>
      <c r="J737" s="62"/>
    </row>
    <row r="738">
      <c r="B738" s="64"/>
      <c r="F738" s="63"/>
      <c r="G738" s="65"/>
      <c r="J738" s="62"/>
    </row>
    <row r="739">
      <c r="B739" s="64"/>
      <c r="F739" s="63"/>
      <c r="G739" s="65"/>
      <c r="J739" s="62"/>
    </row>
    <row r="740">
      <c r="B740" s="64"/>
      <c r="F740" s="63"/>
      <c r="G740" s="65"/>
      <c r="J740" s="62"/>
    </row>
    <row r="741">
      <c r="B741" s="64"/>
      <c r="F741" s="63"/>
      <c r="G741" s="65"/>
      <c r="J741" s="62"/>
    </row>
    <row r="742">
      <c r="B742" s="64"/>
      <c r="F742" s="63"/>
      <c r="G742" s="65"/>
      <c r="J742" s="62"/>
    </row>
    <row r="743">
      <c r="B743" s="64"/>
      <c r="F743" s="63"/>
      <c r="G743" s="65"/>
      <c r="J743" s="62"/>
    </row>
    <row r="744">
      <c r="B744" s="64"/>
      <c r="F744" s="63"/>
      <c r="G744" s="65"/>
      <c r="J744" s="62"/>
    </row>
    <row r="745">
      <c r="B745" s="64"/>
      <c r="F745" s="63"/>
      <c r="G745" s="65"/>
      <c r="J745" s="62"/>
    </row>
    <row r="746">
      <c r="B746" s="64"/>
      <c r="F746" s="63"/>
      <c r="G746" s="65"/>
      <c r="J746" s="62"/>
    </row>
    <row r="747">
      <c r="B747" s="64"/>
      <c r="F747" s="63"/>
      <c r="G747" s="65"/>
      <c r="J747" s="62"/>
    </row>
    <row r="748">
      <c r="B748" s="64"/>
      <c r="F748" s="63"/>
      <c r="G748" s="65"/>
      <c r="J748" s="62"/>
    </row>
    <row r="749">
      <c r="B749" s="64"/>
      <c r="F749" s="63"/>
      <c r="G749" s="65"/>
      <c r="J749" s="62"/>
    </row>
    <row r="750">
      <c r="B750" s="64"/>
      <c r="F750" s="63"/>
      <c r="G750" s="65"/>
      <c r="J750" s="62"/>
    </row>
    <row r="751">
      <c r="B751" s="64"/>
      <c r="F751" s="63"/>
      <c r="G751" s="65"/>
      <c r="J751" s="62"/>
    </row>
    <row r="752">
      <c r="B752" s="64"/>
      <c r="F752" s="63"/>
      <c r="G752" s="65"/>
      <c r="J752" s="62"/>
    </row>
    <row r="753">
      <c r="B753" s="64"/>
      <c r="F753" s="63"/>
      <c r="G753" s="65"/>
      <c r="J753" s="62"/>
    </row>
    <row r="754">
      <c r="B754" s="64"/>
      <c r="F754" s="63"/>
      <c r="G754" s="65"/>
      <c r="J754" s="62"/>
    </row>
    <row r="755">
      <c r="B755" s="64"/>
      <c r="F755" s="63"/>
      <c r="G755" s="65"/>
      <c r="J755" s="62"/>
    </row>
    <row r="756">
      <c r="B756" s="64"/>
      <c r="F756" s="63"/>
      <c r="G756" s="65"/>
      <c r="J756" s="62"/>
    </row>
    <row r="757">
      <c r="B757" s="64"/>
      <c r="F757" s="63"/>
      <c r="G757" s="65"/>
      <c r="J757" s="62"/>
    </row>
    <row r="758">
      <c r="B758" s="64"/>
      <c r="F758" s="63"/>
      <c r="G758" s="65"/>
      <c r="J758" s="62"/>
    </row>
    <row r="759">
      <c r="B759" s="64"/>
      <c r="F759" s="63"/>
      <c r="G759" s="65"/>
      <c r="J759" s="62"/>
    </row>
    <row r="760">
      <c r="B760" s="64"/>
      <c r="F760" s="63"/>
      <c r="G760" s="65"/>
      <c r="J760" s="62"/>
    </row>
    <row r="761">
      <c r="B761" s="64"/>
      <c r="F761" s="63"/>
      <c r="G761" s="65"/>
      <c r="J761" s="62"/>
    </row>
    <row r="762">
      <c r="B762" s="64"/>
      <c r="F762" s="63"/>
      <c r="G762" s="65"/>
      <c r="J762" s="62"/>
    </row>
    <row r="763">
      <c r="B763" s="64"/>
      <c r="F763" s="63"/>
      <c r="G763" s="65"/>
      <c r="J763" s="62"/>
    </row>
    <row r="764">
      <c r="B764" s="64"/>
      <c r="F764" s="63"/>
      <c r="G764" s="65"/>
      <c r="J764" s="62"/>
    </row>
    <row r="765">
      <c r="B765" s="64"/>
      <c r="F765" s="63"/>
      <c r="G765" s="65"/>
      <c r="J765" s="62"/>
    </row>
    <row r="766">
      <c r="B766" s="64"/>
      <c r="F766" s="63"/>
      <c r="G766" s="65"/>
      <c r="J766" s="62"/>
    </row>
    <row r="767">
      <c r="B767" s="64"/>
      <c r="F767" s="63"/>
      <c r="G767" s="65"/>
      <c r="J767" s="62"/>
    </row>
    <row r="768">
      <c r="B768" s="64"/>
      <c r="F768" s="63"/>
      <c r="G768" s="65"/>
      <c r="J768" s="62"/>
    </row>
    <row r="769">
      <c r="B769" s="64"/>
      <c r="F769" s="63"/>
      <c r="G769" s="65"/>
      <c r="J769" s="62"/>
    </row>
    <row r="770">
      <c r="B770" s="64"/>
      <c r="F770" s="63"/>
      <c r="G770" s="65"/>
      <c r="J770" s="62"/>
    </row>
    <row r="771">
      <c r="B771" s="64"/>
      <c r="F771" s="63"/>
      <c r="G771" s="65"/>
      <c r="J771" s="62"/>
    </row>
    <row r="772">
      <c r="B772" s="64"/>
      <c r="F772" s="63"/>
      <c r="G772" s="65"/>
      <c r="J772" s="62"/>
    </row>
    <row r="773">
      <c r="B773" s="64"/>
      <c r="F773" s="63"/>
      <c r="G773" s="65"/>
      <c r="J773" s="62"/>
    </row>
    <row r="774">
      <c r="B774" s="64"/>
      <c r="F774" s="63"/>
      <c r="G774" s="65"/>
      <c r="J774" s="62"/>
    </row>
    <row r="775">
      <c r="B775" s="64"/>
      <c r="F775" s="63"/>
      <c r="G775" s="65"/>
      <c r="J775" s="62"/>
    </row>
    <row r="776">
      <c r="B776" s="64"/>
      <c r="F776" s="63"/>
      <c r="G776" s="65"/>
      <c r="J776" s="62"/>
    </row>
    <row r="777">
      <c r="B777" s="64"/>
      <c r="F777" s="63"/>
      <c r="G777" s="65"/>
      <c r="J777" s="62"/>
    </row>
    <row r="778">
      <c r="B778" s="64"/>
      <c r="F778" s="63"/>
      <c r="G778" s="65"/>
      <c r="J778" s="62"/>
    </row>
    <row r="779">
      <c r="B779" s="64"/>
      <c r="F779" s="63"/>
      <c r="G779" s="65"/>
      <c r="J779" s="62"/>
    </row>
    <row r="780">
      <c r="B780" s="64"/>
      <c r="F780" s="63"/>
      <c r="G780" s="65"/>
      <c r="J780" s="62"/>
    </row>
    <row r="781">
      <c r="B781" s="64"/>
      <c r="F781" s="63"/>
      <c r="G781" s="65"/>
      <c r="J781" s="62"/>
    </row>
    <row r="782">
      <c r="B782" s="64"/>
      <c r="F782" s="63"/>
      <c r="G782" s="65"/>
      <c r="J782" s="62"/>
    </row>
    <row r="783">
      <c r="B783" s="64"/>
      <c r="F783" s="63"/>
      <c r="G783" s="65"/>
      <c r="J783" s="62"/>
    </row>
    <row r="784">
      <c r="B784" s="64"/>
      <c r="F784" s="63"/>
      <c r="G784" s="65"/>
      <c r="J784" s="62"/>
    </row>
    <row r="785">
      <c r="B785" s="64"/>
      <c r="F785" s="63"/>
      <c r="G785" s="65"/>
      <c r="J785" s="62"/>
    </row>
    <row r="786">
      <c r="B786" s="64"/>
      <c r="F786" s="63"/>
      <c r="G786" s="65"/>
      <c r="J786" s="62"/>
    </row>
    <row r="787">
      <c r="B787" s="64"/>
      <c r="F787" s="63"/>
      <c r="G787" s="65"/>
      <c r="J787" s="62"/>
    </row>
    <row r="788">
      <c r="B788" s="64"/>
      <c r="F788" s="63"/>
      <c r="G788" s="65"/>
      <c r="J788" s="62"/>
    </row>
    <row r="789">
      <c r="B789" s="64"/>
      <c r="F789" s="63"/>
      <c r="G789" s="65"/>
      <c r="J789" s="62"/>
    </row>
    <row r="790">
      <c r="B790" s="64"/>
      <c r="F790" s="63"/>
      <c r="G790" s="65"/>
      <c r="J790" s="62"/>
    </row>
    <row r="791">
      <c r="B791" s="64"/>
      <c r="F791" s="63"/>
      <c r="G791" s="65"/>
      <c r="J791" s="62"/>
    </row>
    <row r="792">
      <c r="B792" s="64"/>
      <c r="F792" s="63"/>
      <c r="G792" s="65"/>
      <c r="J792" s="62"/>
    </row>
    <row r="793">
      <c r="B793" s="64"/>
      <c r="F793" s="63"/>
      <c r="G793" s="65"/>
      <c r="J793" s="62"/>
    </row>
    <row r="794">
      <c r="B794" s="64"/>
      <c r="F794" s="63"/>
      <c r="G794" s="65"/>
      <c r="J794" s="62"/>
    </row>
    <row r="795">
      <c r="B795" s="64"/>
      <c r="F795" s="63"/>
      <c r="G795" s="65"/>
      <c r="J795" s="62"/>
    </row>
    <row r="796">
      <c r="B796" s="64"/>
      <c r="F796" s="63"/>
      <c r="G796" s="65"/>
      <c r="J796" s="62"/>
    </row>
    <row r="797">
      <c r="B797" s="64"/>
      <c r="F797" s="63"/>
      <c r="G797" s="65"/>
      <c r="J797" s="62"/>
    </row>
    <row r="798">
      <c r="B798" s="64"/>
      <c r="F798" s="63"/>
      <c r="G798" s="65"/>
      <c r="J798" s="62"/>
    </row>
    <row r="799">
      <c r="B799" s="64"/>
      <c r="F799" s="63"/>
      <c r="G799" s="65"/>
      <c r="J799" s="62"/>
    </row>
    <row r="800">
      <c r="B800" s="64"/>
      <c r="F800" s="63"/>
      <c r="G800" s="65"/>
      <c r="J800" s="62"/>
    </row>
    <row r="801">
      <c r="B801" s="64"/>
      <c r="F801" s="63"/>
      <c r="G801" s="65"/>
      <c r="J801" s="62"/>
    </row>
    <row r="802">
      <c r="B802" s="64"/>
      <c r="F802" s="63"/>
      <c r="G802" s="65"/>
      <c r="J802" s="62"/>
    </row>
    <row r="803">
      <c r="B803" s="64"/>
      <c r="F803" s="63"/>
      <c r="G803" s="65"/>
      <c r="J803" s="62"/>
    </row>
    <row r="804">
      <c r="B804" s="64"/>
      <c r="F804" s="63"/>
      <c r="G804" s="65"/>
      <c r="J804" s="62"/>
    </row>
    <row r="805">
      <c r="B805" s="64"/>
      <c r="F805" s="63"/>
      <c r="G805" s="65"/>
      <c r="J805" s="62"/>
    </row>
    <row r="806">
      <c r="B806" s="64"/>
      <c r="F806" s="63"/>
      <c r="G806" s="65"/>
      <c r="J806" s="62"/>
    </row>
    <row r="807">
      <c r="B807" s="64"/>
      <c r="F807" s="63"/>
      <c r="G807" s="65"/>
      <c r="J807" s="62"/>
    </row>
    <row r="808">
      <c r="B808" s="64"/>
      <c r="F808" s="63"/>
      <c r="G808" s="65"/>
      <c r="J808" s="62"/>
    </row>
    <row r="809">
      <c r="B809" s="64"/>
      <c r="F809" s="63"/>
      <c r="G809" s="65"/>
      <c r="J809" s="62"/>
    </row>
    <row r="810">
      <c r="B810" s="64"/>
      <c r="F810" s="63"/>
      <c r="G810" s="65"/>
      <c r="J810" s="62"/>
    </row>
    <row r="811">
      <c r="B811" s="64"/>
      <c r="F811" s="63"/>
      <c r="G811" s="65"/>
      <c r="J811" s="62"/>
    </row>
    <row r="812">
      <c r="B812" s="64"/>
      <c r="F812" s="63"/>
      <c r="G812" s="65"/>
      <c r="J812" s="62"/>
    </row>
    <row r="813">
      <c r="B813" s="64"/>
      <c r="F813" s="63"/>
      <c r="G813" s="65"/>
      <c r="J813" s="62"/>
    </row>
    <row r="814">
      <c r="B814" s="64"/>
      <c r="F814" s="63"/>
      <c r="G814" s="65"/>
      <c r="J814" s="62"/>
    </row>
    <row r="815">
      <c r="B815" s="64"/>
      <c r="F815" s="63"/>
      <c r="G815" s="65"/>
      <c r="J815" s="62"/>
    </row>
    <row r="816">
      <c r="B816" s="64"/>
      <c r="F816" s="63"/>
      <c r="G816" s="65"/>
      <c r="J816" s="62"/>
    </row>
    <row r="817">
      <c r="B817" s="64"/>
      <c r="F817" s="63"/>
      <c r="G817" s="65"/>
      <c r="J817" s="62"/>
    </row>
    <row r="818">
      <c r="B818" s="64"/>
      <c r="F818" s="63"/>
      <c r="G818" s="65"/>
      <c r="J818" s="62"/>
    </row>
    <row r="819">
      <c r="B819" s="64"/>
      <c r="F819" s="63"/>
      <c r="G819" s="65"/>
      <c r="J819" s="62"/>
    </row>
    <row r="820">
      <c r="B820" s="64"/>
      <c r="F820" s="63"/>
      <c r="G820" s="65"/>
      <c r="J820" s="62"/>
    </row>
    <row r="821">
      <c r="B821" s="64"/>
      <c r="F821" s="63"/>
      <c r="G821" s="65"/>
      <c r="J821" s="62"/>
    </row>
    <row r="822">
      <c r="B822" s="64"/>
      <c r="F822" s="63"/>
      <c r="G822" s="65"/>
      <c r="J822" s="62"/>
    </row>
    <row r="823">
      <c r="B823" s="64"/>
      <c r="F823" s="63"/>
      <c r="G823" s="65"/>
      <c r="J823" s="62"/>
    </row>
    <row r="824">
      <c r="B824" s="64"/>
      <c r="F824" s="63"/>
      <c r="G824" s="65"/>
      <c r="J824" s="62"/>
    </row>
    <row r="825">
      <c r="B825" s="64"/>
      <c r="F825" s="63"/>
      <c r="G825" s="65"/>
      <c r="J825" s="62"/>
    </row>
    <row r="826">
      <c r="B826" s="64"/>
      <c r="F826" s="63"/>
      <c r="G826" s="65"/>
      <c r="J826" s="62"/>
    </row>
    <row r="827">
      <c r="B827" s="64"/>
      <c r="F827" s="63"/>
      <c r="G827" s="65"/>
      <c r="J827" s="62"/>
    </row>
    <row r="828">
      <c r="B828" s="64"/>
      <c r="F828" s="63"/>
      <c r="G828" s="65"/>
      <c r="J828" s="62"/>
    </row>
    <row r="829">
      <c r="B829" s="64"/>
      <c r="F829" s="63"/>
      <c r="G829" s="65"/>
      <c r="J829" s="62"/>
    </row>
    <row r="830">
      <c r="B830" s="64"/>
      <c r="F830" s="63"/>
      <c r="G830" s="65"/>
      <c r="J830" s="62"/>
    </row>
    <row r="831">
      <c r="B831" s="64"/>
      <c r="F831" s="63"/>
      <c r="G831" s="65"/>
      <c r="J831" s="62"/>
    </row>
    <row r="832">
      <c r="B832" s="64"/>
      <c r="F832" s="63"/>
      <c r="G832" s="65"/>
      <c r="J832" s="62"/>
    </row>
    <row r="833">
      <c r="B833" s="64"/>
      <c r="F833" s="63"/>
      <c r="G833" s="65"/>
      <c r="J833" s="62"/>
    </row>
    <row r="834">
      <c r="B834" s="64"/>
      <c r="F834" s="63"/>
      <c r="G834" s="65"/>
      <c r="J834" s="62"/>
    </row>
    <row r="835">
      <c r="B835" s="64"/>
      <c r="F835" s="63"/>
      <c r="G835" s="65"/>
      <c r="J835" s="62"/>
    </row>
    <row r="836">
      <c r="B836" s="64"/>
      <c r="F836" s="63"/>
      <c r="G836" s="65"/>
      <c r="J836" s="62"/>
    </row>
    <row r="837">
      <c r="B837" s="64"/>
      <c r="F837" s="63"/>
      <c r="G837" s="65"/>
      <c r="J837" s="62"/>
    </row>
    <row r="838">
      <c r="B838" s="64"/>
      <c r="F838" s="63"/>
      <c r="G838" s="65"/>
      <c r="J838" s="62"/>
    </row>
    <row r="839">
      <c r="B839" s="64"/>
      <c r="F839" s="63"/>
      <c r="G839" s="65"/>
      <c r="J839" s="62"/>
    </row>
    <row r="840">
      <c r="B840" s="64"/>
      <c r="F840" s="63"/>
      <c r="G840" s="65"/>
      <c r="J840" s="62"/>
    </row>
    <row r="841">
      <c r="B841" s="64"/>
      <c r="F841" s="63"/>
      <c r="G841" s="65"/>
      <c r="J841" s="62"/>
    </row>
    <row r="842">
      <c r="B842" s="64"/>
      <c r="F842" s="63"/>
      <c r="G842" s="65"/>
      <c r="J842" s="62"/>
    </row>
    <row r="843">
      <c r="B843" s="64"/>
      <c r="F843" s="63"/>
      <c r="G843" s="65"/>
      <c r="J843" s="62"/>
    </row>
    <row r="844">
      <c r="B844" s="64"/>
      <c r="F844" s="63"/>
      <c r="G844" s="65"/>
      <c r="J844" s="62"/>
    </row>
    <row r="845">
      <c r="B845" s="64"/>
      <c r="F845" s="63"/>
      <c r="G845" s="65"/>
      <c r="J845" s="62"/>
    </row>
    <row r="846">
      <c r="B846" s="64"/>
      <c r="F846" s="63"/>
      <c r="G846" s="65"/>
      <c r="J846" s="62"/>
    </row>
    <row r="847">
      <c r="B847" s="64"/>
      <c r="F847" s="63"/>
      <c r="G847" s="65"/>
      <c r="J847" s="62"/>
    </row>
    <row r="848">
      <c r="B848" s="64"/>
      <c r="F848" s="63"/>
      <c r="G848" s="65"/>
      <c r="J848" s="62"/>
    </row>
    <row r="849">
      <c r="B849" s="64"/>
      <c r="F849" s="63"/>
      <c r="G849" s="65"/>
      <c r="J849" s="62"/>
    </row>
    <row r="850">
      <c r="B850" s="64"/>
      <c r="F850" s="63"/>
      <c r="G850" s="65"/>
      <c r="J850" s="62"/>
    </row>
    <row r="851">
      <c r="B851" s="64"/>
      <c r="F851" s="63"/>
      <c r="G851" s="65"/>
      <c r="J851" s="62"/>
    </row>
    <row r="852">
      <c r="B852" s="64"/>
      <c r="F852" s="63"/>
      <c r="G852" s="65"/>
      <c r="J852" s="62"/>
    </row>
    <row r="853">
      <c r="B853" s="64"/>
      <c r="F853" s="63"/>
      <c r="G853" s="65"/>
      <c r="J853" s="62"/>
    </row>
    <row r="854">
      <c r="B854" s="64"/>
      <c r="F854" s="63"/>
      <c r="G854" s="65"/>
      <c r="J854" s="62"/>
    </row>
    <row r="855">
      <c r="B855" s="64"/>
      <c r="F855" s="63"/>
      <c r="G855" s="65"/>
      <c r="J855" s="62"/>
    </row>
    <row r="856">
      <c r="B856" s="64"/>
      <c r="F856" s="63"/>
      <c r="G856" s="65"/>
      <c r="J856" s="62"/>
    </row>
    <row r="857">
      <c r="B857" s="64"/>
      <c r="F857" s="63"/>
      <c r="G857" s="65"/>
      <c r="J857" s="62"/>
    </row>
    <row r="858">
      <c r="B858" s="64"/>
      <c r="F858" s="63"/>
      <c r="G858" s="65"/>
      <c r="J858" s="62"/>
    </row>
    <row r="859">
      <c r="B859" s="64"/>
      <c r="F859" s="63"/>
      <c r="G859" s="65"/>
      <c r="J859" s="62"/>
    </row>
    <row r="860">
      <c r="B860" s="64"/>
      <c r="F860" s="63"/>
      <c r="G860" s="65"/>
      <c r="J860" s="62"/>
    </row>
    <row r="861">
      <c r="B861" s="64"/>
      <c r="F861" s="63"/>
      <c r="G861" s="65"/>
      <c r="J861" s="62"/>
    </row>
    <row r="862">
      <c r="B862" s="64"/>
      <c r="F862" s="63"/>
      <c r="G862" s="65"/>
      <c r="J862" s="62"/>
    </row>
    <row r="863">
      <c r="B863" s="64"/>
      <c r="F863" s="63"/>
      <c r="G863" s="65"/>
      <c r="J863" s="62"/>
    </row>
    <row r="864">
      <c r="B864" s="64"/>
      <c r="F864" s="63"/>
      <c r="G864" s="65"/>
      <c r="J864" s="62"/>
    </row>
    <row r="865">
      <c r="B865" s="64"/>
      <c r="F865" s="63"/>
      <c r="G865" s="65"/>
      <c r="J865" s="62"/>
    </row>
    <row r="866">
      <c r="B866" s="64"/>
      <c r="F866" s="63"/>
      <c r="G866" s="65"/>
      <c r="J866" s="62"/>
    </row>
    <row r="867">
      <c r="B867" s="64"/>
      <c r="F867" s="63"/>
      <c r="G867" s="65"/>
      <c r="J867" s="62"/>
    </row>
    <row r="868">
      <c r="B868" s="64"/>
      <c r="F868" s="63"/>
      <c r="G868" s="65"/>
      <c r="J868" s="62"/>
    </row>
    <row r="869">
      <c r="B869" s="64"/>
      <c r="F869" s="63"/>
      <c r="G869" s="65"/>
      <c r="J869" s="62"/>
    </row>
    <row r="870">
      <c r="B870" s="64"/>
      <c r="F870" s="63"/>
      <c r="G870" s="65"/>
      <c r="J870" s="62"/>
    </row>
    <row r="871">
      <c r="B871" s="64"/>
      <c r="F871" s="63"/>
      <c r="G871" s="65"/>
      <c r="J871" s="62"/>
    </row>
    <row r="872">
      <c r="B872" s="64"/>
      <c r="F872" s="63"/>
      <c r="G872" s="65"/>
      <c r="J872" s="62"/>
    </row>
    <row r="873">
      <c r="B873" s="64"/>
      <c r="F873" s="63"/>
      <c r="G873" s="65"/>
      <c r="J873" s="62"/>
    </row>
    <row r="874">
      <c r="B874" s="64"/>
      <c r="F874" s="63"/>
      <c r="G874" s="65"/>
      <c r="J874" s="62"/>
    </row>
    <row r="875">
      <c r="B875" s="64"/>
      <c r="F875" s="63"/>
      <c r="G875" s="65"/>
      <c r="J875" s="62"/>
    </row>
    <row r="876">
      <c r="B876" s="64"/>
      <c r="F876" s="63"/>
      <c r="G876" s="65"/>
      <c r="J876" s="62"/>
    </row>
    <row r="877">
      <c r="B877" s="64"/>
      <c r="F877" s="63"/>
      <c r="G877" s="65"/>
      <c r="J877" s="62"/>
    </row>
    <row r="878">
      <c r="B878" s="64"/>
      <c r="F878" s="63"/>
      <c r="G878" s="65"/>
      <c r="J878" s="62"/>
    </row>
    <row r="879">
      <c r="B879" s="64"/>
      <c r="F879" s="63"/>
      <c r="G879" s="65"/>
      <c r="J879" s="62"/>
    </row>
    <row r="880">
      <c r="B880" s="64"/>
      <c r="F880" s="63"/>
      <c r="G880" s="65"/>
      <c r="J880" s="62"/>
    </row>
    <row r="881">
      <c r="B881" s="64"/>
      <c r="F881" s="63"/>
      <c r="G881" s="65"/>
      <c r="J881" s="62"/>
    </row>
    <row r="882">
      <c r="B882" s="64"/>
      <c r="F882" s="63"/>
      <c r="G882" s="65"/>
      <c r="J882" s="62"/>
    </row>
    <row r="883">
      <c r="B883" s="64"/>
      <c r="F883" s="63"/>
      <c r="G883" s="65"/>
      <c r="J883" s="62"/>
    </row>
    <row r="884">
      <c r="B884" s="64"/>
      <c r="F884" s="63"/>
      <c r="G884" s="65"/>
      <c r="J884" s="62"/>
    </row>
    <row r="885">
      <c r="B885" s="64"/>
      <c r="F885" s="63"/>
      <c r="G885" s="65"/>
      <c r="J885" s="62"/>
    </row>
    <row r="886">
      <c r="B886" s="64"/>
      <c r="F886" s="63"/>
      <c r="G886" s="65"/>
      <c r="J886" s="62"/>
    </row>
    <row r="887">
      <c r="B887" s="64"/>
      <c r="F887" s="63"/>
      <c r="G887" s="65"/>
      <c r="J887" s="62"/>
    </row>
    <row r="888">
      <c r="B888" s="64"/>
      <c r="F888" s="63"/>
      <c r="G888" s="65"/>
      <c r="J888" s="62"/>
    </row>
    <row r="889">
      <c r="B889" s="64"/>
      <c r="F889" s="63"/>
      <c r="G889" s="65"/>
      <c r="J889" s="62"/>
    </row>
    <row r="890">
      <c r="B890" s="64"/>
      <c r="F890" s="63"/>
      <c r="G890" s="65"/>
      <c r="J890" s="62"/>
    </row>
    <row r="891">
      <c r="B891" s="64"/>
      <c r="F891" s="63"/>
      <c r="G891" s="65"/>
      <c r="J891" s="62"/>
    </row>
    <row r="892">
      <c r="B892" s="64"/>
      <c r="F892" s="63"/>
      <c r="G892" s="65"/>
      <c r="J892" s="62"/>
    </row>
    <row r="893">
      <c r="B893" s="64"/>
      <c r="F893" s="63"/>
      <c r="G893" s="65"/>
      <c r="J893" s="62"/>
    </row>
    <row r="894">
      <c r="B894" s="64"/>
      <c r="F894" s="63"/>
      <c r="G894" s="65"/>
      <c r="J894" s="62"/>
    </row>
    <row r="895">
      <c r="B895" s="64"/>
      <c r="F895" s="63"/>
      <c r="G895" s="65"/>
      <c r="J895" s="62"/>
    </row>
    <row r="896">
      <c r="B896" s="64"/>
      <c r="F896" s="63"/>
      <c r="G896" s="65"/>
      <c r="J896" s="62"/>
    </row>
    <row r="897">
      <c r="B897" s="64"/>
      <c r="F897" s="63"/>
      <c r="G897" s="65"/>
      <c r="J897" s="62"/>
    </row>
    <row r="898">
      <c r="B898" s="64"/>
      <c r="F898" s="63"/>
      <c r="G898" s="65"/>
      <c r="J898" s="62"/>
    </row>
    <row r="899">
      <c r="B899" s="64"/>
      <c r="F899" s="63"/>
      <c r="G899" s="65"/>
      <c r="J899" s="62"/>
    </row>
    <row r="900">
      <c r="B900" s="64"/>
      <c r="F900" s="63"/>
      <c r="G900" s="65"/>
      <c r="J900" s="62"/>
    </row>
    <row r="901">
      <c r="B901" s="64"/>
      <c r="F901" s="63"/>
      <c r="G901" s="65"/>
      <c r="J901" s="62"/>
    </row>
    <row r="902">
      <c r="B902" s="64"/>
      <c r="F902" s="63"/>
      <c r="G902" s="65"/>
      <c r="J902" s="62"/>
    </row>
    <row r="903">
      <c r="B903" s="64"/>
      <c r="F903" s="63"/>
      <c r="G903" s="65"/>
      <c r="J903" s="62"/>
    </row>
    <row r="904">
      <c r="B904" s="64"/>
      <c r="F904" s="63"/>
      <c r="G904" s="65"/>
      <c r="J904" s="62"/>
    </row>
    <row r="905">
      <c r="B905" s="64"/>
      <c r="F905" s="63"/>
      <c r="G905" s="65"/>
      <c r="J905" s="62"/>
    </row>
    <row r="906">
      <c r="B906" s="64"/>
      <c r="F906" s="63"/>
      <c r="G906" s="65"/>
      <c r="J906" s="62"/>
    </row>
    <row r="907">
      <c r="B907" s="64"/>
      <c r="F907" s="63"/>
      <c r="G907" s="65"/>
      <c r="J907" s="62"/>
    </row>
    <row r="908">
      <c r="B908" s="64"/>
      <c r="F908" s="63"/>
      <c r="G908" s="65"/>
      <c r="J908" s="62"/>
    </row>
    <row r="909">
      <c r="B909" s="64"/>
      <c r="F909" s="63"/>
      <c r="G909" s="65"/>
      <c r="J909" s="62"/>
    </row>
    <row r="910">
      <c r="B910" s="64"/>
      <c r="F910" s="63"/>
      <c r="G910" s="65"/>
      <c r="J910" s="62"/>
    </row>
    <row r="911">
      <c r="B911" s="64"/>
      <c r="F911" s="63"/>
      <c r="G911" s="65"/>
      <c r="J911" s="62"/>
    </row>
    <row r="912">
      <c r="B912" s="64"/>
      <c r="F912" s="63"/>
      <c r="G912" s="65"/>
      <c r="J912" s="62"/>
    </row>
    <row r="913">
      <c r="B913" s="64"/>
      <c r="F913" s="63"/>
      <c r="G913" s="65"/>
      <c r="J913" s="62"/>
    </row>
    <row r="914">
      <c r="B914" s="64"/>
      <c r="F914" s="63"/>
      <c r="G914" s="65"/>
      <c r="J914" s="62"/>
    </row>
    <row r="915">
      <c r="B915" s="64"/>
      <c r="F915" s="63"/>
      <c r="G915" s="65"/>
      <c r="J915" s="62"/>
    </row>
    <row r="916">
      <c r="B916" s="64"/>
      <c r="F916" s="63"/>
      <c r="G916" s="65"/>
      <c r="J916" s="62"/>
    </row>
    <row r="917">
      <c r="B917" s="64"/>
      <c r="F917" s="63"/>
      <c r="G917" s="65"/>
      <c r="J917" s="62"/>
    </row>
    <row r="918">
      <c r="B918" s="64"/>
      <c r="F918" s="63"/>
      <c r="G918" s="65"/>
      <c r="J918" s="62"/>
    </row>
    <row r="919">
      <c r="B919" s="64"/>
      <c r="F919" s="63"/>
      <c r="G919" s="65"/>
      <c r="J919" s="62"/>
    </row>
    <row r="920">
      <c r="B920" s="64"/>
      <c r="F920" s="63"/>
      <c r="G920" s="65"/>
      <c r="J920" s="62"/>
    </row>
    <row r="921">
      <c r="B921" s="64"/>
      <c r="F921" s="63"/>
      <c r="G921" s="65"/>
      <c r="J921" s="62"/>
    </row>
    <row r="922">
      <c r="B922" s="64"/>
      <c r="F922" s="63"/>
      <c r="G922" s="65"/>
      <c r="J922" s="62"/>
    </row>
    <row r="923">
      <c r="B923" s="64"/>
      <c r="F923" s="63"/>
      <c r="G923" s="65"/>
      <c r="J923" s="62"/>
    </row>
    <row r="924">
      <c r="B924" s="64"/>
      <c r="F924" s="63"/>
      <c r="G924" s="65"/>
      <c r="J924" s="62"/>
    </row>
    <row r="925">
      <c r="B925" s="64"/>
      <c r="F925" s="63"/>
      <c r="G925" s="65"/>
      <c r="J925" s="62"/>
    </row>
    <row r="926">
      <c r="B926" s="64"/>
      <c r="F926" s="63"/>
      <c r="G926" s="65"/>
      <c r="J926" s="62"/>
    </row>
    <row r="927">
      <c r="B927" s="64"/>
      <c r="F927" s="63"/>
      <c r="G927" s="65"/>
      <c r="J927" s="62"/>
    </row>
    <row r="928">
      <c r="B928" s="64"/>
      <c r="F928" s="63"/>
      <c r="G928" s="65"/>
      <c r="J928" s="62"/>
    </row>
    <row r="929">
      <c r="B929" s="64"/>
      <c r="F929" s="63"/>
      <c r="G929" s="65"/>
      <c r="J929" s="62"/>
    </row>
    <row r="930">
      <c r="B930" s="64"/>
      <c r="F930" s="63"/>
      <c r="G930" s="65"/>
      <c r="J930" s="62"/>
    </row>
    <row r="931">
      <c r="B931" s="64"/>
      <c r="F931" s="63"/>
      <c r="G931" s="65"/>
      <c r="J931" s="62"/>
    </row>
    <row r="932">
      <c r="B932" s="64"/>
      <c r="F932" s="63"/>
      <c r="G932" s="65"/>
      <c r="J932" s="62"/>
    </row>
    <row r="933">
      <c r="B933" s="64"/>
      <c r="F933" s="63"/>
      <c r="G933" s="65"/>
      <c r="J933" s="62"/>
    </row>
    <row r="934">
      <c r="B934" s="64"/>
      <c r="F934" s="63"/>
      <c r="G934" s="65"/>
      <c r="J934" s="62"/>
    </row>
    <row r="935">
      <c r="B935" s="64"/>
      <c r="F935" s="63"/>
      <c r="G935" s="65"/>
      <c r="J935" s="62"/>
    </row>
    <row r="936">
      <c r="B936" s="64"/>
      <c r="F936" s="63"/>
      <c r="G936" s="65"/>
      <c r="J936" s="62"/>
    </row>
    <row r="937">
      <c r="B937" s="64"/>
      <c r="F937" s="63"/>
      <c r="G937" s="65"/>
      <c r="J937" s="62"/>
    </row>
    <row r="938">
      <c r="B938" s="64"/>
      <c r="F938" s="63"/>
      <c r="G938" s="65"/>
      <c r="J938" s="62"/>
    </row>
    <row r="939">
      <c r="B939" s="64"/>
      <c r="F939" s="63"/>
      <c r="G939" s="65"/>
      <c r="J939" s="62"/>
    </row>
    <row r="940">
      <c r="B940" s="64"/>
      <c r="F940" s="63"/>
      <c r="G940" s="65"/>
      <c r="J940" s="62"/>
    </row>
    <row r="941">
      <c r="B941" s="64"/>
      <c r="F941" s="63"/>
      <c r="G941" s="65"/>
      <c r="J941" s="62"/>
    </row>
    <row r="942">
      <c r="B942" s="64"/>
      <c r="F942" s="63"/>
      <c r="G942" s="65"/>
      <c r="J942" s="62"/>
    </row>
    <row r="943">
      <c r="B943" s="64"/>
      <c r="F943" s="63"/>
      <c r="G943" s="65"/>
      <c r="J943" s="62"/>
    </row>
    <row r="944">
      <c r="B944" s="64"/>
      <c r="F944" s="63"/>
      <c r="G944" s="65"/>
      <c r="J944" s="62"/>
    </row>
    <row r="945">
      <c r="B945" s="64"/>
      <c r="F945" s="63"/>
      <c r="G945" s="65"/>
      <c r="J945" s="62"/>
    </row>
    <row r="946">
      <c r="B946" s="64"/>
      <c r="F946" s="63"/>
      <c r="G946" s="65"/>
      <c r="J946" s="62"/>
    </row>
    <row r="947">
      <c r="B947" s="64"/>
      <c r="F947" s="63"/>
      <c r="G947" s="65"/>
      <c r="J947" s="62"/>
    </row>
    <row r="948">
      <c r="B948" s="64"/>
      <c r="F948" s="63"/>
      <c r="G948" s="65"/>
      <c r="J948" s="62"/>
    </row>
    <row r="949">
      <c r="B949" s="64"/>
      <c r="F949" s="63"/>
      <c r="G949" s="65"/>
      <c r="J949" s="62"/>
    </row>
    <row r="950">
      <c r="B950" s="64"/>
      <c r="F950" s="63"/>
      <c r="G950" s="65"/>
      <c r="J950" s="62"/>
    </row>
    <row r="951">
      <c r="B951" s="64"/>
      <c r="F951" s="63"/>
      <c r="G951" s="65"/>
      <c r="J951" s="62"/>
    </row>
    <row r="952">
      <c r="B952" s="64"/>
      <c r="F952" s="63"/>
      <c r="G952" s="65"/>
      <c r="J952" s="62"/>
    </row>
    <row r="953">
      <c r="B953" s="64"/>
      <c r="F953" s="63"/>
      <c r="G953" s="65"/>
      <c r="J953" s="62"/>
    </row>
    <row r="954">
      <c r="B954" s="64"/>
      <c r="F954" s="63"/>
      <c r="G954" s="65"/>
      <c r="J954" s="62"/>
    </row>
    <row r="955">
      <c r="B955" s="64"/>
      <c r="F955" s="63"/>
      <c r="G955" s="65"/>
      <c r="J955" s="62"/>
    </row>
    <row r="956">
      <c r="B956" s="64"/>
      <c r="F956" s="63"/>
      <c r="G956" s="65"/>
      <c r="J956" s="62"/>
    </row>
    <row r="957">
      <c r="B957" s="64"/>
      <c r="F957" s="63"/>
      <c r="G957" s="65"/>
      <c r="J957" s="62"/>
    </row>
    <row r="958">
      <c r="B958" s="64"/>
      <c r="F958" s="63"/>
      <c r="G958" s="65"/>
      <c r="J958" s="62"/>
    </row>
    <row r="959">
      <c r="B959" s="64"/>
      <c r="F959" s="63"/>
      <c r="G959" s="65"/>
      <c r="J959" s="62"/>
    </row>
    <row r="960">
      <c r="B960" s="64"/>
      <c r="F960" s="63"/>
      <c r="G960" s="65"/>
      <c r="J960" s="62"/>
    </row>
    <row r="961">
      <c r="B961" s="64"/>
      <c r="F961" s="63"/>
      <c r="G961" s="65"/>
      <c r="J961" s="62"/>
    </row>
    <row r="962">
      <c r="B962" s="64"/>
      <c r="F962" s="63"/>
      <c r="G962" s="65"/>
      <c r="J962" s="62"/>
    </row>
    <row r="963">
      <c r="B963" s="64"/>
      <c r="F963" s="63"/>
      <c r="G963" s="65"/>
      <c r="J963" s="62"/>
    </row>
    <row r="964">
      <c r="B964" s="64"/>
      <c r="F964" s="63"/>
      <c r="G964" s="65"/>
      <c r="J964" s="62"/>
    </row>
    <row r="965">
      <c r="B965" s="64"/>
      <c r="F965" s="63"/>
      <c r="G965" s="65"/>
      <c r="J965" s="62"/>
    </row>
    <row r="966">
      <c r="B966" s="64"/>
      <c r="F966" s="63"/>
      <c r="G966" s="65"/>
      <c r="J966" s="62"/>
    </row>
    <row r="967">
      <c r="B967" s="64"/>
      <c r="F967" s="63"/>
      <c r="G967" s="65"/>
      <c r="J967" s="62"/>
    </row>
    <row r="968">
      <c r="B968" s="64"/>
      <c r="F968" s="63"/>
      <c r="G968" s="65"/>
      <c r="J968" s="62"/>
    </row>
    <row r="969">
      <c r="B969" s="64"/>
      <c r="F969" s="63"/>
      <c r="G969" s="65"/>
      <c r="J969" s="62"/>
    </row>
    <row r="970">
      <c r="B970" s="64"/>
      <c r="F970" s="63"/>
      <c r="G970" s="65"/>
      <c r="J970" s="62"/>
    </row>
    <row r="971">
      <c r="B971" s="64"/>
      <c r="F971" s="63"/>
      <c r="G971" s="65"/>
      <c r="J971" s="62"/>
    </row>
    <row r="972">
      <c r="B972" s="64"/>
      <c r="F972" s="63"/>
      <c r="G972" s="65"/>
      <c r="J972" s="62"/>
    </row>
    <row r="973">
      <c r="B973" s="64"/>
      <c r="F973" s="63"/>
      <c r="G973" s="65"/>
      <c r="J973" s="62"/>
    </row>
    <row r="974">
      <c r="B974" s="64"/>
      <c r="F974" s="63"/>
      <c r="G974" s="65"/>
      <c r="J974" s="62"/>
    </row>
    <row r="975">
      <c r="B975" s="64"/>
      <c r="F975" s="63"/>
      <c r="G975" s="65"/>
      <c r="J975" s="62"/>
    </row>
    <row r="976">
      <c r="B976" s="64"/>
      <c r="F976" s="63"/>
      <c r="G976" s="65"/>
      <c r="J976" s="62"/>
    </row>
    <row r="977">
      <c r="B977" s="64"/>
      <c r="F977" s="63"/>
      <c r="G977" s="65"/>
      <c r="J977" s="62"/>
    </row>
    <row r="978">
      <c r="B978" s="64"/>
      <c r="F978" s="63"/>
      <c r="G978" s="65"/>
      <c r="J978" s="62"/>
    </row>
    <row r="979">
      <c r="B979" s="64"/>
      <c r="F979" s="63"/>
      <c r="G979" s="65"/>
      <c r="J979" s="62"/>
    </row>
    <row r="980">
      <c r="B980" s="64"/>
      <c r="F980" s="63"/>
      <c r="G980" s="65"/>
      <c r="J980" s="62"/>
    </row>
    <row r="981">
      <c r="B981" s="64"/>
      <c r="F981" s="63"/>
      <c r="G981" s="65"/>
      <c r="J981" s="62"/>
    </row>
    <row r="982">
      <c r="B982" s="64"/>
      <c r="F982" s="63"/>
      <c r="G982" s="65"/>
      <c r="J982" s="62"/>
    </row>
    <row r="983">
      <c r="B983" s="64"/>
      <c r="F983" s="63"/>
      <c r="G983" s="65"/>
      <c r="J983" s="62"/>
    </row>
    <row r="984">
      <c r="B984" s="64"/>
      <c r="F984" s="63"/>
      <c r="G984" s="65"/>
      <c r="J984" s="62"/>
    </row>
    <row r="985">
      <c r="B985" s="64"/>
      <c r="F985" s="63"/>
      <c r="G985" s="65"/>
      <c r="J985" s="62"/>
    </row>
    <row r="986">
      <c r="B986" s="64"/>
      <c r="F986" s="63"/>
      <c r="G986" s="65"/>
      <c r="J986" s="62"/>
    </row>
    <row r="987">
      <c r="B987" s="64"/>
      <c r="F987" s="63"/>
      <c r="G987" s="65"/>
      <c r="J987" s="62"/>
    </row>
    <row r="988">
      <c r="B988" s="64"/>
      <c r="F988" s="63"/>
      <c r="G988" s="65"/>
      <c r="J988" s="62"/>
    </row>
    <row r="989">
      <c r="B989" s="64"/>
      <c r="F989" s="63"/>
      <c r="G989" s="65"/>
      <c r="J989" s="62"/>
    </row>
    <row r="990">
      <c r="B990" s="64"/>
      <c r="F990" s="63"/>
      <c r="G990" s="65"/>
      <c r="J990" s="62"/>
    </row>
    <row r="991">
      <c r="B991" s="64"/>
      <c r="F991" s="63"/>
      <c r="G991" s="65"/>
      <c r="J991" s="62"/>
    </row>
    <row r="992">
      <c r="B992" s="64"/>
      <c r="F992" s="63"/>
      <c r="G992" s="65"/>
      <c r="J992" s="62"/>
    </row>
    <row r="993">
      <c r="B993" s="64"/>
      <c r="F993" s="63"/>
      <c r="G993" s="65"/>
      <c r="J993" s="62"/>
    </row>
    <row r="994">
      <c r="B994" s="64"/>
      <c r="F994" s="63"/>
      <c r="G994" s="65"/>
      <c r="J994" s="62"/>
    </row>
    <row r="995">
      <c r="B995" s="64"/>
      <c r="F995" s="63"/>
      <c r="G995" s="65"/>
      <c r="J995" s="62"/>
    </row>
    <row r="996">
      <c r="B996" s="64"/>
      <c r="F996" s="63"/>
      <c r="G996" s="65"/>
      <c r="J996" s="62"/>
    </row>
    <row r="997">
      <c r="B997" s="64"/>
      <c r="F997" s="63"/>
      <c r="G997" s="65"/>
      <c r="J997" s="62"/>
    </row>
    <row r="998">
      <c r="B998" s="64"/>
      <c r="F998" s="63"/>
      <c r="G998" s="65"/>
      <c r="J998" s="62"/>
    </row>
    <row r="999">
      <c r="B999" s="64"/>
      <c r="F999" s="63"/>
      <c r="G999" s="65"/>
      <c r="J999" s="62"/>
    </row>
    <row r="1000">
      <c r="B1000" s="64"/>
      <c r="F1000" s="63"/>
      <c r="G1000" s="65"/>
      <c r="J1000" s="62"/>
    </row>
    <row r="1001">
      <c r="B1001" s="64"/>
      <c r="F1001" s="63"/>
      <c r="G1001" s="65"/>
      <c r="J1001" s="62"/>
    </row>
    <row r="1002">
      <c r="B1002" s="64"/>
      <c r="F1002" s="63"/>
      <c r="G1002" s="65"/>
      <c r="J1002" s="62"/>
    </row>
    <row r="1003">
      <c r="B1003" s="64"/>
      <c r="F1003" s="63"/>
      <c r="G1003" s="65"/>
      <c r="J1003" s="62"/>
    </row>
    <row r="1004">
      <c r="B1004" s="64"/>
      <c r="F1004" s="63"/>
      <c r="G1004" s="65"/>
      <c r="J1004" s="62"/>
    </row>
    <row r="1005">
      <c r="B1005" s="64"/>
      <c r="F1005" s="63"/>
      <c r="G1005" s="65"/>
      <c r="J1005" s="62"/>
    </row>
    <row r="1006">
      <c r="B1006" s="64"/>
      <c r="F1006" s="63"/>
      <c r="G1006" s="65"/>
      <c r="J1006" s="62"/>
    </row>
    <row r="1007">
      <c r="B1007" s="64"/>
      <c r="F1007" s="63"/>
      <c r="G1007" s="65"/>
      <c r="J1007" s="62"/>
    </row>
    <row r="1008">
      <c r="B1008" s="64"/>
      <c r="F1008" s="63"/>
      <c r="G1008" s="65"/>
      <c r="J1008" s="62"/>
    </row>
    <row r="1009">
      <c r="B1009" s="64"/>
      <c r="F1009" s="63"/>
      <c r="G1009" s="65"/>
      <c r="J1009" s="62"/>
    </row>
    <row r="1010">
      <c r="B1010" s="64"/>
      <c r="F1010" s="63"/>
      <c r="G1010" s="65"/>
      <c r="J1010" s="62"/>
    </row>
    <row r="1011">
      <c r="B1011" s="64"/>
      <c r="F1011" s="63"/>
      <c r="G1011" s="65"/>
      <c r="J1011" s="62"/>
    </row>
    <row r="1012">
      <c r="B1012" s="64"/>
      <c r="F1012" s="63"/>
      <c r="G1012" s="65"/>
      <c r="J1012" s="62"/>
    </row>
    <row r="1013">
      <c r="B1013" s="64"/>
      <c r="F1013" s="63"/>
      <c r="G1013" s="65"/>
      <c r="J1013" s="62"/>
    </row>
    <row r="1014">
      <c r="B1014" s="64"/>
      <c r="F1014" s="63"/>
      <c r="G1014" s="65"/>
      <c r="J1014" s="62"/>
    </row>
    <row r="1015">
      <c r="B1015" s="64"/>
      <c r="F1015" s="63"/>
      <c r="G1015" s="65"/>
      <c r="J1015" s="62"/>
    </row>
    <row r="1016">
      <c r="B1016" s="64"/>
      <c r="F1016" s="63"/>
      <c r="G1016" s="65"/>
      <c r="J1016" s="62"/>
    </row>
    <row r="1017">
      <c r="B1017" s="64"/>
      <c r="F1017" s="63"/>
      <c r="G1017" s="65"/>
      <c r="J1017" s="62"/>
    </row>
    <row r="1018">
      <c r="B1018" s="64"/>
      <c r="F1018" s="63"/>
      <c r="G1018" s="65"/>
      <c r="J1018" s="62"/>
    </row>
    <row r="1019">
      <c r="B1019" s="64"/>
      <c r="F1019" s="63"/>
      <c r="G1019" s="65"/>
      <c r="J1019" s="62"/>
    </row>
    <row r="1020">
      <c r="B1020" s="64"/>
      <c r="F1020" s="63"/>
      <c r="G1020" s="65"/>
      <c r="J1020" s="62"/>
    </row>
    <row r="1021">
      <c r="B1021" s="64"/>
      <c r="F1021" s="63"/>
      <c r="G1021" s="65"/>
      <c r="J1021" s="62"/>
    </row>
    <row r="1022">
      <c r="B1022" s="64"/>
      <c r="F1022" s="63"/>
      <c r="G1022" s="65"/>
      <c r="J1022" s="62"/>
    </row>
    <row r="1023">
      <c r="B1023" s="64"/>
      <c r="F1023" s="63"/>
      <c r="G1023" s="65"/>
      <c r="J1023" s="62"/>
    </row>
    <row r="1024">
      <c r="B1024" s="64"/>
      <c r="F1024" s="63"/>
      <c r="G1024" s="65"/>
      <c r="J1024" s="62"/>
    </row>
    <row r="1025">
      <c r="B1025" s="64"/>
      <c r="F1025" s="63"/>
      <c r="G1025" s="65"/>
      <c r="J1025" s="62"/>
    </row>
    <row r="1026">
      <c r="B1026" s="64"/>
      <c r="F1026" s="63"/>
      <c r="G1026" s="65"/>
      <c r="J1026" s="62"/>
    </row>
    <row r="1027">
      <c r="B1027" s="64"/>
      <c r="F1027" s="63"/>
      <c r="G1027" s="65"/>
      <c r="J1027" s="62"/>
    </row>
    <row r="1028">
      <c r="B1028" s="64"/>
      <c r="F1028" s="63"/>
      <c r="G1028" s="65"/>
      <c r="J1028" s="62"/>
    </row>
    <row r="1029">
      <c r="B1029" s="64"/>
      <c r="F1029" s="63"/>
      <c r="G1029" s="65"/>
      <c r="J1029" s="62"/>
    </row>
    <row r="1030">
      <c r="B1030" s="64"/>
      <c r="F1030" s="63"/>
      <c r="G1030" s="65"/>
      <c r="J1030" s="62"/>
    </row>
    <row r="1031">
      <c r="B1031" s="64"/>
      <c r="F1031" s="63"/>
      <c r="G1031" s="65"/>
      <c r="J1031" s="62"/>
    </row>
    <row r="1032">
      <c r="B1032" s="64"/>
      <c r="F1032" s="63"/>
      <c r="G1032" s="65"/>
      <c r="J1032" s="62"/>
    </row>
    <row r="1033">
      <c r="B1033" s="64"/>
      <c r="F1033" s="63"/>
      <c r="G1033" s="65"/>
      <c r="J1033" s="62"/>
    </row>
    <row r="1034">
      <c r="B1034" s="64"/>
      <c r="F1034" s="63"/>
      <c r="G1034" s="65"/>
      <c r="J1034" s="62"/>
    </row>
    <row r="1035">
      <c r="B1035" s="64"/>
      <c r="F1035" s="63"/>
      <c r="G1035" s="65"/>
      <c r="J1035" s="62"/>
    </row>
    <row r="1036">
      <c r="B1036" s="64"/>
      <c r="F1036" s="63"/>
      <c r="G1036" s="65"/>
      <c r="J1036" s="62"/>
    </row>
    <row r="1037">
      <c r="B1037" s="64"/>
      <c r="F1037" s="63"/>
      <c r="G1037" s="65"/>
      <c r="J1037" s="62"/>
    </row>
    <row r="1038">
      <c r="B1038" s="64"/>
      <c r="F1038" s="63"/>
      <c r="G1038" s="65"/>
      <c r="J1038" s="62"/>
    </row>
    <row r="1039">
      <c r="B1039" s="64"/>
      <c r="F1039" s="63"/>
      <c r="G1039" s="65"/>
      <c r="J1039" s="62"/>
    </row>
    <row r="1040">
      <c r="B1040" s="64"/>
      <c r="F1040" s="63"/>
      <c r="G1040" s="65"/>
      <c r="J1040" s="62"/>
    </row>
    <row r="1041">
      <c r="B1041" s="64"/>
      <c r="F1041" s="63"/>
      <c r="G1041" s="65"/>
      <c r="J1041" s="62"/>
    </row>
    <row r="1042">
      <c r="B1042" s="64"/>
      <c r="F1042" s="63"/>
      <c r="G1042" s="65"/>
      <c r="J1042" s="62"/>
    </row>
    <row r="1043">
      <c r="B1043" s="64"/>
      <c r="F1043" s="63"/>
      <c r="G1043" s="65"/>
      <c r="J1043" s="62"/>
    </row>
    <row r="1044">
      <c r="B1044" s="64"/>
      <c r="F1044" s="63"/>
      <c r="G1044" s="65"/>
      <c r="J1044" s="62"/>
    </row>
    <row r="1045">
      <c r="B1045" s="64"/>
      <c r="F1045" s="63"/>
      <c r="G1045" s="65"/>
      <c r="J1045" s="62"/>
    </row>
    <row r="1046">
      <c r="B1046" s="64"/>
      <c r="F1046" s="63"/>
      <c r="G1046" s="65"/>
      <c r="J1046" s="62"/>
    </row>
    <row r="1047">
      <c r="B1047" s="64"/>
      <c r="F1047" s="63"/>
      <c r="G1047" s="65"/>
      <c r="J1047" s="62"/>
    </row>
    <row r="1048">
      <c r="B1048" s="64"/>
      <c r="F1048" s="63"/>
      <c r="G1048" s="65"/>
      <c r="J1048" s="62"/>
    </row>
    <row r="1049">
      <c r="B1049" s="64"/>
      <c r="F1049" s="63"/>
      <c r="G1049" s="65"/>
      <c r="J1049" s="62"/>
    </row>
    <row r="1050">
      <c r="B1050" s="64"/>
      <c r="F1050" s="63"/>
      <c r="G1050" s="65"/>
      <c r="J1050" s="62"/>
    </row>
    <row r="1051">
      <c r="B1051" s="64"/>
      <c r="F1051" s="63"/>
      <c r="G1051" s="65"/>
      <c r="J1051" s="62"/>
    </row>
    <row r="1052">
      <c r="B1052" s="64"/>
      <c r="F1052" s="63"/>
      <c r="G1052" s="65"/>
      <c r="J1052" s="62"/>
    </row>
    <row r="1053">
      <c r="B1053" s="64"/>
      <c r="F1053" s="63"/>
      <c r="G1053" s="65"/>
      <c r="J1053" s="62"/>
    </row>
    <row r="1054">
      <c r="B1054" s="64"/>
      <c r="F1054" s="63"/>
      <c r="G1054" s="65"/>
      <c r="J1054" s="62"/>
    </row>
    <row r="1055">
      <c r="B1055" s="64"/>
      <c r="F1055" s="63"/>
      <c r="G1055" s="65"/>
      <c r="J1055" s="62"/>
    </row>
    <row r="1056">
      <c r="B1056" s="64"/>
      <c r="F1056" s="63"/>
      <c r="G1056" s="65"/>
      <c r="J1056" s="62"/>
    </row>
    <row r="1057">
      <c r="B1057" s="64"/>
      <c r="F1057" s="63"/>
      <c r="G1057" s="65"/>
      <c r="J1057" s="62"/>
    </row>
    <row r="1058">
      <c r="B1058" s="64"/>
      <c r="F1058" s="63"/>
      <c r="G1058" s="65"/>
      <c r="J1058" s="62"/>
    </row>
    <row r="1059">
      <c r="B1059" s="64"/>
      <c r="F1059" s="63"/>
      <c r="G1059" s="65"/>
      <c r="J1059" s="62"/>
    </row>
    <row r="1060">
      <c r="B1060" s="64"/>
      <c r="F1060" s="63"/>
      <c r="G1060" s="65"/>
      <c r="J1060" s="62"/>
    </row>
    <row r="1061">
      <c r="B1061" s="64"/>
      <c r="F1061" s="63"/>
      <c r="G1061" s="65"/>
      <c r="J1061" s="62"/>
    </row>
    <row r="1062">
      <c r="B1062" s="64"/>
      <c r="F1062" s="63"/>
      <c r="G1062" s="65"/>
      <c r="J1062" s="62"/>
    </row>
    <row r="1063">
      <c r="B1063" s="64"/>
      <c r="F1063" s="63"/>
      <c r="G1063" s="65"/>
      <c r="J1063" s="62"/>
    </row>
    <row r="1064">
      <c r="B1064" s="64"/>
      <c r="F1064" s="63"/>
      <c r="G1064" s="65"/>
      <c r="J1064" s="62"/>
    </row>
    <row r="1065">
      <c r="B1065" s="64"/>
      <c r="F1065" s="63"/>
      <c r="G1065" s="65"/>
      <c r="J1065" s="62"/>
    </row>
    <row r="1066">
      <c r="B1066" s="64"/>
      <c r="F1066" s="63"/>
      <c r="G1066" s="65"/>
      <c r="J1066" s="62"/>
    </row>
    <row r="1067">
      <c r="B1067" s="64"/>
      <c r="F1067" s="63"/>
      <c r="G1067" s="65"/>
      <c r="J1067" s="62"/>
    </row>
    <row r="1068">
      <c r="B1068" s="64"/>
      <c r="F1068" s="63"/>
      <c r="G1068" s="65"/>
      <c r="J1068" s="62"/>
    </row>
    <row r="1069">
      <c r="B1069" s="64"/>
      <c r="F1069" s="63"/>
      <c r="G1069" s="65"/>
      <c r="J1069" s="62"/>
    </row>
    <row r="1070">
      <c r="B1070" s="64"/>
      <c r="F1070" s="63"/>
      <c r="G1070" s="65"/>
      <c r="J1070" s="62"/>
    </row>
    <row r="1071">
      <c r="B1071" s="64"/>
      <c r="F1071" s="63"/>
      <c r="G1071" s="65"/>
      <c r="J1071" s="62"/>
    </row>
    <row r="1072">
      <c r="B1072" s="64"/>
      <c r="F1072" s="63"/>
      <c r="G1072" s="65"/>
      <c r="J1072" s="62"/>
    </row>
    <row r="1073">
      <c r="B1073" s="64"/>
      <c r="F1073" s="63"/>
      <c r="G1073" s="65"/>
      <c r="J1073" s="62"/>
    </row>
    <row r="1074">
      <c r="B1074" s="64"/>
      <c r="F1074" s="63"/>
      <c r="G1074" s="65"/>
      <c r="J1074" s="62"/>
    </row>
    <row r="1075">
      <c r="B1075" s="64"/>
      <c r="F1075" s="63"/>
      <c r="G1075" s="65"/>
      <c r="J1075" s="62"/>
    </row>
    <row r="1076">
      <c r="B1076" s="64"/>
      <c r="F1076" s="63"/>
      <c r="G1076" s="65"/>
      <c r="J1076" s="62"/>
    </row>
    <row r="1077">
      <c r="B1077" s="64"/>
      <c r="F1077" s="63"/>
      <c r="G1077" s="65"/>
      <c r="J1077" s="62"/>
    </row>
    <row r="1078">
      <c r="B1078" s="64"/>
      <c r="F1078" s="63"/>
      <c r="G1078" s="65"/>
      <c r="J1078" s="62"/>
    </row>
    <row r="1079">
      <c r="B1079" s="64"/>
      <c r="F1079" s="63"/>
      <c r="G1079" s="65"/>
      <c r="J1079" s="62"/>
    </row>
    <row r="1080">
      <c r="B1080" s="64"/>
      <c r="F1080" s="63"/>
      <c r="G1080" s="65"/>
      <c r="J1080" s="62"/>
    </row>
    <row r="1081">
      <c r="B1081" s="64"/>
      <c r="F1081" s="63"/>
      <c r="G1081" s="65"/>
      <c r="J1081" s="62"/>
    </row>
    <row r="1082">
      <c r="B1082" s="64"/>
      <c r="F1082" s="63"/>
      <c r="G1082" s="65"/>
      <c r="J1082" s="62"/>
    </row>
    <row r="1083">
      <c r="B1083" s="64"/>
      <c r="F1083" s="63"/>
      <c r="G1083" s="65"/>
      <c r="J1083" s="62"/>
    </row>
    <row r="1084">
      <c r="B1084" s="64"/>
      <c r="F1084" s="63"/>
      <c r="G1084" s="65"/>
      <c r="J1084" s="62"/>
    </row>
    <row r="1085">
      <c r="B1085" s="64"/>
      <c r="F1085" s="63"/>
      <c r="G1085" s="65"/>
      <c r="J1085" s="62"/>
    </row>
    <row r="1086">
      <c r="B1086" s="64"/>
      <c r="F1086" s="63"/>
      <c r="G1086" s="65"/>
      <c r="J1086" s="62"/>
    </row>
    <row r="1087">
      <c r="B1087" s="64"/>
      <c r="F1087" s="63"/>
      <c r="G1087" s="65"/>
      <c r="J1087" s="62"/>
    </row>
    <row r="1088">
      <c r="B1088" s="64"/>
      <c r="F1088" s="63"/>
      <c r="G1088" s="65"/>
      <c r="J1088" s="62"/>
    </row>
    <row r="1089">
      <c r="B1089" s="64"/>
      <c r="F1089" s="63"/>
      <c r="G1089" s="65"/>
      <c r="J1089" s="62"/>
    </row>
    <row r="1090">
      <c r="B1090" s="64"/>
      <c r="F1090" s="63"/>
      <c r="G1090" s="65"/>
      <c r="J1090" s="62"/>
    </row>
    <row r="1091">
      <c r="B1091" s="64"/>
      <c r="F1091" s="63"/>
      <c r="G1091" s="65"/>
      <c r="J1091" s="62"/>
    </row>
    <row r="1092">
      <c r="B1092" s="64"/>
      <c r="F1092" s="63"/>
      <c r="G1092" s="65"/>
      <c r="J1092" s="62"/>
    </row>
    <row r="1093">
      <c r="B1093" s="64"/>
      <c r="F1093" s="63"/>
      <c r="G1093" s="65"/>
      <c r="J1093" s="62"/>
    </row>
    <row r="1094">
      <c r="B1094" s="64"/>
      <c r="F1094" s="63"/>
      <c r="G1094" s="65"/>
      <c r="J1094" s="62"/>
    </row>
    <row r="1095">
      <c r="B1095" s="64"/>
      <c r="F1095" s="63"/>
      <c r="G1095" s="65"/>
      <c r="J1095" s="62"/>
    </row>
    <row r="1096">
      <c r="B1096" s="64"/>
      <c r="F1096" s="63"/>
      <c r="G1096" s="65"/>
      <c r="J1096" s="62"/>
    </row>
    <row r="1097">
      <c r="B1097" s="64"/>
      <c r="F1097" s="63"/>
      <c r="G1097" s="65"/>
      <c r="J1097" s="62"/>
    </row>
    <row r="1098">
      <c r="B1098" s="64"/>
      <c r="F1098" s="63"/>
      <c r="G1098" s="65"/>
      <c r="J1098" s="62"/>
    </row>
    <row r="1099">
      <c r="B1099" s="64"/>
      <c r="F1099" s="63"/>
      <c r="G1099" s="65"/>
      <c r="J1099" s="62"/>
    </row>
    <row r="1100">
      <c r="B1100" s="64"/>
      <c r="F1100" s="63"/>
      <c r="G1100" s="65"/>
      <c r="J1100" s="62"/>
    </row>
    <row r="1101">
      <c r="B1101" s="64"/>
      <c r="F1101" s="63"/>
      <c r="G1101" s="65"/>
      <c r="J1101" s="62"/>
    </row>
    <row r="1102">
      <c r="B1102" s="64"/>
      <c r="F1102" s="63"/>
      <c r="G1102" s="65"/>
      <c r="J1102" s="62"/>
    </row>
    <row r="1103">
      <c r="B1103" s="64"/>
      <c r="F1103" s="63"/>
      <c r="G1103" s="65"/>
      <c r="J1103" s="62"/>
    </row>
    <row r="1104">
      <c r="B1104" s="64"/>
      <c r="F1104" s="63"/>
      <c r="G1104" s="65"/>
      <c r="J1104" s="62"/>
    </row>
    <row r="1105">
      <c r="B1105" s="64"/>
      <c r="F1105" s="63"/>
      <c r="G1105" s="65"/>
      <c r="J1105" s="62"/>
    </row>
    <row r="1106">
      <c r="B1106" s="64"/>
      <c r="F1106" s="63"/>
      <c r="G1106" s="65"/>
      <c r="J1106" s="62"/>
    </row>
    <row r="1107">
      <c r="B1107" s="64"/>
      <c r="F1107" s="63"/>
      <c r="G1107" s="65"/>
      <c r="J1107" s="62"/>
    </row>
    <row r="1108">
      <c r="B1108" s="64"/>
      <c r="F1108" s="63"/>
      <c r="G1108" s="65"/>
      <c r="J1108" s="62"/>
    </row>
    <row r="1109">
      <c r="B1109" s="64"/>
      <c r="F1109" s="63"/>
      <c r="G1109" s="65"/>
      <c r="J1109" s="62"/>
    </row>
    <row r="1110">
      <c r="B1110" s="64"/>
      <c r="F1110" s="63"/>
      <c r="G1110" s="65"/>
      <c r="J1110" s="62"/>
    </row>
    <row r="1111">
      <c r="B1111" s="64"/>
      <c r="F1111" s="63"/>
      <c r="G1111" s="65"/>
      <c r="J1111" s="62"/>
    </row>
    <row r="1112">
      <c r="B1112" s="64"/>
      <c r="F1112" s="63"/>
      <c r="G1112" s="65"/>
      <c r="J1112" s="62"/>
    </row>
    <row r="1113">
      <c r="B1113" s="64"/>
      <c r="F1113" s="63"/>
      <c r="G1113" s="65"/>
      <c r="J1113" s="62"/>
    </row>
    <row r="1114">
      <c r="B1114" s="64"/>
      <c r="F1114" s="63"/>
      <c r="G1114" s="65"/>
      <c r="J1114" s="62"/>
    </row>
    <row r="1115">
      <c r="B1115" s="64"/>
      <c r="F1115" s="63"/>
      <c r="G1115" s="65"/>
      <c r="J1115" s="62"/>
    </row>
    <row r="1116">
      <c r="B1116" s="64"/>
      <c r="F1116" s="63"/>
      <c r="G1116" s="65"/>
      <c r="J1116" s="62"/>
    </row>
    <row r="1117">
      <c r="B1117" s="64"/>
      <c r="F1117" s="63"/>
      <c r="G1117" s="65"/>
      <c r="J1117" s="62"/>
    </row>
    <row r="1118">
      <c r="B1118" s="64"/>
      <c r="F1118" s="63"/>
      <c r="G1118" s="65"/>
      <c r="J1118" s="62"/>
    </row>
    <row r="1119">
      <c r="B1119" s="64"/>
      <c r="F1119" s="63"/>
      <c r="G1119" s="65"/>
      <c r="J1119" s="62"/>
    </row>
    <row r="1120">
      <c r="B1120" s="64"/>
      <c r="F1120" s="63"/>
      <c r="G1120" s="65"/>
      <c r="J1120" s="62"/>
    </row>
    <row r="1121">
      <c r="B1121" s="64"/>
      <c r="F1121" s="63"/>
      <c r="G1121" s="65"/>
      <c r="J1121" s="62"/>
    </row>
    <row r="1122">
      <c r="B1122" s="64"/>
      <c r="F1122" s="63"/>
      <c r="G1122" s="65"/>
      <c r="J1122" s="62"/>
    </row>
    <row r="1123">
      <c r="B1123" s="64"/>
      <c r="F1123" s="63"/>
      <c r="G1123" s="65"/>
      <c r="J1123" s="62"/>
    </row>
    <row r="1124">
      <c r="B1124" s="64"/>
      <c r="F1124" s="63"/>
      <c r="G1124" s="65"/>
      <c r="J1124" s="62"/>
    </row>
    <row r="1125">
      <c r="B1125" s="64"/>
      <c r="F1125" s="63"/>
      <c r="G1125" s="65"/>
      <c r="J1125" s="62"/>
    </row>
    <row r="1126">
      <c r="B1126" s="64"/>
      <c r="F1126" s="63"/>
      <c r="G1126" s="65"/>
      <c r="J1126" s="62"/>
    </row>
    <row r="1127">
      <c r="B1127" s="64"/>
      <c r="F1127" s="63"/>
      <c r="G1127" s="65"/>
      <c r="J1127" s="62"/>
    </row>
    <row r="1128">
      <c r="B1128" s="64"/>
      <c r="F1128" s="63"/>
      <c r="G1128" s="65"/>
      <c r="J1128" s="62"/>
    </row>
    <row r="1129">
      <c r="B1129" s="64"/>
      <c r="F1129" s="63"/>
      <c r="G1129" s="65"/>
      <c r="J1129" s="62"/>
    </row>
    <row r="1130">
      <c r="B1130" s="64"/>
      <c r="F1130" s="63"/>
      <c r="G1130" s="65"/>
      <c r="J1130" s="62"/>
    </row>
    <row r="1131">
      <c r="B1131" s="64"/>
      <c r="F1131" s="63"/>
      <c r="G1131" s="65"/>
      <c r="J1131" s="62"/>
    </row>
    <row r="1132">
      <c r="B1132" s="64"/>
      <c r="F1132" s="63"/>
      <c r="G1132" s="65"/>
      <c r="J1132" s="62"/>
    </row>
    <row r="1133">
      <c r="B1133" s="64"/>
      <c r="F1133" s="63"/>
      <c r="G1133" s="65"/>
      <c r="J1133" s="62"/>
    </row>
    <row r="1134">
      <c r="B1134" s="64"/>
      <c r="F1134" s="63"/>
      <c r="G1134" s="65"/>
      <c r="J1134" s="62"/>
    </row>
    <row r="1135">
      <c r="B1135" s="64"/>
      <c r="F1135" s="63"/>
      <c r="G1135" s="65"/>
      <c r="J1135" s="62"/>
    </row>
    <row r="1136">
      <c r="B1136" s="64"/>
      <c r="F1136" s="63"/>
      <c r="G1136" s="65"/>
      <c r="J1136" s="62"/>
    </row>
    <row r="1137">
      <c r="B1137" s="64"/>
      <c r="F1137" s="63"/>
      <c r="G1137" s="65"/>
      <c r="J1137" s="62"/>
    </row>
    <row r="1138">
      <c r="B1138" s="64"/>
      <c r="F1138" s="63"/>
      <c r="G1138" s="65"/>
      <c r="J1138" s="62"/>
    </row>
    <row r="1139">
      <c r="B1139" s="64"/>
      <c r="F1139" s="63"/>
      <c r="G1139" s="65"/>
      <c r="J1139" s="62"/>
    </row>
    <row r="1140">
      <c r="B1140" s="64"/>
      <c r="F1140" s="63"/>
      <c r="G1140" s="65"/>
      <c r="J1140" s="62"/>
    </row>
    <row r="1141">
      <c r="B1141" s="64"/>
      <c r="F1141" s="63"/>
      <c r="G1141" s="65"/>
      <c r="J1141" s="62"/>
    </row>
    <row r="1142">
      <c r="B1142" s="64"/>
      <c r="F1142" s="63"/>
      <c r="G1142" s="65"/>
      <c r="J1142" s="62"/>
    </row>
    <row r="1143">
      <c r="B1143" s="64"/>
      <c r="F1143" s="63"/>
      <c r="G1143" s="65"/>
      <c r="J1143" s="62"/>
    </row>
    <row r="1144">
      <c r="B1144" s="64"/>
      <c r="F1144" s="63"/>
      <c r="G1144" s="65"/>
      <c r="J1144" s="62"/>
    </row>
    <row r="1145">
      <c r="B1145" s="64"/>
      <c r="F1145" s="63"/>
      <c r="G1145" s="65"/>
      <c r="J1145" s="62"/>
    </row>
    <row r="1146">
      <c r="B1146" s="64"/>
      <c r="F1146" s="63"/>
      <c r="G1146" s="65"/>
      <c r="J1146" s="62"/>
    </row>
    <row r="1147">
      <c r="B1147" s="64"/>
      <c r="F1147" s="63"/>
      <c r="G1147" s="65"/>
      <c r="J1147" s="62"/>
    </row>
    <row r="1148">
      <c r="B1148" s="64"/>
      <c r="F1148" s="63"/>
      <c r="G1148" s="65"/>
      <c r="J1148" s="62"/>
    </row>
    <row r="1149">
      <c r="B1149" s="64"/>
      <c r="F1149" s="63"/>
      <c r="G1149" s="65"/>
      <c r="J1149" s="62"/>
    </row>
    <row r="1150">
      <c r="B1150" s="64"/>
      <c r="F1150" s="63"/>
      <c r="G1150" s="65"/>
      <c r="J1150" s="62"/>
    </row>
    <row r="1151">
      <c r="B1151" s="64"/>
      <c r="F1151" s="63"/>
      <c r="G1151" s="65"/>
      <c r="J1151" s="62"/>
    </row>
    <row r="1152">
      <c r="B1152" s="64"/>
      <c r="F1152" s="63"/>
      <c r="G1152" s="65"/>
      <c r="J1152" s="62"/>
    </row>
    <row r="1153">
      <c r="B1153" s="64"/>
      <c r="F1153" s="63"/>
      <c r="G1153" s="65"/>
      <c r="J1153" s="62"/>
    </row>
    <row r="1154">
      <c r="B1154" s="64"/>
      <c r="F1154" s="63"/>
      <c r="G1154" s="65"/>
      <c r="J1154" s="62"/>
    </row>
    <row r="1155">
      <c r="B1155" s="64"/>
      <c r="F1155" s="63"/>
      <c r="G1155" s="65"/>
      <c r="J1155" s="62"/>
    </row>
    <row r="1156">
      <c r="B1156" s="64"/>
      <c r="F1156" s="63"/>
      <c r="G1156" s="65"/>
      <c r="J1156" s="62"/>
    </row>
    <row r="1157">
      <c r="B1157" s="64"/>
      <c r="F1157" s="63"/>
      <c r="G1157" s="65"/>
      <c r="J1157" s="62"/>
    </row>
    <row r="1158">
      <c r="B1158" s="64"/>
      <c r="F1158" s="63"/>
      <c r="G1158" s="65"/>
      <c r="J1158" s="62"/>
    </row>
    <row r="1159">
      <c r="B1159" s="64"/>
      <c r="F1159" s="63"/>
      <c r="G1159" s="65"/>
      <c r="J1159" s="62"/>
    </row>
    <row r="1160">
      <c r="B1160" s="64"/>
      <c r="F1160" s="63"/>
      <c r="G1160" s="65"/>
      <c r="J1160" s="62"/>
    </row>
    <row r="1161">
      <c r="B1161" s="64"/>
      <c r="F1161" s="63"/>
      <c r="G1161" s="65"/>
      <c r="J1161" s="62"/>
    </row>
    <row r="1162">
      <c r="B1162" s="64"/>
      <c r="F1162" s="63"/>
      <c r="G1162" s="65"/>
      <c r="J1162" s="62"/>
    </row>
    <row r="1163">
      <c r="B1163" s="64"/>
      <c r="F1163" s="63"/>
      <c r="G1163" s="65"/>
      <c r="J1163" s="62"/>
    </row>
    <row r="1164">
      <c r="B1164" s="64"/>
      <c r="F1164" s="63"/>
      <c r="G1164" s="65"/>
      <c r="J1164" s="62"/>
    </row>
    <row r="1165">
      <c r="B1165" s="64"/>
      <c r="F1165" s="63"/>
      <c r="G1165" s="65"/>
      <c r="J1165" s="62"/>
    </row>
    <row r="1166">
      <c r="B1166" s="64"/>
      <c r="F1166" s="63"/>
      <c r="G1166" s="65"/>
      <c r="J1166" s="62"/>
    </row>
    <row r="1167">
      <c r="B1167" s="64"/>
      <c r="F1167" s="63"/>
      <c r="G1167" s="65"/>
      <c r="J1167" s="62"/>
    </row>
    <row r="1168">
      <c r="B1168" s="64"/>
      <c r="F1168" s="63"/>
      <c r="G1168" s="65"/>
      <c r="J1168" s="62"/>
    </row>
    <row r="1169">
      <c r="B1169" s="64"/>
      <c r="F1169" s="63"/>
      <c r="G1169" s="65"/>
      <c r="J1169" s="62"/>
    </row>
    <row r="1170">
      <c r="B1170" s="64"/>
      <c r="F1170" s="63"/>
      <c r="G1170" s="65"/>
      <c r="J1170" s="62"/>
    </row>
    <row r="1171">
      <c r="B1171" s="64"/>
      <c r="F1171" s="63"/>
      <c r="G1171" s="65"/>
      <c r="J1171" s="62"/>
    </row>
    <row r="1172">
      <c r="B1172" s="64"/>
      <c r="F1172" s="63"/>
      <c r="G1172" s="65"/>
      <c r="J1172" s="62"/>
    </row>
    <row r="1173">
      <c r="B1173" s="64"/>
      <c r="F1173" s="63"/>
      <c r="G1173" s="65"/>
      <c r="J1173" s="62"/>
    </row>
    <row r="1174">
      <c r="B1174" s="64"/>
      <c r="F1174" s="63"/>
      <c r="G1174" s="65"/>
      <c r="J1174" s="62"/>
    </row>
    <row r="1175">
      <c r="B1175" s="64"/>
      <c r="F1175" s="63"/>
      <c r="G1175" s="65"/>
      <c r="J1175" s="62"/>
    </row>
    <row r="1176">
      <c r="B1176" s="64"/>
      <c r="F1176" s="63"/>
      <c r="G1176" s="65"/>
      <c r="J1176" s="62"/>
    </row>
    <row r="1177">
      <c r="B1177" s="64"/>
      <c r="F1177" s="63"/>
      <c r="G1177" s="65"/>
      <c r="J1177" s="62"/>
    </row>
    <row r="1178">
      <c r="B1178" s="64"/>
      <c r="F1178" s="63"/>
      <c r="G1178" s="65"/>
      <c r="J1178" s="62"/>
    </row>
    <row r="1179">
      <c r="B1179" s="64"/>
      <c r="F1179" s="63"/>
      <c r="G1179" s="65"/>
      <c r="J1179" s="62"/>
    </row>
    <row r="1180">
      <c r="B1180" s="64"/>
      <c r="F1180" s="63"/>
      <c r="G1180" s="65"/>
      <c r="J1180" s="62"/>
    </row>
    <row r="1181">
      <c r="B1181" s="64"/>
      <c r="F1181" s="63"/>
      <c r="G1181" s="65"/>
      <c r="J1181" s="62"/>
    </row>
    <row r="1182">
      <c r="B1182" s="64"/>
      <c r="F1182" s="63"/>
      <c r="G1182" s="65"/>
      <c r="J1182" s="62"/>
    </row>
    <row r="1183">
      <c r="B1183" s="64"/>
      <c r="F1183" s="63"/>
      <c r="G1183" s="65"/>
      <c r="J1183" s="62"/>
    </row>
    <row r="1184">
      <c r="B1184" s="64"/>
      <c r="F1184" s="63"/>
      <c r="G1184" s="65"/>
      <c r="J1184" s="62"/>
    </row>
    <row r="1185">
      <c r="B1185" s="64"/>
      <c r="F1185" s="63"/>
      <c r="G1185" s="65"/>
      <c r="J1185" s="62"/>
    </row>
    <row r="1186">
      <c r="B1186" s="64"/>
      <c r="F1186" s="63"/>
      <c r="G1186" s="65"/>
      <c r="J1186" s="62"/>
    </row>
    <row r="1187">
      <c r="B1187" s="64"/>
      <c r="F1187" s="63"/>
      <c r="G1187" s="65"/>
      <c r="J1187" s="62"/>
    </row>
    <row r="1188">
      <c r="B1188" s="64"/>
      <c r="F1188" s="63"/>
      <c r="G1188" s="65"/>
      <c r="J1188" s="62"/>
    </row>
    <row r="1189">
      <c r="B1189" s="64"/>
      <c r="F1189" s="63"/>
      <c r="G1189" s="65"/>
      <c r="J1189" s="62"/>
    </row>
    <row r="1190">
      <c r="B1190" s="64"/>
      <c r="F1190" s="63"/>
      <c r="G1190" s="65"/>
      <c r="J1190" s="62"/>
    </row>
    <row r="1191">
      <c r="B1191" s="64"/>
      <c r="F1191" s="63"/>
      <c r="G1191" s="65"/>
      <c r="J1191" s="62"/>
    </row>
    <row r="1192">
      <c r="B1192" s="64"/>
      <c r="F1192" s="63"/>
      <c r="G1192" s="65"/>
      <c r="J1192" s="62"/>
    </row>
    <row r="1193">
      <c r="B1193" s="64"/>
      <c r="F1193" s="63"/>
      <c r="G1193" s="65"/>
      <c r="J1193" s="62"/>
    </row>
    <row r="1194">
      <c r="B1194" s="64"/>
      <c r="F1194" s="63"/>
      <c r="G1194" s="65"/>
      <c r="J1194" s="62"/>
    </row>
    <row r="1195">
      <c r="B1195" s="64"/>
      <c r="F1195" s="63"/>
      <c r="G1195" s="65"/>
      <c r="J1195" s="62"/>
    </row>
  </sheetData>
  <autoFilter ref="$A$1:$AB$32"/>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13.75"/>
    <col customWidth="1" min="3" max="3" width="18.75"/>
    <col customWidth="1" min="4" max="4" width="23.63"/>
    <col customWidth="1" min="7" max="7" width="14.25"/>
    <col customWidth="1" min="8" max="8" width="36.25"/>
    <col customWidth="1" min="9" max="9" width="18.63"/>
    <col customWidth="1" min="11" max="11" width="20.25"/>
  </cols>
  <sheetData>
    <row r="1">
      <c r="A1" s="34" t="s">
        <v>301</v>
      </c>
      <c r="B1" s="36" t="s">
        <v>303</v>
      </c>
      <c r="C1" s="34" t="s">
        <v>305</v>
      </c>
      <c r="D1" s="36" t="s">
        <v>307</v>
      </c>
      <c r="E1" s="34" t="s">
        <v>2</v>
      </c>
      <c r="F1" s="36" t="s">
        <v>8</v>
      </c>
      <c r="G1" s="34" t="s">
        <v>308</v>
      </c>
      <c r="H1" s="34" t="s">
        <v>310</v>
      </c>
      <c r="I1" s="36" t="s">
        <v>368</v>
      </c>
      <c r="J1" s="36" t="s">
        <v>312</v>
      </c>
      <c r="K1" s="1" t="s">
        <v>313</v>
      </c>
    </row>
    <row r="2">
      <c r="A2" s="4" t="s">
        <v>352</v>
      </c>
      <c r="B2" s="50">
        <v>46029.0</v>
      </c>
      <c r="C2" s="4" t="s">
        <v>197</v>
      </c>
      <c r="D2" s="4" t="s">
        <v>198</v>
      </c>
      <c r="E2" s="4" t="s">
        <v>31</v>
      </c>
      <c r="F2" s="4" t="s">
        <v>35</v>
      </c>
      <c r="G2" s="6" t="s">
        <v>319</v>
      </c>
      <c r="H2" s="4" t="s">
        <v>378</v>
      </c>
      <c r="I2" s="4" t="s">
        <v>379</v>
      </c>
      <c r="J2" s="45"/>
      <c r="K2" s="4" t="s">
        <v>380</v>
      </c>
    </row>
    <row r="3">
      <c r="A3" s="4" t="s">
        <v>352</v>
      </c>
      <c r="B3" s="50">
        <v>46030.0</v>
      </c>
      <c r="C3" s="4" t="s">
        <v>23</v>
      </c>
      <c r="D3" s="4" t="s">
        <v>24</v>
      </c>
      <c r="E3" s="4" t="s">
        <v>31</v>
      </c>
      <c r="F3" s="4" t="s">
        <v>324</v>
      </c>
      <c r="G3" s="6" t="s">
        <v>356</v>
      </c>
      <c r="H3" s="4" t="s">
        <v>384</v>
      </c>
      <c r="I3" s="4" t="s">
        <v>379</v>
      </c>
      <c r="J3" s="45">
        <v>828.0</v>
      </c>
    </row>
    <row r="4">
      <c r="A4" s="4" t="s">
        <v>386</v>
      </c>
      <c r="B4" s="50">
        <v>46037.0</v>
      </c>
      <c r="C4" s="4" t="s">
        <v>100</v>
      </c>
      <c r="D4" s="4" t="s">
        <v>102</v>
      </c>
      <c r="E4" s="4" t="s">
        <v>294</v>
      </c>
      <c r="F4" s="4">
        <v>6103.0</v>
      </c>
      <c r="G4" s="6">
        <v>10881.0</v>
      </c>
      <c r="H4" s="4" t="s">
        <v>388</v>
      </c>
      <c r="I4" s="4" t="s">
        <v>389</v>
      </c>
      <c r="J4" s="45"/>
      <c r="K4" s="4" t="s">
        <v>390</v>
      </c>
    </row>
    <row r="5">
      <c r="A5" s="4" t="s">
        <v>391</v>
      </c>
      <c r="B5" s="51">
        <v>46038.0</v>
      </c>
      <c r="C5" s="4" t="s">
        <v>107</v>
      </c>
      <c r="D5" s="4" t="s">
        <v>109</v>
      </c>
      <c r="E5" s="4" t="s">
        <v>31</v>
      </c>
      <c r="F5" s="4" t="s">
        <v>35</v>
      </c>
      <c r="G5" s="4" t="s">
        <v>396</v>
      </c>
      <c r="H5" s="4" t="s">
        <v>397</v>
      </c>
      <c r="I5" s="4" t="s">
        <v>379</v>
      </c>
      <c r="J5" s="45">
        <v>834.0</v>
      </c>
      <c r="K5" s="4" t="s">
        <v>398</v>
      </c>
    </row>
    <row r="6">
      <c r="A6" s="4" t="s">
        <v>391</v>
      </c>
      <c r="B6" s="51">
        <v>46037.0</v>
      </c>
      <c r="C6" s="4" t="s">
        <v>157</v>
      </c>
      <c r="D6" s="4" t="s">
        <v>158</v>
      </c>
      <c r="E6" s="4" t="s">
        <v>31</v>
      </c>
      <c r="F6" s="4" t="s">
        <v>35</v>
      </c>
      <c r="G6" s="4" t="s">
        <v>402</v>
      </c>
      <c r="H6" s="4" t="s">
        <v>403</v>
      </c>
      <c r="I6" s="4" t="s">
        <v>404</v>
      </c>
      <c r="J6" s="45">
        <v>841.0</v>
      </c>
      <c r="K6" s="4" t="s">
        <v>405</v>
      </c>
    </row>
    <row r="7">
      <c r="A7" s="4" t="s">
        <v>352</v>
      </c>
      <c r="B7" s="51">
        <v>46045.0</v>
      </c>
      <c r="C7" s="4" t="s">
        <v>163</v>
      </c>
      <c r="D7" s="4" t="s">
        <v>165</v>
      </c>
      <c r="E7" s="4" t="s">
        <v>31</v>
      </c>
      <c r="F7" s="4" t="s">
        <v>35</v>
      </c>
      <c r="G7" s="4" t="s">
        <v>408</v>
      </c>
      <c r="H7" s="4" t="s">
        <v>397</v>
      </c>
      <c r="I7" s="4" t="s">
        <v>404</v>
      </c>
      <c r="J7" s="45">
        <v>853.0</v>
      </c>
      <c r="K7" s="4" t="s">
        <v>411</v>
      </c>
    </row>
    <row r="8">
      <c r="A8" s="4" t="s">
        <v>352</v>
      </c>
      <c r="B8" s="51">
        <v>46050.0</v>
      </c>
      <c r="C8" s="4" t="s">
        <v>415</v>
      </c>
      <c r="D8" s="4" t="s">
        <v>68</v>
      </c>
      <c r="E8" s="4" t="s">
        <v>31</v>
      </c>
      <c r="F8" s="4" t="s">
        <v>35</v>
      </c>
      <c r="G8" s="4" t="s">
        <v>417</v>
      </c>
      <c r="H8" s="4" t="s">
        <v>419</v>
      </c>
      <c r="I8" s="4" t="s">
        <v>379</v>
      </c>
      <c r="J8" s="45">
        <v>842.0</v>
      </c>
      <c r="K8" s="4" t="s">
        <v>420</v>
      </c>
    </row>
    <row r="9">
      <c r="A9" s="4" t="s">
        <v>421</v>
      </c>
      <c r="B9" s="51">
        <v>46052.0</v>
      </c>
      <c r="C9" s="4" t="s">
        <v>107</v>
      </c>
      <c r="D9" s="4" t="s">
        <v>109</v>
      </c>
      <c r="E9" s="4" t="s">
        <v>31</v>
      </c>
      <c r="F9" s="4" t="s">
        <v>35</v>
      </c>
      <c r="G9" s="4" t="s">
        <v>343</v>
      </c>
      <c r="H9" s="4" t="s">
        <v>426</v>
      </c>
      <c r="I9" s="4" t="s">
        <v>404</v>
      </c>
      <c r="J9" s="45"/>
      <c r="K9" s="4" t="s">
        <v>428</v>
      </c>
    </row>
    <row r="10">
      <c r="A10" s="4" t="s">
        <v>391</v>
      </c>
      <c r="B10" s="51">
        <v>46055.0</v>
      </c>
      <c r="C10" s="4" t="s">
        <v>157</v>
      </c>
      <c r="D10" s="4" t="s">
        <v>158</v>
      </c>
      <c r="E10" s="4" t="s">
        <v>31</v>
      </c>
      <c r="F10" s="4" t="s">
        <v>35</v>
      </c>
      <c r="G10" s="4" t="s">
        <v>431</v>
      </c>
      <c r="H10" s="4" t="s">
        <v>403</v>
      </c>
      <c r="I10" s="4" t="s">
        <v>379</v>
      </c>
      <c r="J10" s="45">
        <v>833.0</v>
      </c>
      <c r="K10" s="4" t="s">
        <v>433</v>
      </c>
    </row>
    <row r="11">
      <c r="A11" s="47" t="s">
        <v>421</v>
      </c>
      <c r="B11" s="52">
        <v>46058.0</v>
      </c>
      <c r="C11" s="47" t="s">
        <v>211</v>
      </c>
      <c r="D11" s="47" t="s">
        <v>327</v>
      </c>
      <c r="E11" s="47" t="s">
        <v>185</v>
      </c>
      <c r="F11" s="47" t="s">
        <v>267</v>
      </c>
      <c r="G11" s="47" t="s">
        <v>437</v>
      </c>
      <c r="H11" s="47" t="s">
        <v>438</v>
      </c>
      <c r="I11" s="47" t="s">
        <v>379</v>
      </c>
      <c r="J11" s="47">
        <v>866.0</v>
      </c>
      <c r="K11" s="47" t="s">
        <v>440</v>
      </c>
      <c r="L11" s="38"/>
    </row>
    <row r="12">
      <c r="A12" s="47" t="s">
        <v>421</v>
      </c>
      <c r="B12" s="53">
        <v>46064.0</v>
      </c>
      <c r="C12" s="47" t="s">
        <v>43</v>
      </c>
      <c r="D12" s="47" t="s">
        <v>44</v>
      </c>
      <c r="E12" s="47" t="s">
        <v>185</v>
      </c>
      <c r="F12" s="47" t="s">
        <v>186</v>
      </c>
      <c r="G12" s="47" t="s">
        <v>445</v>
      </c>
      <c r="H12" s="47" t="s">
        <v>446</v>
      </c>
      <c r="I12" s="47" t="s">
        <v>379</v>
      </c>
      <c r="J12" s="47">
        <v>862.0</v>
      </c>
      <c r="K12" s="47" t="s">
        <v>447</v>
      </c>
      <c r="L12" s="38"/>
    </row>
    <row r="13">
      <c r="A13" s="47" t="s">
        <v>421</v>
      </c>
      <c r="B13" s="55">
        <v>46064.0</v>
      </c>
      <c r="C13" s="47" t="s">
        <v>36</v>
      </c>
      <c r="D13" s="47" t="s">
        <v>37</v>
      </c>
      <c r="E13" s="47" t="s">
        <v>185</v>
      </c>
      <c r="F13" s="47" t="s">
        <v>267</v>
      </c>
      <c r="G13" s="47" t="s">
        <v>451</v>
      </c>
      <c r="H13" s="47" t="s">
        <v>452</v>
      </c>
      <c r="I13" s="47" t="s">
        <v>379</v>
      </c>
      <c r="J13" s="38"/>
      <c r="K13" s="47" t="s">
        <v>454</v>
      </c>
      <c r="L13" s="38"/>
    </row>
    <row r="14">
      <c r="A14" s="47" t="s">
        <v>421</v>
      </c>
      <c r="B14" s="53">
        <v>46067.0</v>
      </c>
      <c r="C14" s="47" t="s">
        <v>163</v>
      </c>
      <c r="D14" s="47" t="s">
        <v>165</v>
      </c>
      <c r="E14" s="47" t="s">
        <v>31</v>
      </c>
      <c r="F14" s="47" t="s">
        <v>35</v>
      </c>
      <c r="G14" s="47" t="s">
        <v>455</v>
      </c>
      <c r="H14" s="47" t="s">
        <v>456</v>
      </c>
      <c r="I14" s="47" t="s">
        <v>379</v>
      </c>
      <c r="J14" s="47">
        <v>852.0</v>
      </c>
      <c r="K14" s="47" t="s">
        <v>458</v>
      </c>
      <c r="L14" s="38"/>
    </row>
    <row r="15">
      <c r="A15" s="47" t="s">
        <v>421</v>
      </c>
      <c r="B15" s="53">
        <v>46072.0</v>
      </c>
      <c r="C15" s="47" t="s">
        <v>72</v>
      </c>
      <c r="D15" s="47" t="s">
        <v>73</v>
      </c>
      <c r="E15" s="47" t="s">
        <v>31</v>
      </c>
      <c r="F15" s="47" t="s">
        <v>35</v>
      </c>
      <c r="G15" s="47" t="s">
        <v>459</v>
      </c>
      <c r="H15" s="47" t="s">
        <v>460</v>
      </c>
      <c r="I15" s="47" t="s">
        <v>379</v>
      </c>
      <c r="J15" s="38"/>
      <c r="K15" s="47" t="s">
        <v>458</v>
      </c>
      <c r="L15" s="38"/>
    </row>
    <row r="16">
      <c r="A16" s="47" t="s">
        <v>421</v>
      </c>
      <c r="B16" s="56">
        <v>46072.0</v>
      </c>
      <c r="C16" s="47" t="s">
        <v>43</v>
      </c>
      <c r="D16" s="47" t="s">
        <v>44</v>
      </c>
      <c r="E16" s="47" t="s">
        <v>185</v>
      </c>
      <c r="F16" s="47" t="s">
        <v>267</v>
      </c>
      <c r="G16" s="47" t="s">
        <v>462</v>
      </c>
      <c r="H16" s="47" t="s">
        <v>446</v>
      </c>
      <c r="I16" s="47" t="s">
        <v>379</v>
      </c>
      <c r="J16" s="38"/>
      <c r="K16" s="47" t="s">
        <v>465</v>
      </c>
      <c r="L16" s="38"/>
    </row>
    <row r="17">
      <c r="A17" s="47" t="s">
        <v>352</v>
      </c>
      <c r="B17" s="57">
        <v>46078.0</v>
      </c>
      <c r="C17" s="47" t="s">
        <v>163</v>
      </c>
      <c r="D17" s="47" t="s">
        <v>165</v>
      </c>
      <c r="E17" s="47" t="s">
        <v>31</v>
      </c>
      <c r="F17" s="47" t="s">
        <v>35</v>
      </c>
      <c r="G17" s="47" t="s">
        <v>466</v>
      </c>
      <c r="H17" s="47" t="s">
        <v>467</v>
      </c>
      <c r="I17" s="47" t="s">
        <v>379</v>
      </c>
      <c r="J17" s="38"/>
      <c r="K17" s="47" t="s">
        <v>468</v>
      </c>
      <c r="L17" s="38"/>
    </row>
    <row r="18">
      <c r="A18" s="47" t="s">
        <v>421</v>
      </c>
      <c r="B18" s="53">
        <v>46083.0</v>
      </c>
      <c r="C18" s="47" t="s">
        <v>192</v>
      </c>
      <c r="D18" s="38"/>
      <c r="E18" s="47" t="s">
        <v>31</v>
      </c>
      <c r="F18" s="47" t="s">
        <v>35</v>
      </c>
      <c r="G18" s="47" t="s">
        <v>470</v>
      </c>
      <c r="H18" s="47" t="s">
        <v>456</v>
      </c>
      <c r="I18" s="47" t="s">
        <v>379</v>
      </c>
      <c r="J18" s="38"/>
      <c r="K18" s="47" t="s">
        <v>471</v>
      </c>
      <c r="L18" s="38"/>
    </row>
    <row r="19">
      <c r="A19" s="47" t="s">
        <v>352</v>
      </c>
      <c r="B19" s="57">
        <v>46084.0</v>
      </c>
      <c r="C19" s="47" t="s">
        <v>211</v>
      </c>
      <c r="D19" s="47" t="s">
        <v>327</v>
      </c>
      <c r="E19" s="47" t="s">
        <v>31</v>
      </c>
      <c r="F19" s="47" t="s">
        <v>35</v>
      </c>
      <c r="G19" s="47" t="s">
        <v>330</v>
      </c>
      <c r="H19" s="47" t="s">
        <v>474</v>
      </c>
      <c r="I19" s="47" t="s">
        <v>404</v>
      </c>
      <c r="J19" s="47">
        <v>873.0</v>
      </c>
      <c r="K19" s="47" t="s">
        <v>476</v>
      </c>
      <c r="L19" s="38"/>
    </row>
    <row r="20">
      <c r="A20" s="47" t="s">
        <v>391</v>
      </c>
      <c r="B20" s="53">
        <v>46086.0</v>
      </c>
      <c r="C20" s="47" t="s">
        <v>100</v>
      </c>
      <c r="D20" s="47" t="s">
        <v>102</v>
      </c>
      <c r="E20" s="47" t="s">
        <v>31</v>
      </c>
      <c r="F20" s="47" t="s">
        <v>35</v>
      </c>
      <c r="G20" s="47" t="s">
        <v>477</v>
      </c>
      <c r="H20" s="47" t="s">
        <v>478</v>
      </c>
      <c r="I20" s="47" t="s">
        <v>379</v>
      </c>
      <c r="J20" s="60"/>
      <c r="K20" s="47" t="s">
        <v>481</v>
      </c>
      <c r="L20" s="38"/>
    </row>
    <row r="21">
      <c r="A21" s="47" t="s">
        <v>391</v>
      </c>
      <c r="B21" s="53">
        <v>46086.0</v>
      </c>
      <c r="C21" s="47" t="s">
        <v>100</v>
      </c>
      <c r="D21" s="47" t="s">
        <v>102</v>
      </c>
      <c r="E21" s="47" t="s">
        <v>31</v>
      </c>
      <c r="F21" s="47" t="s">
        <v>35</v>
      </c>
      <c r="G21" s="47" t="s">
        <v>483</v>
      </c>
      <c r="H21" s="47" t="s">
        <v>484</v>
      </c>
      <c r="I21" s="47" t="s">
        <v>379</v>
      </c>
      <c r="J21" s="47">
        <v>871.0</v>
      </c>
      <c r="K21" s="47" t="s">
        <v>486</v>
      </c>
      <c r="L21" s="38"/>
    </row>
    <row r="22">
      <c r="A22" s="47" t="s">
        <v>391</v>
      </c>
      <c r="B22" s="53">
        <v>46087.0</v>
      </c>
      <c r="C22" s="47" t="s">
        <v>100</v>
      </c>
      <c r="D22" s="47" t="s">
        <v>102</v>
      </c>
      <c r="E22" s="47" t="s">
        <v>31</v>
      </c>
      <c r="F22" s="47" t="s">
        <v>35</v>
      </c>
      <c r="G22" s="47" t="s">
        <v>337</v>
      </c>
      <c r="H22" s="47" t="s">
        <v>397</v>
      </c>
      <c r="I22" s="47" t="s">
        <v>379</v>
      </c>
      <c r="J22" s="47">
        <v>870.0</v>
      </c>
      <c r="K22" s="47" t="s">
        <v>486</v>
      </c>
      <c r="L22" s="38"/>
    </row>
    <row r="23">
      <c r="A23" s="47" t="s">
        <v>386</v>
      </c>
      <c r="B23" s="53">
        <v>46090.0</v>
      </c>
      <c r="C23" s="47" t="s">
        <v>72</v>
      </c>
      <c r="D23" s="47" t="s">
        <v>73</v>
      </c>
      <c r="E23" s="47" t="s">
        <v>31</v>
      </c>
      <c r="F23" s="47" t="s">
        <v>35</v>
      </c>
      <c r="G23" s="47" t="s">
        <v>489</v>
      </c>
      <c r="H23" s="47" t="s">
        <v>490</v>
      </c>
      <c r="I23" s="47" t="s">
        <v>379</v>
      </c>
      <c r="J23" s="38"/>
      <c r="K23" s="47" t="s">
        <v>491</v>
      </c>
      <c r="L23" s="38"/>
    </row>
    <row r="24">
      <c r="A24" s="47" t="s">
        <v>391</v>
      </c>
      <c r="B24" s="53">
        <v>46090.0</v>
      </c>
      <c r="C24" s="47" t="s">
        <v>49</v>
      </c>
      <c r="D24" s="47" t="s">
        <v>50</v>
      </c>
      <c r="E24" s="47" t="s">
        <v>31</v>
      </c>
      <c r="F24" s="47" t="s">
        <v>35</v>
      </c>
      <c r="G24" s="47" t="s">
        <v>493</v>
      </c>
      <c r="H24" s="47" t="s">
        <v>397</v>
      </c>
      <c r="I24" s="47" t="s">
        <v>404</v>
      </c>
      <c r="J24" s="38"/>
      <c r="K24" s="47" t="s">
        <v>495</v>
      </c>
      <c r="L24" s="38"/>
    </row>
    <row r="25">
      <c r="A25" s="47" t="s">
        <v>391</v>
      </c>
      <c r="B25" s="53">
        <v>46090.0</v>
      </c>
      <c r="C25" s="47" t="s">
        <v>49</v>
      </c>
      <c r="D25" s="47" t="s">
        <v>50</v>
      </c>
      <c r="E25" s="47" t="s">
        <v>31</v>
      </c>
      <c r="F25" s="47" t="s">
        <v>35</v>
      </c>
      <c r="G25" s="47" t="s">
        <v>498</v>
      </c>
      <c r="H25" s="47" t="s">
        <v>397</v>
      </c>
      <c r="I25" s="47" t="s">
        <v>404</v>
      </c>
      <c r="J25" s="38"/>
      <c r="K25" s="47" t="s">
        <v>500</v>
      </c>
      <c r="L25" s="38"/>
    </row>
    <row r="26">
      <c r="A26" s="47" t="s">
        <v>391</v>
      </c>
      <c r="B26" s="53">
        <v>46090.0</v>
      </c>
      <c r="C26" s="47" t="s">
        <v>49</v>
      </c>
      <c r="D26" s="47" t="s">
        <v>50</v>
      </c>
      <c r="E26" s="47" t="s">
        <v>31</v>
      </c>
      <c r="F26" s="47" t="s">
        <v>35</v>
      </c>
      <c r="G26" s="47" t="s">
        <v>504</v>
      </c>
      <c r="H26" s="47" t="s">
        <v>397</v>
      </c>
      <c r="I26" s="47" t="s">
        <v>404</v>
      </c>
      <c r="J26" s="38"/>
      <c r="K26" s="47" t="s">
        <v>505</v>
      </c>
      <c r="L26" s="38"/>
    </row>
    <row r="27">
      <c r="A27" s="47" t="s">
        <v>386</v>
      </c>
      <c r="B27" s="53">
        <v>46091.0</v>
      </c>
      <c r="C27" s="47" t="s">
        <v>72</v>
      </c>
      <c r="D27" s="47" t="s">
        <v>73</v>
      </c>
      <c r="E27" s="47" t="s">
        <v>31</v>
      </c>
      <c r="F27" s="47" t="s">
        <v>35</v>
      </c>
      <c r="G27" s="47" t="s">
        <v>508</v>
      </c>
      <c r="H27" s="47" t="s">
        <v>460</v>
      </c>
      <c r="I27" s="47" t="s">
        <v>404</v>
      </c>
      <c r="J27" s="60"/>
      <c r="K27" s="47" t="s">
        <v>510</v>
      </c>
      <c r="L27" s="38"/>
    </row>
    <row r="28">
      <c r="A28" s="47" t="s">
        <v>421</v>
      </c>
      <c r="B28" s="57">
        <v>46093.0</v>
      </c>
      <c r="C28" s="47" t="s">
        <v>72</v>
      </c>
      <c r="D28" s="47" t="s">
        <v>73</v>
      </c>
      <c r="E28" s="47" t="s">
        <v>31</v>
      </c>
      <c r="F28" s="47" t="s">
        <v>35</v>
      </c>
      <c r="G28" s="47" t="s">
        <v>515</v>
      </c>
      <c r="H28" s="47" t="s">
        <v>460</v>
      </c>
      <c r="I28" s="47" t="s">
        <v>379</v>
      </c>
      <c r="J28" s="38"/>
      <c r="K28" s="47" t="s">
        <v>517</v>
      </c>
      <c r="L28" s="38"/>
    </row>
    <row r="29">
      <c r="A29" s="47" t="s">
        <v>421</v>
      </c>
      <c r="B29" s="57">
        <v>46094.0</v>
      </c>
      <c r="C29" s="47" t="s">
        <v>36</v>
      </c>
      <c r="D29" s="47" t="s">
        <v>37</v>
      </c>
      <c r="E29" s="47" t="s">
        <v>185</v>
      </c>
      <c r="F29" s="47" t="s">
        <v>186</v>
      </c>
      <c r="G29" s="47" t="s">
        <v>520</v>
      </c>
      <c r="H29" s="47" t="s">
        <v>522</v>
      </c>
      <c r="I29" s="47" t="s">
        <v>379</v>
      </c>
      <c r="J29" s="38"/>
      <c r="K29" s="38"/>
      <c r="L29" s="38"/>
    </row>
    <row r="30">
      <c r="A30" s="47" t="s">
        <v>421</v>
      </c>
      <c r="B30" s="57">
        <v>46094.0</v>
      </c>
      <c r="C30" s="47" t="s">
        <v>36</v>
      </c>
      <c r="D30" s="47" t="s">
        <v>37</v>
      </c>
      <c r="E30" s="47" t="s">
        <v>185</v>
      </c>
      <c r="F30" s="47" t="s">
        <v>186</v>
      </c>
      <c r="G30" s="47" t="s">
        <v>524</v>
      </c>
      <c r="H30" s="47" t="s">
        <v>522</v>
      </c>
      <c r="I30" s="47" t="s">
        <v>379</v>
      </c>
      <c r="J30" s="38"/>
      <c r="K30" s="38"/>
      <c r="L30" s="38"/>
    </row>
    <row r="31">
      <c r="A31" s="47" t="s">
        <v>391</v>
      </c>
      <c r="B31" s="53">
        <v>46094.0</v>
      </c>
      <c r="C31" s="47" t="s">
        <v>107</v>
      </c>
      <c r="D31" s="47" t="s">
        <v>109</v>
      </c>
      <c r="E31" s="47" t="s">
        <v>31</v>
      </c>
      <c r="F31" s="47" t="s">
        <v>35</v>
      </c>
      <c r="G31" s="47" t="s">
        <v>529</v>
      </c>
      <c r="H31" s="47" t="s">
        <v>530</v>
      </c>
      <c r="I31" s="47" t="s">
        <v>379</v>
      </c>
      <c r="J31" s="38"/>
      <c r="K31" s="47" t="s">
        <v>532</v>
      </c>
      <c r="L31" s="38"/>
    </row>
    <row r="32">
      <c r="A32" s="47" t="s">
        <v>386</v>
      </c>
      <c r="B32" s="53">
        <v>46095.0</v>
      </c>
      <c r="C32" s="47" t="s">
        <v>49</v>
      </c>
      <c r="D32" s="47" t="s">
        <v>50</v>
      </c>
      <c r="E32" s="47" t="s">
        <v>31</v>
      </c>
      <c r="F32" s="47" t="s">
        <v>35</v>
      </c>
      <c r="G32" s="47" t="s">
        <v>498</v>
      </c>
      <c r="H32" s="47" t="s">
        <v>397</v>
      </c>
      <c r="I32" s="47" t="s">
        <v>404</v>
      </c>
      <c r="J32" s="38"/>
      <c r="K32" s="47" t="s">
        <v>535</v>
      </c>
      <c r="L32" s="38"/>
    </row>
    <row r="33">
      <c r="A33" s="47" t="s">
        <v>386</v>
      </c>
      <c r="B33" s="53">
        <v>46095.0</v>
      </c>
      <c r="C33" s="47" t="s">
        <v>157</v>
      </c>
      <c r="D33" s="47" t="s">
        <v>158</v>
      </c>
      <c r="E33" s="47" t="s">
        <v>31</v>
      </c>
      <c r="F33" s="47" t="s">
        <v>35</v>
      </c>
      <c r="G33" s="47" t="s">
        <v>539</v>
      </c>
      <c r="H33" s="47" t="s">
        <v>540</v>
      </c>
      <c r="I33" s="47" t="s">
        <v>379</v>
      </c>
      <c r="J33" s="47">
        <v>889.0</v>
      </c>
      <c r="K33" s="47" t="s">
        <v>541</v>
      </c>
      <c r="L33" s="38"/>
    </row>
    <row r="34">
      <c r="A34" s="47" t="s">
        <v>421</v>
      </c>
      <c r="B34" s="53">
        <v>46097.0</v>
      </c>
      <c r="C34" s="47" t="s">
        <v>157</v>
      </c>
      <c r="D34" s="47" t="s">
        <v>158</v>
      </c>
      <c r="E34" s="47" t="s">
        <v>31</v>
      </c>
      <c r="F34" s="47" t="s">
        <v>35</v>
      </c>
      <c r="G34" s="47" t="s">
        <v>544</v>
      </c>
      <c r="H34" s="47" t="s">
        <v>540</v>
      </c>
      <c r="I34" s="47" t="s">
        <v>379</v>
      </c>
      <c r="J34" s="38"/>
      <c r="K34" s="47" t="s">
        <v>546</v>
      </c>
      <c r="L34" s="38"/>
    </row>
    <row r="35">
      <c r="A35" s="47" t="s">
        <v>391</v>
      </c>
      <c r="B35" s="53">
        <v>46100.0</v>
      </c>
      <c r="C35" s="47" t="s">
        <v>49</v>
      </c>
      <c r="D35" s="47" t="s">
        <v>50</v>
      </c>
      <c r="E35" s="47" t="s">
        <v>31</v>
      </c>
      <c r="F35" s="47" t="s">
        <v>35</v>
      </c>
      <c r="G35" s="47" t="s">
        <v>547</v>
      </c>
      <c r="H35" s="47" t="s">
        <v>548</v>
      </c>
      <c r="I35" s="47" t="s">
        <v>379</v>
      </c>
      <c r="J35" s="38"/>
      <c r="K35" s="47" t="s">
        <v>552</v>
      </c>
      <c r="L35" s="38"/>
    </row>
    <row r="36">
      <c r="A36" s="47" t="s">
        <v>391</v>
      </c>
      <c r="B36" s="53">
        <v>46107.0</v>
      </c>
      <c r="C36" s="47" t="s">
        <v>49</v>
      </c>
      <c r="D36" s="47" t="s">
        <v>50</v>
      </c>
      <c r="E36" s="47" t="s">
        <v>31</v>
      </c>
      <c r="F36" s="47" t="s">
        <v>35</v>
      </c>
      <c r="G36" s="47" t="s">
        <v>493</v>
      </c>
      <c r="H36" s="47" t="s">
        <v>554</v>
      </c>
      <c r="I36" s="47" t="s">
        <v>379</v>
      </c>
      <c r="J36" s="38"/>
      <c r="K36" s="47" t="s">
        <v>556</v>
      </c>
      <c r="L36" s="38"/>
    </row>
    <row r="37">
      <c r="A37" s="47" t="s">
        <v>391</v>
      </c>
      <c r="B37" s="57">
        <v>46108.0</v>
      </c>
      <c r="C37" s="47" t="s">
        <v>157</v>
      </c>
      <c r="D37" s="47" t="s">
        <v>158</v>
      </c>
      <c r="E37" s="47" t="s">
        <v>31</v>
      </c>
      <c r="F37" s="47" t="s">
        <v>35</v>
      </c>
      <c r="G37" s="42" t="s">
        <v>537</v>
      </c>
      <c r="H37" s="47" t="s">
        <v>403</v>
      </c>
      <c r="I37" s="47" t="s">
        <v>379</v>
      </c>
      <c r="J37" s="38"/>
      <c r="K37" s="47" t="s">
        <v>559</v>
      </c>
      <c r="L37" s="38"/>
    </row>
    <row r="38">
      <c r="A38" s="47" t="s">
        <v>391</v>
      </c>
      <c r="B38" s="57">
        <v>46108.0</v>
      </c>
      <c r="C38" s="47" t="s">
        <v>157</v>
      </c>
      <c r="D38" s="47" t="s">
        <v>158</v>
      </c>
      <c r="E38" s="47" t="s">
        <v>31</v>
      </c>
      <c r="F38" s="47" t="s">
        <v>35</v>
      </c>
      <c r="G38" s="47" t="s">
        <v>561</v>
      </c>
      <c r="H38" s="47" t="s">
        <v>540</v>
      </c>
      <c r="I38" s="47" t="s">
        <v>379</v>
      </c>
      <c r="J38" s="47">
        <v>897.0</v>
      </c>
      <c r="K38" s="47" t="s">
        <v>559</v>
      </c>
      <c r="L38" s="38"/>
    </row>
    <row r="39">
      <c r="A39" s="47" t="s">
        <v>352</v>
      </c>
      <c r="B39" s="53">
        <v>46109.0</v>
      </c>
      <c r="C39" s="47" t="s">
        <v>100</v>
      </c>
      <c r="D39" s="47" t="s">
        <v>102</v>
      </c>
      <c r="E39" s="47" t="s">
        <v>31</v>
      </c>
      <c r="F39" s="47" t="s">
        <v>35</v>
      </c>
      <c r="G39" s="47" t="s">
        <v>563</v>
      </c>
      <c r="H39" s="47" t="s">
        <v>456</v>
      </c>
      <c r="I39" s="47" t="s">
        <v>379</v>
      </c>
      <c r="J39" s="38"/>
      <c r="K39" s="47" t="s">
        <v>565</v>
      </c>
      <c r="L39" s="38"/>
    </row>
    <row r="40">
      <c r="A40" s="47" t="s">
        <v>352</v>
      </c>
      <c r="B40" s="57">
        <v>46109.0</v>
      </c>
      <c r="C40" s="47" t="s">
        <v>100</v>
      </c>
      <c r="D40" s="47" t="s">
        <v>102</v>
      </c>
      <c r="E40" s="47" t="s">
        <v>31</v>
      </c>
      <c r="F40" s="47" t="s">
        <v>35</v>
      </c>
      <c r="G40" s="47" t="s">
        <v>566</v>
      </c>
      <c r="H40" s="47" t="s">
        <v>397</v>
      </c>
      <c r="I40" s="47" t="s">
        <v>379</v>
      </c>
      <c r="J40" s="47">
        <v>872.0</v>
      </c>
      <c r="K40" s="47" t="s">
        <v>565</v>
      </c>
      <c r="L40" s="38"/>
    </row>
    <row r="41">
      <c r="A41" s="47" t="s">
        <v>352</v>
      </c>
      <c r="B41" s="57">
        <v>46109.0</v>
      </c>
      <c r="C41" s="47" t="s">
        <v>197</v>
      </c>
      <c r="D41" s="47" t="s">
        <v>198</v>
      </c>
      <c r="E41" s="47" t="s">
        <v>31</v>
      </c>
      <c r="F41" s="47" t="s">
        <v>35</v>
      </c>
      <c r="G41" s="47" t="s">
        <v>569</v>
      </c>
      <c r="H41" s="47" t="s">
        <v>570</v>
      </c>
      <c r="I41" s="47" t="s">
        <v>404</v>
      </c>
      <c r="J41" s="47">
        <v>885.0</v>
      </c>
      <c r="K41" s="47" t="s">
        <v>572</v>
      </c>
      <c r="L41" s="38"/>
    </row>
    <row r="42">
      <c r="A42" s="47" t="s">
        <v>352</v>
      </c>
      <c r="B42" s="57">
        <v>46109.0</v>
      </c>
      <c r="C42" s="47" t="s">
        <v>197</v>
      </c>
      <c r="D42" s="47" t="s">
        <v>198</v>
      </c>
      <c r="E42" s="47" t="s">
        <v>31</v>
      </c>
      <c r="F42" s="47" t="s">
        <v>35</v>
      </c>
      <c r="G42" s="47" t="s">
        <v>573</v>
      </c>
      <c r="H42" s="47" t="s">
        <v>570</v>
      </c>
      <c r="I42" s="47" t="s">
        <v>404</v>
      </c>
      <c r="J42" s="47">
        <v>886.0</v>
      </c>
      <c r="K42" s="47" t="s">
        <v>576</v>
      </c>
      <c r="L42" s="38"/>
    </row>
    <row r="43">
      <c r="A43" s="47" t="s">
        <v>421</v>
      </c>
      <c r="B43" s="57">
        <v>46111.0</v>
      </c>
      <c r="C43" s="47" t="s">
        <v>197</v>
      </c>
      <c r="D43" s="47" t="s">
        <v>198</v>
      </c>
      <c r="E43" s="47" t="s">
        <v>185</v>
      </c>
      <c r="F43" s="47" t="s">
        <v>280</v>
      </c>
      <c r="G43" s="47" t="s">
        <v>382</v>
      </c>
      <c r="H43" s="47" t="s">
        <v>577</v>
      </c>
      <c r="I43" s="47" t="s">
        <v>379</v>
      </c>
      <c r="J43" s="38"/>
      <c r="K43" s="47" t="s">
        <v>579</v>
      </c>
      <c r="L43" s="38"/>
    </row>
    <row r="44">
      <c r="A44" s="47" t="s">
        <v>421</v>
      </c>
      <c r="B44" s="57">
        <v>46113.0</v>
      </c>
      <c r="C44" s="47" t="s">
        <v>197</v>
      </c>
      <c r="D44" s="47" t="s">
        <v>198</v>
      </c>
      <c r="E44" s="47" t="s">
        <v>185</v>
      </c>
      <c r="F44" s="47" t="s">
        <v>285</v>
      </c>
      <c r="G44" s="47" t="s">
        <v>513</v>
      </c>
      <c r="H44" s="47" t="s">
        <v>522</v>
      </c>
      <c r="I44" s="47" t="s">
        <v>379</v>
      </c>
      <c r="J44" s="38"/>
      <c r="K44" s="47" t="s">
        <v>582</v>
      </c>
      <c r="L44" s="38"/>
    </row>
    <row r="45">
      <c r="A45" s="47" t="s">
        <v>352</v>
      </c>
      <c r="B45" s="57">
        <v>46113.0</v>
      </c>
      <c r="C45" s="47" t="s">
        <v>23</v>
      </c>
      <c r="D45" s="47" t="s">
        <v>24</v>
      </c>
      <c r="E45" s="47" t="s">
        <v>185</v>
      </c>
      <c r="F45" s="47" t="s">
        <v>502</v>
      </c>
      <c r="G45" s="47" t="s">
        <v>503</v>
      </c>
      <c r="H45" s="47" t="s">
        <v>584</v>
      </c>
      <c r="I45" s="47" t="s">
        <v>586</v>
      </c>
      <c r="J45" s="38"/>
      <c r="K45" s="47" t="s">
        <v>587</v>
      </c>
      <c r="L45" s="38"/>
    </row>
    <row r="46">
      <c r="A46" s="47" t="s">
        <v>352</v>
      </c>
      <c r="B46" s="57">
        <v>46114.0</v>
      </c>
      <c r="C46" s="47" t="s">
        <v>277</v>
      </c>
      <c r="D46" s="47" t="s">
        <v>278</v>
      </c>
      <c r="E46" s="47" t="s">
        <v>31</v>
      </c>
      <c r="F46" s="47" t="s">
        <v>35</v>
      </c>
      <c r="G46" s="47" t="s">
        <v>590</v>
      </c>
      <c r="H46" s="47" t="s">
        <v>397</v>
      </c>
      <c r="I46" s="47" t="s">
        <v>379</v>
      </c>
      <c r="J46" s="47">
        <v>904.0</v>
      </c>
      <c r="K46" s="47" t="s">
        <v>592</v>
      </c>
      <c r="L46" s="38"/>
    </row>
    <row r="47">
      <c r="A47" s="47" t="s">
        <v>352</v>
      </c>
      <c r="B47" s="57">
        <v>45750.0</v>
      </c>
      <c r="C47" s="47" t="s">
        <v>157</v>
      </c>
      <c r="D47" s="47" t="s">
        <v>158</v>
      </c>
      <c r="E47" s="47" t="s">
        <v>31</v>
      </c>
      <c r="F47" s="47" t="s">
        <v>35</v>
      </c>
      <c r="G47" s="47" t="s">
        <v>593</v>
      </c>
      <c r="H47" s="47" t="s">
        <v>540</v>
      </c>
      <c r="I47" s="47" t="s">
        <v>404</v>
      </c>
      <c r="J47" s="38"/>
      <c r="K47" s="47" t="s">
        <v>476</v>
      </c>
      <c r="L47" s="38"/>
    </row>
    <row r="48">
      <c r="A48" s="47" t="s">
        <v>352</v>
      </c>
      <c r="B48" s="57">
        <v>46115.0</v>
      </c>
      <c r="C48" s="47" t="s">
        <v>157</v>
      </c>
      <c r="D48" s="47" t="s">
        <v>158</v>
      </c>
      <c r="E48" s="47" t="s">
        <v>31</v>
      </c>
      <c r="F48" s="47" t="s">
        <v>35</v>
      </c>
      <c r="G48" s="47" t="s">
        <v>593</v>
      </c>
      <c r="H48" s="47" t="s">
        <v>540</v>
      </c>
      <c r="I48" s="47" t="s">
        <v>404</v>
      </c>
      <c r="J48" s="38"/>
      <c r="K48" s="47" t="s">
        <v>597</v>
      </c>
      <c r="L48" s="38"/>
    </row>
    <row r="49">
      <c r="A49" s="47" t="s">
        <v>352</v>
      </c>
      <c r="B49" s="57">
        <v>46118.0</v>
      </c>
      <c r="C49" s="47" t="s">
        <v>157</v>
      </c>
      <c r="D49" s="47" t="s">
        <v>158</v>
      </c>
      <c r="E49" s="47" t="s">
        <v>31</v>
      </c>
      <c r="F49" s="47" t="s">
        <v>35</v>
      </c>
      <c r="G49" s="47" t="s">
        <v>600</v>
      </c>
      <c r="H49" s="47" t="s">
        <v>601</v>
      </c>
      <c r="I49" s="47" t="s">
        <v>379</v>
      </c>
      <c r="J49" s="38"/>
      <c r="K49" s="47" t="s">
        <v>602</v>
      </c>
      <c r="L49" s="38"/>
    </row>
    <row r="50">
      <c r="A50" s="47" t="s">
        <v>421</v>
      </c>
      <c r="B50" s="57">
        <v>46119.0</v>
      </c>
      <c r="C50" s="47" t="s">
        <v>197</v>
      </c>
      <c r="D50" s="47" t="s">
        <v>198</v>
      </c>
      <c r="E50" s="47" t="s">
        <v>185</v>
      </c>
      <c r="F50" s="47" t="s">
        <v>186</v>
      </c>
      <c r="G50" s="47" t="s">
        <v>533</v>
      </c>
      <c r="H50" s="47" t="s">
        <v>606</v>
      </c>
      <c r="I50" s="47" t="s">
        <v>379</v>
      </c>
      <c r="J50" s="47">
        <v>855.0</v>
      </c>
      <c r="K50" s="47" t="s">
        <v>607</v>
      </c>
      <c r="L50" s="38"/>
    </row>
    <row r="51">
      <c r="A51" s="47" t="s">
        <v>421</v>
      </c>
      <c r="B51" s="57">
        <v>46119.0</v>
      </c>
      <c r="C51" s="47" t="s">
        <v>197</v>
      </c>
      <c r="D51" s="47" t="s">
        <v>198</v>
      </c>
      <c r="E51" s="47" t="s">
        <v>185</v>
      </c>
      <c r="F51" s="47" t="s">
        <v>267</v>
      </c>
      <c r="G51" s="47" t="s">
        <v>518</v>
      </c>
      <c r="H51" s="47" t="s">
        <v>609</v>
      </c>
      <c r="I51" s="47" t="s">
        <v>379</v>
      </c>
      <c r="J51" s="47">
        <v>858.0</v>
      </c>
      <c r="K51" s="47" t="s">
        <v>610</v>
      </c>
      <c r="L51" s="38"/>
    </row>
    <row r="52">
      <c r="A52" s="47" t="s">
        <v>391</v>
      </c>
      <c r="B52" s="57">
        <v>46121.0</v>
      </c>
      <c r="C52" s="47" t="s">
        <v>43</v>
      </c>
      <c r="D52" s="47" t="s">
        <v>44</v>
      </c>
      <c r="E52" s="47" t="s">
        <v>185</v>
      </c>
      <c r="F52" s="47" t="s">
        <v>280</v>
      </c>
      <c r="G52" s="47" t="s">
        <v>612</v>
      </c>
      <c r="H52" s="47" t="s">
        <v>446</v>
      </c>
      <c r="I52" s="47" t="s">
        <v>613</v>
      </c>
      <c r="J52" s="38"/>
      <c r="K52" s="38"/>
      <c r="L52" s="38"/>
    </row>
    <row r="53">
      <c r="A53" s="47" t="s">
        <v>421</v>
      </c>
      <c r="B53" s="57">
        <v>46121.0</v>
      </c>
      <c r="C53" s="47" t="s">
        <v>43</v>
      </c>
      <c r="D53" s="47" t="s">
        <v>44</v>
      </c>
      <c r="E53" s="47" t="s">
        <v>185</v>
      </c>
      <c r="F53" s="47" t="s">
        <v>267</v>
      </c>
      <c r="G53" s="47" t="s">
        <v>580</v>
      </c>
      <c r="H53" s="47" t="s">
        <v>446</v>
      </c>
      <c r="I53" s="47" t="s">
        <v>379</v>
      </c>
      <c r="J53" s="38"/>
      <c r="K53" s="47" t="s">
        <v>618</v>
      </c>
      <c r="L53" s="38"/>
    </row>
    <row r="54">
      <c r="A54" s="47" t="s">
        <v>421</v>
      </c>
      <c r="B54" s="57">
        <v>46121.0</v>
      </c>
      <c r="C54" s="47" t="s">
        <v>43</v>
      </c>
      <c r="D54" s="47" t="s">
        <v>44</v>
      </c>
      <c r="E54" s="47" t="s">
        <v>185</v>
      </c>
      <c r="F54" s="47" t="s">
        <v>280</v>
      </c>
      <c r="G54" s="47" t="s">
        <v>623</v>
      </c>
      <c r="H54" s="47" t="s">
        <v>446</v>
      </c>
      <c r="I54" s="47" t="s">
        <v>379</v>
      </c>
      <c r="J54" s="38"/>
      <c r="K54" s="47" t="s">
        <v>618</v>
      </c>
      <c r="L54" s="38"/>
    </row>
    <row r="55">
      <c r="A55" s="47" t="s">
        <v>421</v>
      </c>
      <c r="B55" s="57">
        <v>46126.0</v>
      </c>
      <c r="C55" s="47" t="s">
        <v>36</v>
      </c>
      <c r="D55" s="47" t="s">
        <v>37</v>
      </c>
      <c r="E55" s="47" t="s">
        <v>185</v>
      </c>
      <c r="F55" s="47" t="s">
        <v>280</v>
      </c>
      <c r="G55" s="47" t="s">
        <v>536</v>
      </c>
      <c r="H55" s="47" t="s">
        <v>624</v>
      </c>
      <c r="I55" s="47" t="s">
        <v>389</v>
      </c>
      <c r="J55" s="38"/>
      <c r="K55" s="38"/>
      <c r="L55" s="38"/>
    </row>
    <row r="56">
      <c r="A56" s="47" t="s">
        <v>391</v>
      </c>
      <c r="B56" s="57">
        <v>46128.0</v>
      </c>
      <c r="C56" s="47" t="s">
        <v>43</v>
      </c>
      <c r="D56" s="47" t="s">
        <v>44</v>
      </c>
      <c r="E56" s="47" t="s">
        <v>185</v>
      </c>
      <c r="F56" s="47" t="s">
        <v>186</v>
      </c>
      <c r="G56" s="47" t="s">
        <v>627</v>
      </c>
      <c r="H56" s="47" t="s">
        <v>628</v>
      </c>
      <c r="I56" s="47" t="s">
        <v>404</v>
      </c>
      <c r="J56" s="47">
        <v>918.0</v>
      </c>
      <c r="K56" s="38"/>
      <c r="L56" s="38"/>
    </row>
    <row r="57">
      <c r="A57" s="47" t="s">
        <v>352</v>
      </c>
      <c r="B57" s="57">
        <v>46133.0</v>
      </c>
      <c r="C57" s="47" t="s">
        <v>49</v>
      </c>
      <c r="D57" s="38"/>
      <c r="E57" s="47" t="s">
        <v>31</v>
      </c>
      <c r="F57" s="47" t="s">
        <v>35</v>
      </c>
      <c r="G57" s="47" t="s">
        <v>504</v>
      </c>
      <c r="H57" s="47" t="s">
        <v>456</v>
      </c>
      <c r="I57" s="47" t="s">
        <v>379</v>
      </c>
      <c r="J57" s="38"/>
      <c r="K57" s="47" t="s">
        <v>629</v>
      </c>
      <c r="L57" s="38"/>
    </row>
    <row r="58">
      <c r="A58" s="47" t="s">
        <v>391</v>
      </c>
      <c r="B58" s="57">
        <v>46134.0</v>
      </c>
      <c r="C58" s="47" t="s">
        <v>129</v>
      </c>
      <c r="D58" s="38"/>
      <c r="E58" s="47" t="s">
        <v>185</v>
      </c>
      <c r="F58" s="47" t="s">
        <v>632</v>
      </c>
      <c r="G58" s="47" t="s">
        <v>633</v>
      </c>
      <c r="H58" s="47" t="s">
        <v>634</v>
      </c>
      <c r="I58" s="47" t="s">
        <v>404</v>
      </c>
      <c r="J58" s="47">
        <v>915.0</v>
      </c>
      <c r="K58" s="38"/>
      <c r="L58" s="38"/>
    </row>
    <row r="59">
      <c r="A59" s="47" t="s">
        <v>421</v>
      </c>
      <c r="B59" s="57">
        <v>46135.0</v>
      </c>
      <c r="C59" s="47" t="s">
        <v>43</v>
      </c>
      <c r="D59" s="47" t="s">
        <v>44</v>
      </c>
      <c r="E59" s="47" t="s">
        <v>185</v>
      </c>
      <c r="F59" s="47" t="s">
        <v>280</v>
      </c>
      <c r="G59" s="47" t="s">
        <v>636</v>
      </c>
      <c r="H59" s="47" t="s">
        <v>637</v>
      </c>
      <c r="I59" s="47" t="s">
        <v>379</v>
      </c>
      <c r="J59" s="38"/>
      <c r="K59" s="47" t="s">
        <v>638</v>
      </c>
      <c r="L59" s="38"/>
    </row>
    <row r="60">
      <c r="A60" s="47" t="s">
        <v>391</v>
      </c>
      <c r="B60" s="57">
        <v>46135.0</v>
      </c>
      <c r="C60" s="47" t="s">
        <v>49</v>
      </c>
      <c r="D60" s="47" t="s">
        <v>50</v>
      </c>
      <c r="E60" s="47" t="s">
        <v>31</v>
      </c>
      <c r="F60" s="47" t="s">
        <v>35</v>
      </c>
      <c r="G60" s="47" t="s">
        <v>498</v>
      </c>
      <c r="H60" s="47" t="s">
        <v>456</v>
      </c>
      <c r="I60" s="47" t="s">
        <v>379</v>
      </c>
      <c r="J60" s="38"/>
      <c r="K60" s="47" t="s">
        <v>639</v>
      </c>
      <c r="L60" s="38"/>
    </row>
    <row r="61">
      <c r="A61" s="47" t="s">
        <v>386</v>
      </c>
      <c r="B61" s="57">
        <v>46136.0</v>
      </c>
      <c r="C61" s="47" t="s">
        <v>18</v>
      </c>
      <c r="D61" s="47" t="s">
        <v>19</v>
      </c>
      <c r="E61" s="47" t="s">
        <v>31</v>
      </c>
      <c r="F61" s="47" t="s">
        <v>35</v>
      </c>
      <c r="G61" s="47" t="s">
        <v>140</v>
      </c>
      <c r="H61" s="47" t="s">
        <v>484</v>
      </c>
      <c r="I61" s="47" t="s">
        <v>379</v>
      </c>
      <c r="J61" s="38"/>
      <c r="K61" s="47" t="s">
        <v>641</v>
      </c>
      <c r="L61" s="38"/>
    </row>
    <row r="62">
      <c r="A62" s="47" t="s">
        <v>421</v>
      </c>
      <c r="B62" s="57">
        <v>46139.0</v>
      </c>
      <c r="C62" s="47" t="s">
        <v>18</v>
      </c>
      <c r="D62" s="47" t="s">
        <v>19</v>
      </c>
      <c r="E62" s="47" t="s">
        <v>31</v>
      </c>
      <c r="F62" s="47" t="s">
        <v>35</v>
      </c>
      <c r="G62" s="47" t="s">
        <v>108</v>
      </c>
      <c r="H62" s="47" t="s">
        <v>642</v>
      </c>
      <c r="I62" s="47" t="s">
        <v>379</v>
      </c>
      <c r="J62" s="38"/>
      <c r="K62" s="47" t="s">
        <v>643</v>
      </c>
      <c r="L62" s="38"/>
    </row>
    <row r="63">
      <c r="A63" s="47" t="s">
        <v>421</v>
      </c>
      <c r="B63" s="57">
        <v>46140.0</v>
      </c>
      <c r="C63" s="47" t="s">
        <v>43</v>
      </c>
      <c r="D63" s="47" t="s">
        <v>44</v>
      </c>
      <c r="E63" s="47" t="s">
        <v>185</v>
      </c>
      <c r="F63" s="47" t="s">
        <v>186</v>
      </c>
      <c r="G63" s="47" t="s">
        <v>644</v>
      </c>
      <c r="H63" s="47" t="s">
        <v>446</v>
      </c>
      <c r="I63" s="47" t="s">
        <v>379</v>
      </c>
      <c r="J63" s="38"/>
      <c r="K63" s="47" t="s">
        <v>646</v>
      </c>
      <c r="L63" s="38"/>
    </row>
    <row r="64">
      <c r="A64" s="47" t="s">
        <v>421</v>
      </c>
      <c r="B64" s="57">
        <v>46140.0</v>
      </c>
      <c r="C64" s="47" t="s">
        <v>43</v>
      </c>
      <c r="D64" s="47" t="s">
        <v>44</v>
      </c>
      <c r="E64" s="47" t="s">
        <v>185</v>
      </c>
      <c r="F64" s="47" t="s">
        <v>267</v>
      </c>
      <c r="G64" s="47" t="s">
        <v>630</v>
      </c>
      <c r="H64" s="47" t="s">
        <v>647</v>
      </c>
      <c r="I64" s="47" t="s">
        <v>379</v>
      </c>
      <c r="J64" s="38"/>
      <c r="K64" s="47" t="s">
        <v>618</v>
      </c>
      <c r="L64" s="38"/>
    </row>
    <row r="65">
      <c r="A65" s="47" t="s">
        <v>386</v>
      </c>
      <c r="B65" s="57">
        <v>46141.0</v>
      </c>
      <c r="C65" s="47" t="s">
        <v>211</v>
      </c>
      <c r="D65" s="38"/>
      <c r="E65" s="47" t="s">
        <v>185</v>
      </c>
      <c r="F65" s="47" t="s">
        <v>186</v>
      </c>
      <c r="G65" s="47" t="s">
        <v>550</v>
      </c>
      <c r="H65" s="47" t="s">
        <v>648</v>
      </c>
      <c r="I65" s="47" t="s">
        <v>379</v>
      </c>
      <c r="J65" s="38"/>
      <c r="K65" s="47" t="s">
        <v>651</v>
      </c>
      <c r="L65" s="38"/>
    </row>
    <row r="66">
      <c r="A66" s="47" t="s">
        <v>421</v>
      </c>
      <c r="B66" s="57">
        <v>46142.0</v>
      </c>
      <c r="C66" s="47" t="s">
        <v>100</v>
      </c>
      <c r="D66" s="47" t="s">
        <v>102</v>
      </c>
      <c r="E66" s="47" t="s">
        <v>294</v>
      </c>
      <c r="F66" s="47">
        <v>6103.0</v>
      </c>
      <c r="G66" s="47">
        <v>10881.0</v>
      </c>
      <c r="H66" s="47" t="s">
        <v>653</v>
      </c>
      <c r="I66" s="47" t="s">
        <v>404</v>
      </c>
      <c r="J66" s="38"/>
      <c r="K66" s="38"/>
      <c r="L66" s="38"/>
    </row>
    <row r="67">
      <c r="A67" s="47" t="s">
        <v>421</v>
      </c>
      <c r="B67" s="57">
        <v>46146.0</v>
      </c>
      <c r="C67" s="47" t="s">
        <v>43</v>
      </c>
      <c r="D67" s="47" t="s">
        <v>44</v>
      </c>
      <c r="E67" s="47" t="s">
        <v>185</v>
      </c>
      <c r="F67" s="47" t="s">
        <v>280</v>
      </c>
      <c r="G67" s="42" t="s">
        <v>655</v>
      </c>
      <c r="H67" s="47" t="s">
        <v>656</v>
      </c>
      <c r="I67" s="47" t="s">
        <v>379</v>
      </c>
      <c r="J67" s="38"/>
      <c r="K67" s="47" t="s">
        <v>618</v>
      </c>
      <c r="L67" s="38"/>
    </row>
    <row r="68">
      <c r="A68" s="47" t="s">
        <v>421</v>
      </c>
      <c r="B68" s="57">
        <v>46146.0</v>
      </c>
      <c r="C68" s="47" t="s">
        <v>43</v>
      </c>
      <c r="D68" s="47" t="s">
        <v>44</v>
      </c>
      <c r="E68" s="47" t="s">
        <v>185</v>
      </c>
      <c r="F68" s="47" t="s">
        <v>280</v>
      </c>
      <c r="G68" s="47" t="s">
        <v>657</v>
      </c>
      <c r="H68" s="47" t="s">
        <v>656</v>
      </c>
      <c r="I68" s="47" t="s">
        <v>379</v>
      </c>
      <c r="J68" s="38"/>
      <c r="K68" s="47" t="s">
        <v>618</v>
      </c>
      <c r="L68" s="38"/>
    </row>
    <row r="69">
      <c r="A69" s="47" t="s">
        <v>352</v>
      </c>
      <c r="B69" s="57">
        <v>46149.0</v>
      </c>
      <c r="C69" s="47" t="s">
        <v>72</v>
      </c>
      <c r="D69" s="47" t="s">
        <v>73</v>
      </c>
      <c r="E69" s="47" t="s">
        <v>31</v>
      </c>
      <c r="F69" s="47" t="s">
        <v>35</v>
      </c>
      <c r="G69" s="47" t="s">
        <v>508</v>
      </c>
      <c r="H69" s="47" t="s">
        <v>460</v>
      </c>
      <c r="I69" s="47" t="s">
        <v>379</v>
      </c>
      <c r="J69" s="38"/>
      <c r="K69" s="47" t="s">
        <v>660</v>
      </c>
      <c r="L69" s="38"/>
    </row>
    <row r="70">
      <c r="A70" s="47" t="s">
        <v>352</v>
      </c>
      <c r="B70" s="57">
        <v>46149.0</v>
      </c>
      <c r="C70" s="47" t="s">
        <v>72</v>
      </c>
      <c r="D70" s="47" t="s">
        <v>73</v>
      </c>
      <c r="E70" s="47" t="s">
        <v>31</v>
      </c>
      <c r="F70" s="47" t="s">
        <v>35</v>
      </c>
      <c r="G70" s="47" t="s">
        <v>661</v>
      </c>
      <c r="H70" s="47" t="s">
        <v>662</v>
      </c>
      <c r="I70" s="47" t="s">
        <v>379</v>
      </c>
      <c r="J70" s="38"/>
      <c r="K70" s="47" t="s">
        <v>665</v>
      </c>
      <c r="L70" s="38"/>
    </row>
    <row r="71">
      <c r="A71" s="47" t="s">
        <v>352</v>
      </c>
      <c r="B71" s="57">
        <v>46150.0</v>
      </c>
      <c r="C71" s="47" t="s">
        <v>217</v>
      </c>
      <c r="D71" s="47" t="s">
        <v>218</v>
      </c>
      <c r="E71" s="47" t="s">
        <v>31</v>
      </c>
      <c r="F71" s="47" t="s">
        <v>35</v>
      </c>
      <c r="G71" s="47" t="s">
        <v>666</v>
      </c>
      <c r="H71" s="47" t="s">
        <v>667</v>
      </c>
      <c r="I71" s="47" t="s">
        <v>379</v>
      </c>
      <c r="J71" s="38"/>
      <c r="K71" s="47" t="s">
        <v>668</v>
      </c>
      <c r="L71" s="38"/>
    </row>
    <row r="72">
      <c r="A72" s="47" t="s">
        <v>391</v>
      </c>
      <c r="B72" s="57">
        <v>46154.0</v>
      </c>
      <c r="C72" s="47" t="s">
        <v>95</v>
      </c>
      <c r="D72" s="47" t="s">
        <v>96</v>
      </c>
      <c r="E72" s="47" t="s">
        <v>31</v>
      </c>
      <c r="F72" s="47" t="s">
        <v>35</v>
      </c>
      <c r="G72" s="47" t="s">
        <v>671</v>
      </c>
      <c r="H72" s="47" t="s">
        <v>478</v>
      </c>
      <c r="I72" s="47" t="s">
        <v>379</v>
      </c>
      <c r="J72" s="38"/>
      <c r="K72" s="38"/>
      <c r="L72" s="38"/>
    </row>
    <row r="73">
      <c r="A73" s="47" t="s">
        <v>391</v>
      </c>
      <c r="B73" s="57">
        <v>46154.0</v>
      </c>
      <c r="C73" s="47" t="s">
        <v>95</v>
      </c>
      <c r="D73" s="47" t="s">
        <v>96</v>
      </c>
      <c r="E73" s="47" t="s">
        <v>31</v>
      </c>
      <c r="F73" s="47" t="s">
        <v>35</v>
      </c>
      <c r="G73" s="47" t="s">
        <v>672</v>
      </c>
      <c r="H73" s="47" t="s">
        <v>673</v>
      </c>
      <c r="I73" s="47" t="s">
        <v>379</v>
      </c>
      <c r="J73" s="38"/>
      <c r="K73" s="38"/>
      <c r="L73" s="38"/>
    </row>
    <row r="74">
      <c r="A74" s="47" t="s">
        <v>391</v>
      </c>
      <c r="B74" s="57">
        <v>46154.0</v>
      </c>
      <c r="C74" s="47" t="s">
        <v>95</v>
      </c>
      <c r="D74" s="47" t="s">
        <v>96</v>
      </c>
      <c r="E74" s="47" t="s">
        <v>31</v>
      </c>
      <c r="F74" s="47" t="s">
        <v>35</v>
      </c>
      <c r="G74" s="42" t="s">
        <v>677</v>
      </c>
      <c r="H74" s="47" t="s">
        <v>478</v>
      </c>
      <c r="I74" s="47" t="s">
        <v>379</v>
      </c>
      <c r="J74" s="38"/>
      <c r="K74" s="47" t="s">
        <v>678</v>
      </c>
      <c r="L74" s="38"/>
    </row>
    <row r="75">
      <c r="A75" s="47" t="s">
        <v>352</v>
      </c>
      <c r="B75" s="57">
        <v>46155.0</v>
      </c>
      <c r="C75" s="47" t="s">
        <v>143</v>
      </c>
      <c r="D75" s="47" t="s">
        <v>144</v>
      </c>
      <c r="E75" s="47" t="s">
        <v>31</v>
      </c>
      <c r="F75" s="47" t="s">
        <v>35</v>
      </c>
      <c r="G75" s="47" t="s">
        <v>680</v>
      </c>
      <c r="H75" s="47" t="s">
        <v>681</v>
      </c>
      <c r="I75" s="47" t="s">
        <v>379</v>
      </c>
      <c r="J75" s="38"/>
      <c r="K75" s="47" t="s">
        <v>682</v>
      </c>
      <c r="L75" s="38"/>
    </row>
    <row r="76">
      <c r="A76" s="47" t="s">
        <v>421</v>
      </c>
      <c r="B76" s="57">
        <v>46156.0</v>
      </c>
      <c r="C76" s="47" t="s">
        <v>43</v>
      </c>
      <c r="D76" s="47" t="s">
        <v>44</v>
      </c>
      <c r="E76" s="47" t="s">
        <v>185</v>
      </c>
      <c r="F76" s="47" t="s">
        <v>280</v>
      </c>
      <c r="G76" s="47" t="s">
        <v>685</v>
      </c>
      <c r="H76" s="47" t="s">
        <v>656</v>
      </c>
      <c r="I76" s="47" t="s">
        <v>379</v>
      </c>
      <c r="J76" s="38"/>
      <c r="K76" s="47" t="s">
        <v>686</v>
      </c>
      <c r="L76" s="38"/>
    </row>
    <row r="77">
      <c r="A77" s="47" t="s">
        <v>421</v>
      </c>
      <c r="B77" s="57">
        <v>46156.0</v>
      </c>
      <c r="C77" s="47" t="s">
        <v>43</v>
      </c>
      <c r="D77" s="47" t="s">
        <v>44</v>
      </c>
      <c r="E77" s="47" t="s">
        <v>185</v>
      </c>
      <c r="F77" s="47" t="s">
        <v>280</v>
      </c>
      <c r="G77" s="47" t="s">
        <v>687</v>
      </c>
      <c r="H77" s="47" t="s">
        <v>656</v>
      </c>
      <c r="I77" s="47" t="s">
        <v>379</v>
      </c>
      <c r="J77" s="38"/>
      <c r="K77" s="47" t="s">
        <v>688</v>
      </c>
      <c r="L77" s="38"/>
    </row>
    <row r="78">
      <c r="A78" s="47" t="s">
        <v>352</v>
      </c>
      <c r="B78" s="57">
        <v>46157.0</v>
      </c>
      <c r="C78" s="47" t="s">
        <v>197</v>
      </c>
      <c r="D78" s="47" t="s">
        <v>198</v>
      </c>
      <c r="E78" s="47" t="s">
        <v>31</v>
      </c>
      <c r="F78" s="47" t="s">
        <v>35</v>
      </c>
      <c r="G78" s="47" t="s">
        <v>690</v>
      </c>
      <c r="H78" s="47" t="s">
        <v>570</v>
      </c>
      <c r="I78" s="47" t="s">
        <v>404</v>
      </c>
      <c r="J78" s="38"/>
      <c r="K78" s="47" t="s">
        <v>691</v>
      </c>
      <c r="L78" s="38"/>
    </row>
    <row r="79">
      <c r="A79" s="47" t="s">
        <v>352</v>
      </c>
      <c r="B79" s="57">
        <v>46162.0</v>
      </c>
      <c r="C79" s="47" t="s">
        <v>415</v>
      </c>
      <c r="D79" s="47" t="s">
        <v>68</v>
      </c>
      <c r="E79" s="47" t="s">
        <v>31</v>
      </c>
      <c r="F79" s="47" t="s">
        <v>35</v>
      </c>
      <c r="G79" s="47" t="s">
        <v>694</v>
      </c>
      <c r="H79" s="47" t="s">
        <v>397</v>
      </c>
      <c r="I79" s="47" t="s">
        <v>379</v>
      </c>
      <c r="J79" s="38"/>
      <c r="K79" s="47" t="s">
        <v>695</v>
      </c>
      <c r="L79" s="38"/>
    </row>
    <row r="80">
      <c r="A80" s="47" t="s">
        <v>391</v>
      </c>
      <c r="B80" s="57">
        <v>46163.0</v>
      </c>
      <c r="C80" s="47" t="s">
        <v>18</v>
      </c>
      <c r="D80" s="47" t="s">
        <v>19</v>
      </c>
      <c r="E80" s="47" t="s">
        <v>185</v>
      </c>
      <c r="F80" s="47" t="s">
        <v>186</v>
      </c>
      <c r="G80" s="47" t="s">
        <v>223</v>
      </c>
      <c r="H80" s="47" t="s">
        <v>647</v>
      </c>
      <c r="I80" s="47" t="s">
        <v>379</v>
      </c>
      <c r="J80" s="38"/>
      <c r="K80" s="38"/>
      <c r="L80" s="38"/>
    </row>
    <row r="81">
      <c r="A81" s="47" t="s">
        <v>421</v>
      </c>
      <c r="B81" s="57">
        <v>46163.0</v>
      </c>
      <c r="C81" s="47" t="s">
        <v>18</v>
      </c>
      <c r="D81" s="47" t="s">
        <v>19</v>
      </c>
      <c r="E81" s="47" t="s">
        <v>185</v>
      </c>
      <c r="F81" s="47" t="s">
        <v>186</v>
      </c>
      <c r="G81" s="47" t="s">
        <v>245</v>
      </c>
      <c r="H81" s="47" t="s">
        <v>637</v>
      </c>
      <c r="I81" s="47" t="s">
        <v>613</v>
      </c>
      <c r="J81" s="38"/>
      <c r="K81" s="47" t="s">
        <v>700</v>
      </c>
      <c r="L81" s="38"/>
    </row>
    <row r="82">
      <c r="A82" s="47" t="s">
        <v>421</v>
      </c>
      <c r="B82" s="57">
        <v>46165.0</v>
      </c>
      <c r="C82" s="47" t="s">
        <v>43</v>
      </c>
      <c r="D82" s="47" t="s">
        <v>44</v>
      </c>
      <c r="E82" s="47" t="s">
        <v>185</v>
      </c>
      <c r="F82" s="47" t="s">
        <v>267</v>
      </c>
      <c r="G82" s="47" t="s">
        <v>598</v>
      </c>
      <c r="H82" s="47" t="s">
        <v>647</v>
      </c>
      <c r="I82" s="47" t="s">
        <v>379</v>
      </c>
      <c r="J82" s="38"/>
      <c r="K82" s="47" t="s">
        <v>702</v>
      </c>
      <c r="L82" s="38"/>
    </row>
    <row r="83">
      <c r="A83" s="47" t="s">
        <v>421</v>
      </c>
      <c r="B83" s="57">
        <v>46165.0</v>
      </c>
      <c r="C83" s="47" t="s">
        <v>43</v>
      </c>
      <c r="D83" s="47" t="s">
        <v>44</v>
      </c>
      <c r="E83" s="47" t="s">
        <v>185</v>
      </c>
      <c r="F83" s="47" t="s">
        <v>186</v>
      </c>
      <c r="G83" s="47" t="s">
        <v>696</v>
      </c>
      <c r="H83" s="47" t="s">
        <v>647</v>
      </c>
      <c r="I83" s="47" t="s">
        <v>379</v>
      </c>
      <c r="J83" s="38"/>
      <c r="K83" s="47" t="s">
        <v>705</v>
      </c>
      <c r="L83" s="38"/>
    </row>
    <row r="84">
      <c r="A84" s="47" t="s">
        <v>421</v>
      </c>
      <c r="B84" s="57">
        <v>46175.0</v>
      </c>
      <c r="C84" s="47" t="s">
        <v>100</v>
      </c>
      <c r="D84" s="47" t="s">
        <v>102</v>
      </c>
      <c r="E84" s="47" t="s">
        <v>31</v>
      </c>
      <c r="F84" s="47" t="s">
        <v>35</v>
      </c>
      <c r="G84" s="47" t="s">
        <v>707</v>
      </c>
      <c r="H84" s="47" t="s">
        <v>474</v>
      </c>
      <c r="I84" s="47" t="s">
        <v>404</v>
      </c>
      <c r="J84" s="38"/>
      <c r="K84" s="47" t="s">
        <v>708</v>
      </c>
      <c r="L84" s="38"/>
    </row>
    <row r="85">
      <c r="A85" s="47" t="s">
        <v>421</v>
      </c>
      <c r="B85" s="57">
        <v>46175.0</v>
      </c>
      <c r="C85" s="47" t="s">
        <v>43</v>
      </c>
      <c r="D85" s="47" t="s">
        <v>44</v>
      </c>
      <c r="E85" s="47" t="s">
        <v>185</v>
      </c>
      <c r="F85" s="47" t="s">
        <v>267</v>
      </c>
      <c r="G85" s="47" t="s">
        <v>614</v>
      </c>
      <c r="H85" s="47" t="s">
        <v>647</v>
      </c>
      <c r="I85" s="47" t="s">
        <v>379</v>
      </c>
      <c r="J85" s="38"/>
      <c r="K85" s="47" t="s">
        <v>710</v>
      </c>
      <c r="L85" s="38"/>
    </row>
    <row r="86">
      <c r="A86" s="47" t="s">
        <v>352</v>
      </c>
      <c r="B86" s="57">
        <v>46177.0</v>
      </c>
      <c r="C86" s="47" t="s">
        <v>23</v>
      </c>
      <c r="D86" s="47" t="s">
        <v>24</v>
      </c>
      <c r="E86" s="47" t="s">
        <v>31</v>
      </c>
      <c r="F86" s="47" t="s">
        <v>324</v>
      </c>
      <c r="G86" s="47" t="s">
        <v>497</v>
      </c>
      <c r="H86" s="47" t="s">
        <v>712</v>
      </c>
      <c r="I86" s="47" t="s">
        <v>379</v>
      </c>
      <c r="J86" s="38"/>
      <c r="K86" s="47" t="s">
        <v>713</v>
      </c>
      <c r="L86" s="38"/>
    </row>
    <row r="87">
      <c r="A87" s="47" t="s">
        <v>421</v>
      </c>
      <c r="B87" s="57">
        <v>46177.0</v>
      </c>
      <c r="C87" s="47" t="s">
        <v>43</v>
      </c>
      <c r="D87" s="47" t="s">
        <v>44</v>
      </c>
      <c r="E87" s="47" t="s">
        <v>185</v>
      </c>
      <c r="F87" s="47" t="s">
        <v>186</v>
      </c>
      <c r="G87" s="47" t="s">
        <v>664</v>
      </c>
      <c r="H87" s="47" t="s">
        <v>647</v>
      </c>
      <c r="I87" s="47" t="s">
        <v>379</v>
      </c>
      <c r="J87" s="38"/>
      <c r="K87" s="47" t="s">
        <v>717</v>
      </c>
      <c r="L87" s="38"/>
    </row>
    <row r="88">
      <c r="A88" s="47" t="s">
        <v>352</v>
      </c>
      <c r="B88" s="57">
        <v>46183.0</v>
      </c>
      <c r="C88" s="47" t="s">
        <v>163</v>
      </c>
      <c r="D88" s="47" t="s">
        <v>165</v>
      </c>
      <c r="E88" s="47" t="s">
        <v>31</v>
      </c>
      <c r="F88" s="47" t="s">
        <v>35</v>
      </c>
      <c r="G88" s="42" t="s">
        <v>408</v>
      </c>
      <c r="H88" s="47" t="s">
        <v>718</v>
      </c>
      <c r="I88" s="47" t="s">
        <v>379</v>
      </c>
      <c r="J88" s="38"/>
      <c r="K88" s="47" t="s">
        <v>721</v>
      </c>
      <c r="L88" s="38"/>
    </row>
    <row r="89">
      <c r="A89" s="47" t="s">
        <v>352</v>
      </c>
      <c r="B89" s="57">
        <v>46190.0</v>
      </c>
      <c r="C89" s="47" t="s">
        <v>23</v>
      </c>
      <c r="D89" s="47" t="s">
        <v>24</v>
      </c>
      <c r="E89" s="47" t="s">
        <v>31</v>
      </c>
      <c r="F89" s="47" t="s">
        <v>324</v>
      </c>
      <c r="G89" s="47" t="s">
        <v>351</v>
      </c>
      <c r="H89" s="47" t="s">
        <v>723</v>
      </c>
      <c r="I89" s="47" t="s">
        <v>379</v>
      </c>
      <c r="J89" s="38"/>
      <c r="K89" s="47" t="s">
        <v>725</v>
      </c>
      <c r="L89" s="38"/>
    </row>
    <row r="90">
      <c r="A90" s="47" t="s">
        <v>352</v>
      </c>
      <c r="B90" s="57">
        <v>46190.0</v>
      </c>
      <c r="C90" s="47" t="s">
        <v>23</v>
      </c>
      <c r="D90" s="47" t="s">
        <v>24</v>
      </c>
      <c r="E90" s="47" t="s">
        <v>31</v>
      </c>
      <c r="F90" s="47" t="s">
        <v>324</v>
      </c>
      <c r="G90" s="47" t="s">
        <v>488</v>
      </c>
      <c r="H90" s="47" t="s">
        <v>727</v>
      </c>
      <c r="I90" s="47" t="s">
        <v>379</v>
      </c>
      <c r="J90" s="38"/>
      <c r="K90" s="47" t="s">
        <v>725</v>
      </c>
      <c r="L90" s="38"/>
    </row>
    <row r="91">
      <c r="A91" s="47" t="s">
        <v>352</v>
      </c>
      <c r="B91" s="57">
        <v>46190.0</v>
      </c>
      <c r="C91" s="47" t="s">
        <v>72</v>
      </c>
      <c r="D91" s="47" t="s">
        <v>73</v>
      </c>
      <c r="E91" s="47" t="s">
        <v>31</v>
      </c>
      <c r="F91" s="47" t="s">
        <v>35</v>
      </c>
      <c r="G91" s="47" t="s">
        <v>489</v>
      </c>
      <c r="H91" s="47" t="s">
        <v>728</v>
      </c>
      <c r="I91" s="47" t="s">
        <v>404</v>
      </c>
      <c r="J91" s="38"/>
      <c r="K91" s="47" t="s">
        <v>729</v>
      </c>
      <c r="L91" s="38"/>
    </row>
    <row r="92">
      <c r="A92" s="47" t="s">
        <v>352</v>
      </c>
      <c r="B92" s="57">
        <v>46198.0</v>
      </c>
      <c r="C92" s="47" t="s">
        <v>23</v>
      </c>
      <c r="D92" s="47" t="s">
        <v>24</v>
      </c>
      <c r="E92" s="47" t="s">
        <v>31</v>
      </c>
      <c r="F92" s="47" t="s">
        <v>324</v>
      </c>
      <c r="G92" s="47" t="s">
        <v>497</v>
      </c>
      <c r="H92" s="47" t="s">
        <v>731</v>
      </c>
      <c r="I92" s="47" t="s">
        <v>404</v>
      </c>
      <c r="J92" s="38"/>
      <c r="K92" s="47" t="s">
        <v>729</v>
      </c>
      <c r="L92" s="38"/>
    </row>
    <row r="93">
      <c r="A93" s="47" t="s">
        <v>421</v>
      </c>
      <c r="B93" s="57">
        <v>46205.0</v>
      </c>
      <c r="C93" s="47" t="s">
        <v>43</v>
      </c>
      <c r="D93" s="47" t="s">
        <v>44</v>
      </c>
      <c r="E93" s="47" t="s">
        <v>185</v>
      </c>
      <c r="F93" s="47" t="s">
        <v>186</v>
      </c>
      <c r="G93" s="47" t="s">
        <v>683</v>
      </c>
      <c r="H93" s="47" t="s">
        <v>732</v>
      </c>
      <c r="I93" s="47" t="s">
        <v>404</v>
      </c>
      <c r="J93" s="38"/>
      <c r="K93" s="47" t="s">
        <v>733</v>
      </c>
      <c r="L93" s="38"/>
    </row>
    <row r="94">
      <c r="A94" s="47" t="s">
        <v>421</v>
      </c>
      <c r="B94" s="57">
        <v>46205.0</v>
      </c>
      <c r="C94" s="47" t="s">
        <v>157</v>
      </c>
      <c r="D94" s="47" t="s">
        <v>158</v>
      </c>
      <c r="E94" s="47" t="s">
        <v>31</v>
      </c>
      <c r="F94" s="47" t="s">
        <v>35</v>
      </c>
      <c r="G94" s="47" t="s">
        <v>734</v>
      </c>
      <c r="H94" s="47" t="s">
        <v>735</v>
      </c>
      <c r="I94" s="47" t="s">
        <v>379</v>
      </c>
      <c r="J94" s="38"/>
      <c r="K94" s="47" t="s">
        <v>458</v>
      </c>
      <c r="L94" s="38"/>
    </row>
    <row r="95">
      <c r="A95" s="47" t="s">
        <v>421</v>
      </c>
      <c r="B95" s="57">
        <v>46206.0</v>
      </c>
      <c r="C95" s="47" t="s">
        <v>100</v>
      </c>
      <c r="D95" s="47" t="s">
        <v>102</v>
      </c>
      <c r="E95" s="47" t="s">
        <v>294</v>
      </c>
      <c r="F95" s="47">
        <v>6103.0</v>
      </c>
      <c r="G95" s="47">
        <v>10881.0</v>
      </c>
      <c r="H95" s="47" t="s">
        <v>584</v>
      </c>
      <c r="I95" s="47" t="s">
        <v>389</v>
      </c>
      <c r="J95" s="38"/>
      <c r="K95" s="38"/>
      <c r="L95" s="38"/>
    </row>
    <row r="96">
      <c r="A96" s="47" t="s">
        <v>421</v>
      </c>
      <c r="B96" s="57">
        <v>46206.0</v>
      </c>
      <c r="C96" s="47" t="s">
        <v>100</v>
      </c>
      <c r="D96" s="47" t="s">
        <v>102</v>
      </c>
      <c r="E96" s="47" t="s">
        <v>185</v>
      </c>
      <c r="F96" s="47" t="s">
        <v>280</v>
      </c>
      <c r="G96" s="47" t="s">
        <v>737</v>
      </c>
      <c r="H96" s="47" t="s">
        <v>584</v>
      </c>
      <c r="I96" s="47" t="s">
        <v>389</v>
      </c>
      <c r="J96" s="38"/>
      <c r="K96" s="38"/>
      <c r="L96" s="38"/>
    </row>
    <row r="97">
      <c r="A97" s="47" t="s">
        <v>386</v>
      </c>
      <c r="B97" s="57">
        <v>46211.0</v>
      </c>
      <c r="C97" s="47" t="s">
        <v>184</v>
      </c>
      <c r="D97" s="47" t="s">
        <v>187</v>
      </c>
      <c r="E97" s="47" t="s">
        <v>31</v>
      </c>
      <c r="F97" s="47" t="s">
        <v>182</v>
      </c>
      <c r="G97" s="42">
        <v>2.8024035E7</v>
      </c>
      <c r="H97" s="47" t="s">
        <v>739</v>
      </c>
      <c r="I97" s="47" t="s">
        <v>404</v>
      </c>
      <c r="J97" s="38"/>
      <c r="K97" s="47" t="s">
        <v>740</v>
      </c>
      <c r="L97" s="38"/>
    </row>
    <row r="98">
      <c r="A98" s="47" t="s">
        <v>386</v>
      </c>
      <c r="B98" s="57">
        <v>46211.0</v>
      </c>
      <c r="C98" s="47" t="s">
        <v>184</v>
      </c>
      <c r="D98" s="47" t="s">
        <v>187</v>
      </c>
      <c r="E98" s="47" t="s">
        <v>31</v>
      </c>
      <c r="F98" s="47" t="s">
        <v>182</v>
      </c>
      <c r="G98" s="47">
        <v>2.8024038E7</v>
      </c>
      <c r="H98" s="47" t="s">
        <v>739</v>
      </c>
      <c r="I98" s="47" t="s">
        <v>404</v>
      </c>
      <c r="J98" s="38"/>
      <c r="K98" s="47" t="s">
        <v>743</v>
      </c>
      <c r="L98" s="38"/>
    </row>
    <row r="99">
      <c r="A99" s="47" t="s">
        <v>352</v>
      </c>
      <c r="B99" s="57">
        <v>46224.0</v>
      </c>
      <c r="C99" s="47" t="s">
        <v>23</v>
      </c>
      <c r="D99" s="47" t="s">
        <v>24</v>
      </c>
      <c r="E99" s="47" t="s">
        <v>31</v>
      </c>
      <c r="F99" s="47" t="s">
        <v>324</v>
      </c>
      <c r="G99" s="47" t="s">
        <v>488</v>
      </c>
      <c r="H99" s="47" t="s">
        <v>746</v>
      </c>
      <c r="I99" s="47" t="s">
        <v>404</v>
      </c>
      <c r="J99" s="38"/>
      <c r="K99" s="47" t="s">
        <v>476</v>
      </c>
      <c r="L99" s="38"/>
    </row>
    <row r="100">
      <c r="A100" s="4" t="s">
        <v>421</v>
      </c>
      <c r="B100" s="51">
        <v>46230.0</v>
      </c>
      <c r="C100" s="4" t="s">
        <v>177</v>
      </c>
      <c r="D100" s="4" t="s">
        <v>178</v>
      </c>
      <c r="E100" s="4" t="s">
        <v>185</v>
      </c>
      <c r="F100" s="4" t="s">
        <v>186</v>
      </c>
      <c r="G100" s="4" t="s">
        <v>749</v>
      </c>
      <c r="H100" s="4" t="s">
        <v>750</v>
      </c>
      <c r="I100" s="4" t="s">
        <v>379</v>
      </c>
      <c r="J100" s="63"/>
      <c r="K100" s="4" t="s">
        <v>752</v>
      </c>
    </row>
    <row r="101">
      <c r="A101" s="4" t="s">
        <v>421</v>
      </c>
      <c r="B101" s="51">
        <v>46232.0</v>
      </c>
      <c r="C101" s="4" t="s">
        <v>18</v>
      </c>
      <c r="D101" s="4" t="s">
        <v>19</v>
      </c>
      <c r="E101" s="4" t="s">
        <v>185</v>
      </c>
      <c r="F101" s="4" t="s">
        <v>285</v>
      </c>
      <c r="G101" s="4" t="s">
        <v>289</v>
      </c>
      <c r="H101" s="4" t="s">
        <v>522</v>
      </c>
      <c r="I101" s="4" t="s">
        <v>379</v>
      </c>
      <c r="J101" s="63"/>
      <c r="K101" s="4" t="s">
        <v>754</v>
      </c>
    </row>
    <row r="102">
      <c r="A102" s="4" t="s">
        <v>421</v>
      </c>
      <c r="B102" s="51">
        <v>46233.0</v>
      </c>
      <c r="C102" s="4" t="s">
        <v>43</v>
      </c>
      <c r="D102" s="4" t="s">
        <v>44</v>
      </c>
      <c r="E102" s="4" t="s">
        <v>185</v>
      </c>
      <c r="F102" s="4" t="s">
        <v>285</v>
      </c>
      <c r="G102" s="4" t="s">
        <v>675</v>
      </c>
      <c r="H102" s="4" t="s">
        <v>647</v>
      </c>
      <c r="I102" s="4" t="s">
        <v>379</v>
      </c>
      <c r="J102" s="63"/>
      <c r="K102" s="4" t="s">
        <v>756</v>
      </c>
    </row>
    <row r="103">
      <c r="J103" s="63"/>
    </row>
    <row r="104">
      <c r="J104" s="63"/>
    </row>
    <row r="105">
      <c r="J105" s="63"/>
    </row>
    <row r="106">
      <c r="J106" s="63"/>
    </row>
    <row r="107">
      <c r="J107" s="63"/>
    </row>
    <row r="108">
      <c r="J108" s="63"/>
    </row>
    <row r="109">
      <c r="J109" s="63"/>
    </row>
    <row r="110">
      <c r="J110" s="63"/>
    </row>
    <row r="111">
      <c r="J111" s="63"/>
    </row>
    <row r="112">
      <c r="J112" s="63"/>
    </row>
    <row r="113">
      <c r="J113" s="63"/>
    </row>
    <row r="114">
      <c r="J114" s="63"/>
    </row>
    <row r="115">
      <c r="J115" s="63"/>
    </row>
    <row r="116">
      <c r="J116" s="63"/>
    </row>
    <row r="117">
      <c r="J117" s="63"/>
    </row>
    <row r="118">
      <c r="J118" s="63"/>
    </row>
    <row r="119">
      <c r="J119" s="63"/>
    </row>
    <row r="120">
      <c r="J120" s="63"/>
    </row>
    <row r="121">
      <c r="J121" s="63"/>
    </row>
    <row r="122">
      <c r="J122" s="63"/>
    </row>
    <row r="123">
      <c r="J123" s="63"/>
    </row>
    <row r="124">
      <c r="J124" s="63"/>
    </row>
    <row r="125">
      <c r="J125" s="63"/>
    </row>
    <row r="126">
      <c r="J126" s="63"/>
    </row>
    <row r="127">
      <c r="J127" s="63"/>
    </row>
    <row r="128">
      <c r="J128" s="63"/>
    </row>
    <row r="129">
      <c r="J129" s="63"/>
    </row>
    <row r="130">
      <c r="J130" s="63"/>
    </row>
    <row r="131">
      <c r="J131" s="63"/>
    </row>
    <row r="132">
      <c r="J132" s="63"/>
    </row>
    <row r="133">
      <c r="J133" s="63"/>
    </row>
    <row r="134">
      <c r="J134" s="63"/>
    </row>
    <row r="135">
      <c r="J135" s="63"/>
    </row>
    <row r="136">
      <c r="J136" s="63"/>
    </row>
    <row r="137">
      <c r="J137" s="63"/>
    </row>
    <row r="138">
      <c r="J138" s="63"/>
    </row>
    <row r="139">
      <c r="J139" s="63"/>
    </row>
    <row r="140">
      <c r="J140" s="63"/>
    </row>
    <row r="141">
      <c r="J141" s="63"/>
    </row>
    <row r="142">
      <c r="J142" s="63"/>
    </row>
    <row r="143">
      <c r="J143" s="63"/>
    </row>
    <row r="144">
      <c r="J144" s="63"/>
    </row>
    <row r="145">
      <c r="J145" s="63"/>
    </row>
    <row r="146">
      <c r="J146" s="63"/>
    </row>
    <row r="147">
      <c r="J147" s="63"/>
    </row>
    <row r="148">
      <c r="J148" s="63"/>
    </row>
    <row r="149">
      <c r="J149" s="63"/>
    </row>
    <row r="150">
      <c r="J150" s="63"/>
    </row>
    <row r="151">
      <c r="J151" s="63"/>
    </row>
    <row r="152">
      <c r="J152" s="63"/>
    </row>
    <row r="153">
      <c r="J153" s="63"/>
    </row>
    <row r="154">
      <c r="J154" s="63"/>
    </row>
    <row r="155">
      <c r="J155" s="63"/>
    </row>
    <row r="156">
      <c r="J156" s="63"/>
    </row>
    <row r="157">
      <c r="J157" s="63"/>
    </row>
    <row r="158">
      <c r="J158" s="63"/>
    </row>
    <row r="159">
      <c r="J159" s="63"/>
    </row>
    <row r="160">
      <c r="J160" s="63"/>
    </row>
    <row r="161">
      <c r="J161" s="63"/>
    </row>
    <row r="162">
      <c r="J162" s="63"/>
    </row>
    <row r="163">
      <c r="J163" s="63"/>
    </row>
    <row r="164">
      <c r="J164" s="63"/>
    </row>
    <row r="165">
      <c r="J165" s="63"/>
    </row>
    <row r="166">
      <c r="J166" s="63"/>
    </row>
    <row r="167">
      <c r="J167" s="63"/>
    </row>
    <row r="168">
      <c r="J168" s="63"/>
    </row>
    <row r="169">
      <c r="J169" s="63"/>
    </row>
    <row r="170">
      <c r="J170" s="63"/>
    </row>
    <row r="171">
      <c r="J171" s="63"/>
    </row>
    <row r="172">
      <c r="J172" s="63"/>
    </row>
    <row r="173">
      <c r="J173" s="63"/>
    </row>
    <row r="174">
      <c r="J174" s="63"/>
    </row>
    <row r="175">
      <c r="J175" s="63"/>
    </row>
    <row r="176">
      <c r="J176" s="63"/>
    </row>
    <row r="177">
      <c r="J177" s="63"/>
    </row>
    <row r="178">
      <c r="J178" s="63"/>
    </row>
    <row r="179">
      <c r="J179" s="63"/>
    </row>
    <row r="180">
      <c r="J180" s="63"/>
    </row>
    <row r="181">
      <c r="J181" s="63"/>
    </row>
    <row r="182">
      <c r="J182" s="63"/>
    </row>
    <row r="183">
      <c r="J183" s="63"/>
    </row>
    <row r="184">
      <c r="J184" s="63"/>
    </row>
    <row r="185">
      <c r="J185" s="63"/>
    </row>
    <row r="186">
      <c r="J186" s="63"/>
    </row>
    <row r="187">
      <c r="J187" s="63"/>
    </row>
    <row r="188">
      <c r="J188" s="63"/>
    </row>
    <row r="189">
      <c r="J189" s="63"/>
    </row>
    <row r="190">
      <c r="J190" s="63"/>
    </row>
    <row r="191">
      <c r="J191" s="63"/>
    </row>
    <row r="192">
      <c r="J192" s="63"/>
    </row>
    <row r="193">
      <c r="J193" s="63"/>
    </row>
    <row r="194">
      <c r="J194" s="63"/>
    </row>
    <row r="195">
      <c r="J195" s="63"/>
    </row>
    <row r="196">
      <c r="J196" s="63"/>
    </row>
    <row r="197">
      <c r="J197" s="63"/>
    </row>
    <row r="198">
      <c r="J198" s="63"/>
    </row>
    <row r="199">
      <c r="J199" s="63"/>
    </row>
    <row r="200">
      <c r="J200" s="63"/>
    </row>
    <row r="201">
      <c r="J201" s="63"/>
    </row>
    <row r="202">
      <c r="J202" s="63"/>
    </row>
    <row r="203">
      <c r="J203" s="63"/>
    </row>
    <row r="204">
      <c r="J204" s="63"/>
    </row>
    <row r="205">
      <c r="J205" s="63"/>
    </row>
    <row r="206">
      <c r="J206" s="63"/>
    </row>
    <row r="207">
      <c r="J207" s="63"/>
    </row>
    <row r="208">
      <c r="J208" s="63"/>
    </row>
    <row r="209">
      <c r="J209" s="63"/>
    </row>
    <row r="210">
      <c r="J210" s="63"/>
    </row>
    <row r="211">
      <c r="J211" s="63"/>
    </row>
    <row r="212">
      <c r="J212" s="63"/>
    </row>
    <row r="213">
      <c r="J213" s="63"/>
    </row>
    <row r="214">
      <c r="J214" s="63"/>
    </row>
    <row r="215">
      <c r="J215" s="63"/>
    </row>
    <row r="216">
      <c r="J216" s="63"/>
    </row>
    <row r="217">
      <c r="J217" s="63"/>
    </row>
    <row r="218">
      <c r="J218" s="63"/>
    </row>
    <row r="219">
      <c r="J219" s="63"/>
    </row>
    <row r="220">
      <c r="J220" s="63"/>
    </row>
    <row r="221">
      <c r="J221" s="63"/>
    </row>
    <row r="222">
      <c r="J222" s="63"/>
    </row>
    <row r="223">
      <c r="J223" s="63"/>
    </row>
    <row r="224">
      <c r="J224" s="63"/>
    </row>
    <row r="225">
      <c r="J225" s="63"/>
    </row>
    <row r="226">
      <c r="J226" s="63"/>
    </row>
    <row r="227">
      <c r="J227" s="63"/>
    </row>
    <row r="228">
      <c r="J228" s="63"/>
    </row>
    <row r="229">
      <c r="J229" s="63"/>
    </row>
    <row r="230">
      <c r="J230" s="63"/>
    </row>
    <row r="231">
      <c r="J231" s="63"/>
    </row>
    <row r="232">
      <c r="J232" s="63"/>
    </row>
    <row r="233">
      <c r="J233" s="63"/>
    </row>
    <row r="234">
      <c r="J234" s="63"/>
    </row>
    <row r="235">
      <c r="J235" s="63"/>
    </row>
    <row r="236">
      <c r="J236" s="63"/>
    </row>
    <row r="237">
      <c r="J237" s="63"/>
    </row>
    <row r="238">
      <c r="J238" s="63"/>
    </row>
    <row r="239">
      <c r="J239" s="63"/>
    </row>
    <row r="240">
      <c r="J240" s="63"/>
    </row>
    <row r="241">
      <c r="J241" s="63"/>
    </row>
    <row r="242">
      <c r="J242" s="63"/>
    </row>
    <row r="243">
      <c r="J243" s="63"/>
    </row>
    <row r="244">
      <c r="J244" s="63"/>
    </row>
    <row r="245">
      <c r="J245" s="63"/>
    </row>
    <row r="246">
      <c r="J246" s="63"/>
    </row>
    <row r="247">
      <c r="J247" s="63"/>
    </row>
    <row r="248">
      <c r="J248" s="63"/>
    </row>
    <row r="249">
      <c r="J249" s="63"/>
    </row>
    <row r="250">
      <c r="J250" s="63"/>
    </row>
    <row r="251">
      <c r="J251" s="63"/>
    </row>
    <row r="252">
      <c r="J252" s="63"/>
    </row>
    <row r="253">
      <c r="J253" s="63"/>
    </row>
    <row r="254">
      <c r="J254" s="63"/>
    </row>
    <row r="255">
      <c r="J255" s="63"/>
    </row>
    <row r="256">
      <c r="J256" s="63"/>
    </row>
    <row r="257">
      <c r="J257" s="63"/>
    </row>
    <row r="258">
      <c r="J258" s="63"/>
    </row>
    <row r="259">
      <c r="J259" s="63"/>
    </row>
    <row r="260">
      <c r="J260" s="63"/>
    </row>
    <row r="261">
      <c r="J261" s="63"/>
    </row>
    <row r="262">
      <c r="J262" s="63"/>
    </row>
    <row r="263">
      <c r="J263" s="63"/>
    </row>
    <row r="264">
      <c r="J264" s="63"/>
    </row>
    <row r="265">
      <c r="J265" s="63"/>
    </row>
    <row r="266">
      <c r="J266" s="63"/>
    </row>
    <row r="267">
      <c r="J267" s="63"/>
    </row>
    <row r="268">
      <c r="J268" s="63"/>
    </row>
    <row r="269">
      <c r="J269" s="63"/>
    </row>
    <row r="270">
      <c r="J270" s="63"/>
    </row>
    <row r="271">
      <c r="J271" s="63"/>
    </row>
    <row r="272">
      <c r="J272" s="63"/>
    </row>
    <row r="273">
      <c r="J273" s="63"/>
    </row>
    <row r="274">
      <c r="J274" s="63"/>
    </row>
    <row r="275">
      <c r="J275" s="63"/>
    </row>
    <row r="276">
      <c r="J276" s="63"/>
    </row>
    <row r="277">
      <c r="J277" s="63"/>
    </row>
    <row r="278">
      <c r="J278" s="63"/>
    </row>
    <row r="279">
      <c r="J279" s="63"/>
    </row>
    <row r="280">
      <c r="J280" s="63"/>
    </row>
    <row r="281">
      <c r="J281" s="63"/>
    </row>
    <row r="282">
      <c r="J282" s="63"/>
    </row>
    <row r="283">
      <c r="J283" s="63"/>
    </row>
    <row r="284">
      <c r="J284" s="63"/>
    </row>
    <row r="285">
      <c r="J285" s="63"/>
    </row>
    <row r="286">
      <c r="J286" s="63"/>
    </row>
    <row r="287">
      <c r="J287" s="63"/>
    </row>
    <row r="288">
      <c r="J288" s="63"/>
    </row>
    <row r="289">
      <c r="J289" s="63"/>
    </row>
    <row r="290">
      <c r="J290" s="63"/>
    </row>
    <row r="291">
      <c r="J291" s="63"/>
    </row>
    <row r="292">
      <c r="J292" s="63"/>
    </row>
    <row r="293">
      <c r="J293" s="63"/>
    </row>
    <row r="294">
      <c r="J294" s="63"/>
    </row>
    <row r="295">
      <c r="J295" s="63"/>
    </row>
    <row r="296">
      <c r="J296" s="63"/>
    </row>
    <row r="297">
      <c r="J297" s="63"/>
    </row>
    <row r="298">
      <c r="J298" s="63"/>
    </row>
    <row r="299">
      <c r="J299" s="63"/>
    </row>
    <row r="300">
      <c r="J300" s="63"/>
    </row>
    <row r="301">
      <c r="J301" s="63"/>
    </row>
    <row r="302">
      <c r="J302" s="63"/>
    </row>
    <row r="303">
      <c r="J303" s="63"/>
    </row>
    <row r="304">
      <c r="J304" s="63"/>
    </row>
    <row r="305">
      <c r="J305" s="63"/>
    </row>
    <row r="306">
      <c r="J306" s="63"/>
    </row>
    <row r="307">
      <c r="J307" s="63"/>
    </row>
    <row r="308">
      <c r="J308" s="63"/>
    </row>
    <row r="309">
      <c r="J309" s="63"/>
    </row>
    <row r="310">
      <c r="J310" s="63"/>
    </row>
    <row r="311">
      <c r="J311" s="63"/>
    </row>
    <row r="312">
      <c r="J312" s="63"/>
    </row>
    <row r="313">
      <c r="J313" s="63"/>
    </row>
    <row r="314">
      <c r="J314" s="63"/>
    </row>
    <row r="315">
      <c r="J315" s="63"/>
    </row>
    <row r="316">
      <c r="J316" s="63"/>
    </row>
    <row r="317">
      <c r="J317" s="63"/>
    </row>
    <row r="318">
      <c r="J318" s="63"/>
    </row>
    <row r="319">
      <c r="J319" s="63"/>
    </row>
    <row r="320">
      <c r="J320" s="63"/>
    </row>
    <row r="321">
      <c r="J321" s="63"/>
    </row>
    <row r="322">
      <c r="J322" s="63"/>
    </row>
    <row r="323">
      <c r="J323" s="63"/>
    </row>
    <row r="324">
      <c r="J324" s="63"/>
    </row>
    <row r="325">
      <c r="J325" s="63"/>
    </row>
    <row r="326">
      <c r="J326" s="63"/>
    </row>
    <row r="327">
      <c r="J327" s="63"/>
    </row>
    <row r="328">
      <c r="J328" s="63"/>
    </row>
    <row r="329">
      <c r="J329" s="63"/>
    </row>
    <row r="330">
      <c r="J330" s="63"/>
    </row>
    <row r="331">
      <c r="J331" s="63"/>
    </row>
    <row r="332">
      <c r="J332" s="63"/>
    </row>
    <row r="333">
      <c r="J333" s="63"/>
    </row>
    <row r="334">
      <c r="J334" s="63"/>
    </row>
    <row r="335">
      <c r="J335" s="63"/>
    </row>
    <row r="336">
      <c r="J336" s="63"/>
    </row>
    <row r="337">
      <c r="J337" s="63"/>
    </row>
    <row r="338">
      <c r="J338" s="63"/>
    </row>
    <row r="339">
      <c r="J339" s="63"/>
    </row>
    <row r="340">
      <c r="J340" s="63"/>
    </row>
    <row r="341">
      <c r="J341" s="63"/>
    </row>
    <row r="342">
      <c r="J342" s="63"/>
    </row>
    <row r="343">
      <c r="J343" s="63"/>
    </row>
    <row r="344">
      <c r="J344" s="63"/>
    </row>
    <row r="345">
      <c r="J345" s="63"/>
    </row>
    <row r="346">
      <c r="J346" s="63"/>
    </row>
    <row r="347">
      <c r="J347" s="63"/>
    </row>
    <row r="348">
      <c r="J348" s="63"/>
    </row>
    <row r="349">
      <c r="J349" s="63"/>
    </row>
    <row r="350">
      <c r="J350" s="63"/>
    </row>
    <row r="351">
      <c r="J351" s="63"/>
    </row>
    <row r="352">
      <c r="J352" s="63"/>
    </row>
    <row r="353">
      <c r="J353" s="63"/>
    </row>
    <row r="354">
      <c r="J354" s="63"/>
    </row>
    <row r="355">
      <c r="J355" s="63"/>
    </row>
    <row r="356">
      <c r="J356" s="63"/>
    </row>
    <row r="357">
      <c r="J357" s="63"/>
    </row>
    <row r="358">
      <c r="J358" s="63"/>
    </row>
    <row r="359">
      <c r="J359" s="63"/>
    </row>
    <row r="360">
      <c r="J360" s="63"/>
    </row>
    <row r="361">
      <c r="J361" s="63"/>
    </row>
    <row r="362">
      <c r="J362" s="63"/>
    </row>
    <row r="363">
      <c r="J363" s="63"/>
    </row>
    <row r="364">
      <c r="J364" s="63"/>
    </row>
    <row r="365">
      <c r="J365" s="63"/>
    </row>
    <row r="366">
      <c r="J366" s="63"/>
    </row>
    <row r="367">
      <c r="J367" s="63"/>
    </row>
    <row r="368">
      <c r="J368" s="63"/>
    </row>
    <row r="369">
      <c r="J369" s="63"/>
    </row>
    <row r="370">
      <c r="J370" s="63"/>
    </row>
    <row r="371">
      <c r="J371" s="63"/>
    </row>
    <row r="372">
      <c r="J372" s="63"/>
    </row>
    <row r="373">
      <c r="J373" s="63"/>
    </row>
    <row r="374">
      <c r="J374" s="63"/>
    </row>
    <row r="375">
      <c r="J375" s="63"/>
    </row>
    <row r="376">
      <c r="J376" s="63"/>
    </row>
    <row r="377">
      <c r="J377" s="63"/>
    </row>
    <row r="378">
      <c r="J378" s="63"/>
    </row>
    <row r="379">
      <c r="J379" s="63"/>
    </row>
    <row r="380">
      <c r="J380" s="63"/>
    </row>
    <row r="381">
      <c r="J381" s="63"/>
    </row>
    <row r="382">
      <c r="J382" s="63"/>
    </row>
    <row r="383">
      <c r="J383" s="63"/>
    </row>
    <row r="384">
      <c r="J384" s="63"/>
    </row>
    <row r="385">
      <c r="J385" s="63"/>
    </row>
    <row r="386">
      <c r="J386" s="63"/>
    </row>
    <row r="387">
      <c r="J387" s="63"/>
    </row>
    <row r="388">
      <c r="J388" s="63"/>
    </row>
    <row r="389">
      <c r="J389" s="63"/>
    </row>
    <row r="390">
      <c r="J390" s="63"/>
    </row>
    <row r="391">
      <c r="J391" s="63"/>
    </row>
    <row r="392">
      <c r="J392" s="63"/>
    </row>
    <row r="393">
      <c r="J393" s="63"/>
    </row>
    <row r="394">
      <c r="J394" s="63"/>
    </row>
    <row r="395">
      <c r="J395" s="63"/>
    </row>
    <row r="396">
      <c r="J396" s="63"/>
    </row>
    <row r="397">
      <c r="J397" s="63"/>
    </row>
    <row r="398">
      <c r="J398" s="63"/>
    </row>
    <row r="399">
      <c r="J399" s="63"/>
    </row>
    <row r="400">
      <c r="J400" s="63"/>
    </row>
    <row r="401">
      <c r="J401" s="63"/>
    </row>
    <row r="402">
      <c r="J402" s="63"/>
    </row>
    <row r="403">
      <c r="J403" s="63"/>
    </row>
    <row r="404">
      <c r="J404" s="63"/>
    </row>
    <row r="405">
      <c r="J405" s="63"/>
    </row>
    <row r="406">
      <c r="J406" s="63"/>
    </row>
    <row r="407">
      <c r="J407" s="63"/>
    </row>
    <row r="408">
      <c r="J408" s="63"/>
    </row>
    <row r="409">
      <c r="J409" s="63"/>
    </row>
    <row r="410">
      <c r="J410" s="63"/>
    </row>
    <row r="411">
      <c r="J411" s="63"/>
    </row>
    <row r="412">
      <c r="J412" s="63"/>
    </row>
    <row r="413">
      <c r="J413" s="63"/>
    </row>
    <row r="414">
      <c r="J414" s="63"/>
    </row>
    <row r="415">
      <c r="J415" s="63"/>
    </row>
    <row r="416">
      <c r="J416" s="63"/>
    </row>
    <row r="417">
      <c r="J417" s="63"/>
    </row>
    <row r="418">
      <c r="J418" s="63"/>
    </row>
    <row r="419">
      <c r="J419" s="63"/>
    </row>
    <row r="420">
      <c r="J420" s="63"/>
    </row>
    <row r="421">
      <c r="J421" s="63"/>
    </row>
    <row r="422">
      <c r="J422" s="63"/>
    </row>
    <row r="423">
      <c r="J423" s="63"/>
    </row>
    <row r="424">
      <c r="J424" s="63"/>
    </row>
    <row r="425">
      <c r="J425" s="63"/>
    </row>
    <row r="426">
      <c r="J426" s="63"/>
    </row>
    <row r="427">
      <c r="J427" s="63"/>
    </row>
    <row r="428">
      <c r="J428" s="63"/>
    </row>
    <row r="429">
      <c r="J429" s="63"/>
    </row>
    <row r="430">
      <c r="J430" s="63"/>
    </row>
    <row r="431">
      <c r="J431" s="63"/>
    </row>
    <row r="432">
      <c r="J432" s="63"/>
    </row>
    <row r="433">
      <c r="J433" s="63"/>
    </row>
    <row r="434">
      <c r="J434" s="63"/>
    </row>
    <row r="435">
      <c r="J435" s="63"/>
    </row>
    <row r="436">
      <c r="J436" s="63"/>
    </row>
    <row r="437">
      <c r="J437" s="63"/>
    </row>
    <row r="438">
      <c r="J438" s="63"/>
    </row>
    <row r="439">
      <c r="J439" s="63"/>
    </row>
    <row r="440">
      <c r="J440" s="63"/>
    </row>
    <row r="441">
      <c r="J441" s="63"/>
    </row>
    <row r="442">
      <c r="J442" s="63"/>
    </row>
    <row r="443">
      <c r="J443" s="63"/>
    </row>
    <row r="444">
      <c r="J444" s="63"/>
    </row>
    <row r="445">
      <c r="J445" s="63"/>
    </row>
    <row r="446">
      <c r="J446" s="63"/>
    </row>
    <row r="447">
      <c r="J447" s="63"/>
    </row>
    <row r="448">
      <c r="J448" s="63"/>
    </row>
    <row r="449">
      <c r="J449" s="63"/>
    </row>
    <row r="450">
      <c r="J450" s="63"/>
    </row>
    <row r="451">
      <c r="J451" s="63"/>
    </row>
    <row r="452">
      <c r="J452" s="63"/>
    </row>
    <row r="453">
      <c r="J453" s="63"/>
    </row>
    <row r="454">
      <c r="J454" s="63"/>
    </row>
    <row r="455">
      <c r="J455" s="63"/>
    </row>
    <row r="456">
      <c r="J456" s="63"/>
    </row>
    <row r="457">
      <c r="J457" s="63"/>
    </row>
    <row r="458">
      <c r="J458" s="63"/>
    </row>
    <row r="459">
      <c r="J459" s="63"/>
    </row>
    <row r="460">
      <c r="J460" s="63"/>
    </row>
    <row r="461">
      <c r="J461" s="63"/>
    </row>
    <row r="462">
      <c r="J462" s="63"/>
    </row>
    <row r="463">
      <c r="J463" s="63"/>
    </row>
    <row r="464">
      <c r="J464" s="63"/>
    </row>
    <row r="465">
      <c r="J465" s="63"/>
    </row>
    <row r="466">
      <c r="J466" s="63"/>
    </row>
    <row r="467">
      <c r="J467" s="63"/>
    </row>
    <row r="468">
      <c r="J468" s="63"/>
    </row>
    <row r="469">
      <c r="J469" s="63"/>
    </row>
    <row r="470">
      <c r="J470" s="63"/>
    </row>
    <row r="471">
      <c r="J471" s="63"/>
    </row>
    <row r="472">
      <c r="J472" s="63"/>
    </row>
    <row r="473">
      <c r="J473" s="63"/>
    </row>
    <row r="474">
      <c r="J474" s="63"/>
    </row>
    <row r="475">
      <c r="J475" s="63"/>
    </row>
    <row r="476">
      <c r="J476" s="63"/>
    </row>
    <row r="477">
      <c r="J477" s="63"/>
    </row>
    <row r="478">
      <c r="J478" s="63"/>
    </row>
    <row r="479">
      <c r="J479" s="63"/>
    </row>
    <row r="480">
      <c r="J480" s="63"/>
    </row>
    <row r="481">
      <c r="J481" s="63"/>
    </row>
    <row r="482">
      <c r="J482" s="63"/>
    </row>
    <row r="483">
      <c r="J483" s="63"/>
    </row>
    <row r="484">
      <c r="J484" s="63"/>
    </row>
    <row r="485">
      <c r="J485" s="63"/>
    </row>
    <row r="486">
      <c r="J486" s="63"/>
    </row>
    <row r="487">
      <c r="J487" s="63"/>
    </row>
    <row r="488">
      <c r="J488" s="63"/>
    </row>
    <row r="489">
      <c r="J489" s="63"/>
    </row>
    <row r="490">
      <c r="J490" s="63"/>
    </row>
    <row r="491">
      <c r="J491" s="63"/>
    </row>
    <row r="492">
      <c r="J492" s="63"/>
    </row>
    <row r="493">
      <c r="J493" s="63"/>
    </row>
    <row r="494">
      <c r="J494" s="63"/>
    </row>
    <row r="495">
      <c r="J495" s="63"/>
    </row>
    <row r="496">
      <c r="J496" s="63"/>
    </row>
    <row r="497">
      <c r="J497" s="63"/>
    </row>
    <row r="498">
      <c r="J498" s="63"/>
    </row>
    <row r="499">
      <c r="J499" s="63"/>
    </row>
    <row r="500">
      <c r="J500" s="63"/>
    </row>
    <row r="501">
      <c r="J501" s="63"/>
    </row>
    <row r="502">
      <c r="J502" s="63"/>
    </row>
    <row r="503">
      <c r="J503" s="63"/>
    </row>
    <row r="504">
      <c r="J504" s="63"/>
    </row>
    <row r="505">
      <c r="J505" s="63"/>
    </row>
    <row r="506">
      <c r="J506" s="63"/>
    </row>
    <row r="507">
      <c r="J507" s="63"/>
    </row>
    <row r="508">
      <c r="J508" s="63"/>
    </row>
    <row r="509">
      <c r="J509" s="63"/>
    </row>
    <row r="510">
      <c r="J510" s="63"/>
    </row>
    <row r="511">
      <c r="J511" s="63"/>
    </row>
    <row r="512">
      <c r="J512" s="63"/>
    </row>
    <row r="513">
      <c r="J513" s="63"/>
    </row>
    <row r="514">
      <c r="J514" s="63"/>
    </row>
    <row r="515">
      <c r="J515" s="63"/>
    </row>
    <row r="516">
      <c r="J516" s="63"/>
    </row>
    <row r="517">
      <c r="J517" s="63"/>
    </row>
    <row r="518">
      <c r="J518" s="63"/>
    </row>
    <row r="519">
      <c r="J519" s="63"/>
    </row>
    <row r="520">
      <c r="J520" s="63"/>
    </row>
    <row r="521">
      <c r="J521" s="63"/>
    </row>
    <row r="522">
      <c r="J522" s="63"/>
    </row>
    <row r="523">
      <c r="J523" s="63"/>
    </row>
    <row r="524">
      <c r="J524" s="63"/>
    </row>
    <row r="525">
      <c r="J525" s="63"/>
    </row>
    <row r="526">
      <c r="J526" s="63"/>
    </row>
    <row r="527">
      <c r="J527" s="63"/>
    </row>
    <row r="528">
      <c r="J528" s="63"/>
    </row>
    <row r="529">
      <c r="J529" s="63"/>
    </row>
    <row r="530">
      <c r="J530" s="63"/>
    </row>
    <row r="531">
      <c r="J531" s="63"/>
    </row>
    <row r="532">
      <c r="J532" s="63"/>
    </row>
    <row r="533">
      <c r="J533" s="63"/>
    </row>
    <row r="534">
      <c r="J534" s="63"/>
    </row>
    <row r="535">
      <c r="J535" s="63"/>
    </row>
    <row r="536">
      <c r="J536" s="63"/>
    </row>
    <row r="537">
      <c r="J537" s="63"/>
    </row>
    <row r="538">
      <c r="J538" s="63"/>
    </row>
    <row r="539">
      <c r="J539" s="63"/>
    </row>
    <row r="540">
      <c r="J540" s="63"/>
    </row>
    <row r="541">
      <c r="J541" s="63"/>
    </row>
    <row r="542">
      <c r="J542" s="63"/>
    </row>
    <row r="543">
      <c r="J543" s="63"/>
    </row>
    <row r="544">
      <c r="J544" s="63"/>
    </row>
    <row r="545">
      <c r="J545" s="63"/>
    </row>
    <row r="546">
      <c r="J546" s="63"/>
    </row>
    <row r="547">
      <c r="J547" s="63"/>
    </row>
    <row r="548">
      <c r="J548" s="63"/>
    </row>
    <row r="549">
      <c r="J549" s="63"/>
    </row>
    <row r="550">
      <c r="J550" s="63"/>
    </row>
    <row r="551">
      <c r="J551" s="63"/>
    </row>
    <row r="552">
      <c r="J552" s="63"/>
    </row>
    <row r="553">
      <c r="J553" s="63"/>
    </row>
    <row r="554">
      <c r="J554" s="63"/>
    </row>
    <row r="555">
      <c r="J555" s="63"/>
    </row>
    <row r="556">
      <c r="J556" s="63"/>
    </row>
    <row r="557">
      <c r="J557" s="63"/>
    </row>
    <row r="558">
      <c r="J558" s="63"/>
    </row>
    <row r="559">
      <c r="J559" s="63"/>
    </row>
    <row r="560">
      <c r="J560" s="63"/>
    </row>
    <row r="561">
      <c r="J561" s="63"/>
    </row>
    <row r="562">
      <c r="J562" s="63"/>
    </row>
    <row r="563">
      <c r="J563" s="63"/>
    </row>
    <row r="564">
      <c r="J564" s="63"/>
    </row>
    <row r="565">
      <c r="J565" s="63"/>
    </row>
    <row r="566">
      <c r="J566" s="63"/>
    </row>
    <row r="567">
      <c r="J567" s="63"/>
    </row>
    <row r="568">
      <c r="J568" s="63"/>
    </row>
    <row r="569">
      <c r="J569" s="63"/>
    </row>
    <row r="570">
      <c r="J570" s="63"/>
    </row>
    <row r="571">
      <c r="J571" s="63"/>
    </row>
    <row r="572">
      <c r="J572" s="63"/>
    </row>
    <row r="573">
      <c r="J573" s="63"/>
    </row>
    <row r="574">
      <c r="J574" s="63"/>
    </row>
    <row r="575">
      <c r="J575" s="63"/>
    </row>
    <row r="576">
      <c r="J576" s="63"/>
    </row>
    <row r="577">
      <c r="J577" s="63"/>
    </row>
    <row r="578">
      <c r="J578" s="63"/>
    </row>
    <row r="579">
      <c r="J579" s="63"/>
    </row>
    <row r="580">
      <c r="J580" s="63"/>
    </row>
    <row r="581">
      <c r="J581" s="63"/>
    </row>
    <row r="582">
      <c r="J582" s="63"/>
    </row>
    <row r="583">
      <c r="J583" s="63"/>
    </row>
    <row r="584">
      <c r="J584" s="63"/>
    </row>
    <row r="585">
      <c r="J585" s="63"/>
    </row>
    <row r="586">
      <c r="J586" s="63"/>
    </row>
    <row r="587">
      <c r="J587" s="63"/>
    </row>
    <row r="588">
      <c r="J588" s="63"/>
    </row>
    <row r="589">
      <c r="J589" s="63"/>
    </row>
    <row r="590">
      <c r="J590" s="63"/>
    </row>
    <row r="591">
      <c r="J591" s="63"/>
    </row>
    <row r="592">
      <c r="J592" s="63"/>
    </row>
    <row r="593">
      <c r="J593" s="63"/>
    </row>
    <row r="594">
      <c r="J594" s="63"/>
    </row>
    <row r="595">
      <c r="J595" s="63"/>
    </row>
    <row r="596">
      <c r="J596" s="63"/>
    </row>
    <row r="597">
      <c r="J597" s="63"/>
    </row>
    <row r="598">
      <c r="J598" s="63"/>
    </row>
    <row r="599">
      <c r="J599" s="63"/>
    </row>
    <row r="600">
      <c r="J600" s="63"/>
    </row>
    <row r="601">
      <c r="J601" s="63"/>
    </row>
    <row r="602">
      <c r="J602" s="63"/>
    </row>
    <row r="603">
      <c r="J603" s="63"/>
    </row>
    <row r="604">
      <c r="J604" s="63"/>
    </row>
    <row r="605">
      <c r="J605" s="63"/>
    </row>
    <row r="606">
      <c r="J606" s="63"/>
    </row>
    <row r="607">
      <c r="J607" s="63"/>
    </row>
    <row r="608">
      <c r="J608" s="63"/>
    </row>
    <row r="609">
      <c r="J609" s="63"/>
    </row>
    <row r="610">
      <c r="J610" s="63"/>
    </row>
    <row r="611">
      <c r="J611" s="63"/>
    </row>
    <row r="612">
      <c r="J612" s="63"/>
    </row>
    <row r="613">
      <c r="J613" s="63"/>
    </row>
    <row r="614">
      <c r="J614" s="63"/>
    </row>
    <row r="615">
      <c r="J615" s="63"/>
    </row>
    <row r="616">
      <c r="J616" s="63"/>
    </row>
    <row r="617">
      <c r="J617" s="63"/>
    </row>
    <row r="618">
      <c r="J618" s="63"/>
    </row>
    <row r="619">
      <c r="J619" s="63"/>
    </row>
    <row r="620">
      <c r="J620" s="63"/>
    </row>
    <row r="621">
      <c r="J621" s="63"/>
    </row>
    <row r="622">
      <c r="J622" s="63"/>
    </row>
    <row r="623">
      <c r="J623" s="63"/>
    </row>
    <row r="624">
      <c r="J624" s="63"/>
    </row>
    <row r="625">
      <c r="J625" s="63"/>
    </row>
    <row r="626">
      <c r="J626" s="63"/>
    </row>
    <row r="627">
      <c r="J627" s="63"/>
    </row>
    <row r="628">
      <c r="J628" s="63"/>
    </row>
    <row r="629">
      <c r="J629" s="63"/>
    </row>
    <row r="630">
      <c r="J630" s="63"/>
    </row>
    <row r="631">
      <c r="J631" s="63"/>
    </row>
    <row r="632">
      <c r="J632" s="63"/>
    </row>
    <row r="633">
      <c r="J633" s="63"/>
    </row>
    <row r="634">
      <c r="J634" s="63"/>
    </row>
    <row r="635">
      <c r="J635" s="63"/>
    </row>
    <row r="636">
      <c r="J636" s="63"/>
    </row>
    <row r="637">
      <c r="J637" s="63"/>
    </row>
    <row r="638">
      <c r="J638" s="63"/>
    </row>
    <row r="639">
      <c r="J639" s="63"/>
    </row>
    <row r="640">
      <c r="J640" s="63"/>
    </row>
    <row r="641">
      <c r="J641" s="63"/>
    </row>
    <row r="642">
      <c r="J642" s="63"/>
    </row>
    <row r="643">
      <c r="J643" s="63"/>
    </row>
    <row r="644">
      <c r="J644" s="63"/>
    </row>
    <row r="645">
      <c r="J645" s="63"/>
    </row>
    <row r="646">
      <c r="J646" s="63"/>
    </row>
    <row r="647">
      <c r="J647" s="63"/>
    </row>
    <row r="648">
      <c r="J648" s="63"/>
    </row>
    <row r="649">
      <c r="J649" s="63"/>
    </row>
    <row r="650">
      <c r="J650" s="63"/>
    </row>
    <row r="651">
      <c r="J651" s="63"/>
    </row>
    <row r="652">
      <c r="J652" s="63"/>
    </row>
    <row r="653">
      <c r="J653" s="63"/>
    </row>
    <row r="654">
      <c r="J654" s="63"/>
    </row>
    <row r="655">
      <c r="J655" s="63"/>
    </row>
    <row r="656">
      <c r="J656" s="63"/>
    </row>
    <row r="657">
      <c r="J657" s="63"/>
    </row>
    <row r="658">
      <c r="J658" s="63"/>
    </row>
    <row r="659">
      <c r="J659" s="63"/>
    </row>
    <row r="660">
      <c r="J660" s="63"/>
    </row>
    <row r="661">
      <c r="J661" s="63"/>
    </row>
    <row r="662">
      <c r="J662" s="63"/>
    </row>
    <row r="663">
      <c r="J663" s="63"/>
    </row>
    <row r="664">
      <c r="J664" s="63"/>
    </row>
    <row r="665">
      <c r="J665" s="63"/>
    </row>
    <row r="666">
      <c r="J666" s="63"/>
    </row>
    <row r="667">
      <c r="J667" s="63"/>
    </row>
    <row r="668">
      <c r="J668" s="63"/>
    </row>
    <row r="669">
      <c r="J669" s="63"/>
    </row>
    <row r="670">
      <c r="J670" s="63"/>
    </row>
    <row r="671">
      <c r="J671" s="63"/>
    </row>
    <row r="672">
      <c r="J672" s="63"/>
    </row>
    <row r="673">
      <c r="J673" s="63"/>
    </row>
    <row r="674">
      <c r="J674" s="63"/>
    </row>
    <row r="675">
      <c r="J675" s="63"/>
    </row>
    <row r="676">
      <c r="J676" s="63"/>
    </row>
    <row r="677">
      <c r="J677" s="63"/>
    </row>
    <row r="678">
      <c r="J678" s="63"/>
    </row>
    <row r="679">
      <c r="J679" s="63"/>
    </row>
    <row r="680">
      <c r="J680" s="63"/>
    </row>
    <row r="681">
      <c r="J681" s="63"/>
    </row>
    <row r="682">
      <c r="J682" s="63"/>
    </row>
    <row r="683">
      <c r="J683" s="63"/>
    </row>
    <row r="684">
      <c r="J684" s="63"/>
    </row>
    <row r="685">
      <c r="J685" s="63"/>
    </row>
    <row r="686">
      <c r="J686" s="63"/>
    </row>
    <row r="687">
      <c r="J687" s="63"/>
    </row>
    <row r="688">
      <c r="J688" s="63"/>
    </row>
    <row r="689">
      <c r="J689" s="63"/>
    </row>
    <row r="690">
      <c r="J690" s="63"/>
    </row>
    <row r="691">
      <c r="J691" s="63"/>
    </row>
    <row r="692">
      <c r="J692" s="63"/>
    </row>
    <row r="693">
      <c r="J693" s="63"/>
    </row>
    <row r="694">
      <c r="J694" s="63"/>
    </row>
    <row r="695">
      <c r="J695" s="63"/>
    </row>
    <row r="696">
      <c r="J696" s="63"/>
    </row>
    <row r="697">
      <c r="J697" s="63"/>
    </row>
    <row r="698">
      <c r="J698" s="63"/>
    </row>
    <row r="699">
      <c r="J699" s="63"/>
    </row>
    <row r="700">
      <c r="J700" s="63"/>
    </row>
    <row r="701">
      <c r="J701" s="63"/>
    </row>
    <row r="702">
      <c r="J702" s="63"/>
    </row>
    <row r="703">
      <c r="J703" s="63"/>
    </row>
    <row r="704">
      <c r="J704" s="63"/>
    </row>
    <row r="705">
      <c r="J705" s="63"/>
    </row>
    <row r="706">
      <c r="J706" s="63"/>
    </row>
    <row r="707">
      <c r="J707" s="63"/>
    </row>
    <row r="708">
      <c r="J708" s="63"/>
    </row>
    <row r="709">
      <c r="J709" s="63"/>
    </row>
    <row r="710">
      <c r="J710" s="63"/>
    </row>
    <row r="711">
      <c r="J711" s="63"/>
    </row>
    <row r="712">
      <c r="J712" s="63"/>
    </row>
    <row r="713">
      <c r="J713" s="63"/>
    </row>
    <row r="714">
      <c r="J714" s="63"/>
    </row>
    <row r="715">
      <c r="J715" s="63"/>
    </row>
    <row r="716">
      <c r="J716" s="63"/>
    </row>
    <row r="717">
      <c r="J717" s="63"/>
    </row>
    <row r="718">
      <c r="J718" s="63"/>
    </row>
    <row r="719">
      <c r="J719" s="63"/>
    </row>
    <row r="720">
      <c r="J720" s="63"/>
    </row>
    <row r="721">
      <c r="J721" s="63"/>
    </row>
    <row r="722">
      <c r="J722" s="63"/>
    </row>
    <row r="723">
      <c r="J723" s="63"/>
    </row>
    <row r="724">
      <c r="J724" s="63"/>
    </row>
    <row r="725">
      <c r="J725" s="63"/>
    </row>
    <row r="726">
      <c r="J726" s="63"/>
    </row>
    <row r="727">
      <c r="J727" s="63"/>
    </row>
    <row r="728">
      <c r="J728" s="63"/>
    </row>
    <row r="729">
      <c r="J729" s="63"/>
    </row>
    <row r="730">
      <c r="J730" s="63"/>
    </row>
    <row r="731">
      <c r="J731" s="63"/>
    </row>
    <row r="732">
      <c r="J732" s="63"/>
    </row>
    <row r="733">
      <c r="J733" s="63"/>
    </row>
    <row r="734">
      <c r="J734" s="63"/>
    </row>
    <row r="735">
      <c r="J735" s="63"/>
    </row>
    <row r="736">
      <c r="J736" s="63"/>
    </row>
    <row r="737">
      <c r="J737" s="63"/>
    </row>
    <row r="738">
      <c r="J738" s="63"/>
    </row>
    <row r="739">
      <c r="J739" s="63"/>
    </row>
    <row r="740">
      <c r="J740" s="63"/>
    </row>
    <row r="741">
      <c r="J741" s="63"/>
    </row>
    <row r="742">
      <c r="J742" s="63"/>
    </row>
    <row r="743">
      <c r="J743" s="63"/>
    </row>
    <row r="744">
      <c r="J744" s="63"/>
    </row>
    <row r="745">
      <c r="J745" s="63"/>
    </row>
    <row r="746">
      <c r="J746" s="63"/>
    </row>
    <row r="747">
      <c r="J747" s="63"/>
    </row>
    <row r="748">
      <c r="J748" s="63"/>
    </row>
    <row r="749">
      <c r="J749" s="63"/>
    </row>
    <row r="750">
      <c r="J750" s="63"/>
    </row>
    <row r="751">
      <c r="J751" s="63"/>
    </row>
    <row r="752">
      <c r="J752" s="63"/>
    </row>
    <row r="753">
      <c r="J753" s="63"/>
    </row>
    <row r="754">
      <c r="J754" s="63"/>
    </row>
    <row r="755">
      <c r="J755" s="63"/>
    </row>
    <row r="756">
      <c r="J756" s="63"/>
    </row>
    <row r="757">
      <c r="J757" s="63"/>
    </row>
    <row r="758">
      <c r="J758" s="63"/>
    </row>
    <row r="759">
      <c r="J759" s="63"/>
    </row>
    <row r="760">
      <c r="J760" s="63"/>
    </row>
    <row r="761">
      <c r="J761" s="63"/>
    </row>
    <row r="762">
      <c r="J762" s="63"/>
    </row>
    <row r="763">
      <c r="J763" s="63"/>
    </row>
    <row r="764">
      <c r="J764" s="63"/>
    </row>
    <row r="765">
      <c r="J765" s="63"/>
    </row>
    <row r="766">
      <c r="J766" s="63"/>
    </row>
    <row r="767">
      <c r="J767" s="63"/>
    </row>
    <row r="768">
      <c r="J768" s="63"/>
    </row>
    <row r="769">
      <c r="J769" s="63"/>
    </row>
    <row r="770">
      <c r="J770" s="63"/>
    </row>
    <row r="771">
      <c r="J771" s="63"/>
    </row>
    <row r="772">
      <c r="J772" s="63"/>
    </row>
    <row r="773">
      <c r="J773" s="63"/>
    </row>
    <row r="774">
      <c r="J774" s="63"/>
    </row>
    <row r="775">
      <c r="J775" s="63"/>
    </row>
    <row r="776">
      <c r="J776" s="63"/>
    </row>
    <row r="777">
      <c r="J777" s="63"/>
    </row>
    <row r="778">
      <c r="J778" s="63"/>
    </row>
    <row r="779">
      <c r="J779" s="63"/>
    </row>
    <row r="780">
      <c r="J780" s="63"/>
    </row>
    <row r="781">
      <c r="J781" s="63"/>
    </row>
    <row r="782">
      <c r="J782" s="63"/>
    </row>
    <row r="783">
      <c r="J783" s="63"/>
    </row>
    <row r="784">
      <c r="J784" s="63"/>
    </row>
    <row r="785">
      <c r="J785" s="63"/>
    </row>
    <row r="786">
      <c r="J786" s="63"/>
    </row>
    <row r="787">
      <c r="J787" s="63"/>
    </row>
    <row r="788">
      <c r="J788" s="63"/>
    </row>
    <row r="789">
      <c r="J789" s="63"/>
    </row>
    <row r="790">
      <c r="J790" s="63"/>
    </row>
    <row r="791">
      <c r="J791" s="63"/>
    </row>
    <row r="792">
      <c r="J792" s="63"/>
    </row>
    <row r="793">
      <c r="J793" s="63"/>
    </row>
    <row r="794">
      <c r="J794" s="63"/>
    </row>
    <row r="795">
      <c r="J795" s="63"/>
    </row>
    <row r="796">
      <c r="J796" s="63"/>
    </row>
    <row r="797">
      <c r="J797" s="63"/>
    </row>
    <row r="798">
      <c r="J798" s="63"/>
    </row>
    <row r="799">
      <c r="J799" s="63"/>
    </row>
    <row r="800">
      <c r="J800" s="63"/>
    </row>
    <row r="801">
      <c r="J801" s="63"/>
    </row>
    <row r="802">
      <c r="J802" s="63"/>
    </row>
    <row r="803">
      <c r="J803" s="63"/>
    </row>
    <row r="804">
      <c r="J804" s="63"/>
    </row>
    <row r="805">
      <c r="J805" s="63"/>
    </row>
    <row r="806">
      <c r="J806" s="63"/>
    </row>
    <row r="807">
      <c r="J807" s="63"/>
    </row>
    <row r="808">
      <c r="J808" s="63"/>
    </row>
    <row r="809">
      <c r="J809" s="63"/>
    </row>
    <row r="810">
      <c r="J810" s="63"/>
    </row>
    <row r="811">
      <c r="J811" s="63"/>
    </row>
    <row r="812">
      <c r="J812" s="63"/>
    </row>
    <row r="813">
      <c r="J813" s="63"/>
    </row>
    <row r="814">
      <c r="J814" s="63"/>
    </row>
    <row r="815">
      <c r="J815" s="63"/>
    </row>
    <row r="816">
      <c r="J816" s="63"/>
    </row>
    <row r="817">
      <c r="J817" s="63"/>
    </row>
    <row r="818">
      <c r="J818" s="63"/>
    </row>
    <row r="819">
      <c r="J819" s="63"/>
    </row>
    <row r="820">
      <c r="J820" s="63"/>
    </row>
    <row r="821">
      <c r="J821" s="63"/>
    </row>
    <row r="822">
      <c r="J822" s="63"/>
    </row>
    <row r="823">
      <c r="J823" s="63"/>
    </row>
    <row r="824">
      <c r="J824" s="63"/>
    </row>
    <row r="825">
      <c r="J825" s="63"/>
    </row>
    <row r="826">
      <c r="J826" s="63"/>
    </row>
    <row r="827">
      <c r="J827" s="63"/>
    </row>
    <row r="828">
      <c r="J828" s="63"/>
    </row>
    <row r="829">
      <c r="J829" s="63"/>
    </row>
    <row r="830">
      <c r="J830" s="63"/>
    </row>
    <row r="831">
      <c r="J831" s="63"/>
    </row>
    <row r="832">
      <c r="J832" s="63"/>
    </row>
    <row r="833">
      <c r="J833" s="63"/>
    </row>
    <row r="834">
      <c r="J834" s="63"/>
    </row>
    <row r="835">
      <c r="J835" s="63"/>
    </row>
    <row r="836">
      <c r="J836" s="63"/>
    </row>
    <row r="837">
      <c r="J837" s="63"/>
    </row>
    <row r="838">
      <c r="J838" s="63"/>
    </row>
    <row r="839">
      <c r="J839" s="63"/>
    </row>
    <row r="840">
      <c r="J840" s="63"/>
    </row>
    <row r="841">
      <c r="J841" s="63"/>
    </row>
    <row r="842">
      <c r="J842" s="63"/>
    </row>
    <row r="843">
      <c r="J843" s="63"/>
    </row>
    <row r="844">
      <c r="J844" s="63"/>
    </row>
    <row r="845">
      <c r="J845" s="63"/>
    </row>
    <row r="846">
      <c r="J846" s="63"/>
    </row>
    <row r="847">
      <c r="J847" s="63"/>
    </row>
    <row r="848">
      <c r="J848" s="63"/>
    </row>
    <row r="849">
      <c r="J849" s="63"/>
    </row>
    <row r="850">
      <c r="J850" s="63"/>
    </row>
    <row r="851">
      <c r="J851" s="63"/>
    </row>
    <row r="852">
      <c r="J852" s="63"/>
    </row>
    <row r="853">
      <c r="J853" s="63"/>
    </row>
    <row r="854">
      <c r="J854" s="63"/>
    </row>
    <row r="855">
      <c r="J855" s="63"/>
    </row>
    <row r="856">
      <c r="J856" s="63"/>
    </row>
    <row r="857">
      <c r="J857" s="63"/>
    </row>
    <row r="858">
      <c r="J858" s="63"/>
    </row>
    <row r="859">
      <c r="J859" s="63"/>
    </row>
    <row r="860">
      <c r="J860" s="63"/>
    </row>
    <row r="861">
      <c r="J861" s="63"/>
    </row>
    <row r="862">
      <c r="J862" s="63"/>
    </row>
    <row r="863">
      <c r="J863" s="63"/>
    </row>
    <row r="864">
      <c r="J864" s="63"/>
    </row>
    <row r="865">
      <c r="J865" s="63"/>
    </row>
    <row r="866">
      <c r="J866" s="63"/>
    </row>
    <row r="867">
      <c r="J867" s="63"/>
    </row>
    <row r="868">
      <c r="J868" s="63"/>
    </row>
    <row r="869">
      <c r="J869" s="63"/>
    </row>
    <row r="870">
      <c r="J870" s="63"/>
    </row>
    <row r="871">
      <c r="J871" s="63"/>
    </row>
    <row r="872">
      <c r="J872" s="63"/>
    </row>
    <row r="873">
      <c r="J873" s="63"/>
    </row>
    <row r="874">
      <c r="J874" s="63"/>
    </row>
    <row r="875">
      <c r="J875" s="63"/>
    </row>
    <row r="876">
      <c r="J876" s="63"/>
    </row>
    <row r="877">
      <c r="J877" s="63"/>
    </row>
    <row r="878">
      <c r="J878" s="63"/>
    </row>
    <row r="879">
      <c r="J879" s="63"/>
    </row>
    <row r="880">
      <c r="J880" s="63"/>
    </row>
    <row r="881">
      <c r="J881" s="63"/>
    </row>
    <row r="882">
      <c r="J882" s="63"/>
    </row>
    <row r="883">
      <c r="J883" s="63"/>
    </row>
    <row r="884">
      <c r="J884" s="63"/>
    </row>
    <row r="885">
      <c r="J885" s="63"/>
    </row>
    <row r="886">
      <c r="J886" s="63"/>
    </row>
    <row r="887">
      <c r="J887" s="63"/>
    </row>
    <row r="888">
      <c r="J888" s="63"/>
    </row>
    <row r="889">
      <c r="J889" s="63"/>
    </row>
    <row r="890">
      <c r="J890" s="63"/>
    </row>
    <row r="891">
      <c r="J891" s="63"/>
    </row>
    <row r="892">
      <c r="J892" s="63"/>
    </row>
    <row r="893">
      <c r="J893" s="63"/>
    </row>
    <row r="894">
      <c r="J894" s="63"/>
    </row>
    <row r="895">
      <c r="J895" s="63"/>
    </row>
    <row r="896">
      <c r="J896" s="63"/>
    </row>
    <row r="897">
      <c r="J897" s="63"/>
    </row>
    <row r="898">
      <c r="J898" s="63"/>
    </row>
    <row r="899">
      <c r="J899" s="63"/>
    </row>
    <row r="900">
      <c r="J900" s="63"/>
    </row>
    <row r="901">
      <c r="J901" s="63"/>
    </row>
    <row r="902">
      <c r="J902" s="63"/>
    </row>
    <row r="903">
      <c r="J903" s="63"/>
    </row>
    <row r="904">
      <c r="J904" s="63"/>
    </row>
    <row r="905">
      <c r="J905" s="63"/>
    </row>
    <row r="906">
      <c r="J906" s="63"/>
    </row>
    <row r="907">
      <c r="J907" s="63"/>
    </row>
    <row r="908">
      <c r="J908" s="63"/>
    </row>
    <row r="909">
      <c r="J909" s="63"/>
    </row>
    <row r="910">
      <c r="J910" s="63"/>
    </row>
    <row r="911">
      <c r="J911" s="63"/>
    </row>
    <row r="912">
      <c r="J912" s="63"/>
    </row>
    <row r="913">
      <c r="J913" s="63"/>
    </row>
    <row r="914">
      <c r="J914" s="63"/>
    </row>
    <row r="915">
      <c r="J915" s="63"/>
    </row>
    <row r="916">
      <c r="J916" s="63"/>
    </row>
    <row r="917">
      <c r="J917" s="63"/>
    </row>
    <row r="918">
      <c r="J918" s="63"/>
    </row>
    <row r="919">
      <c r="J919" s="63"/>
    </row>
    <row r="920">
      <c r="J920" s="63"/>
    </row>
    <row r="921">
      <c r="J921" s="63"/>
    </row>
    <row r="922">
      <c r="J922" s="63"/>
    </row>
    <row r="923">
      <c r="J923" s="63"/>
    </row>
    <row r="924">
      <c r="J924" s="63"/>
    </row>
    <row r="925">
      <c r="J925" s="63"/>
    </row>
    <row r="926">
      <c r="J926" s="63"/>
    </row>
    <row r="927">
      <c r="J927" s="63"/>
    </row>
    <row r="928">
      <c r="J928" s="63"/>
    </row>
    <row r="929">
      <c r="J929" s="63"/>
    </row>
    <row r="930">
      <c r="J930" s="63"/>
    </row>
    <row r="931">
      <c r="J931" s="63"/>
    </row>
    <row r="932">
      <c r="J932" s="63"/>
    </row>
    <row r="933">
      <c r="J933" s="63"/>
    </row>
    <row r="934">
      <c r="J934" s="63"/>
    </row>
    <row r="935">
      <c r="J935" s="63"/>
    </row>
    <row r="936">
      <c r="J936" s="63"/>
    </row>
    <row r="937">
      <c r="J937" s="63"/>
    </row>
    <row r="938">
      <c r="J938" s="63"/>
    </row>
    <row r="939">
      <c r="J939" s="63"/>
    </row>
    <row r="940">
      <c r="J940" s="63"/>
    </row>
    <row r="941">
      <c r="J941" s="63"/>
    </row>
    <row r="942">
      <c r="J942" s="63"/>
    </row>
    <row r="943">
      <c r="J943" s="63"/>
    </row>
    <row r="944">
      <c r="J944" s="63"/>
    </row>
    <row r="945">
      <c r="J945" s="63"/>
    </row>
    <row r="946">
      <c r="J946" s="63"/>
    </row>
    <row r="947">
      <c r="J947" s="63"/>
    </row>
    <row r="948">
      <c r="J948" s="63"/>
    </row>
    <row r="949">
      <c r="J949" s="63"/>
    </row>
    <row r="950">
      <c r="J950" s="63"/>
    </row>
    <row r="951">
      <c r="J951" s="63"/>
    </row>
    <row r="952">
      <c r="J952" s="63"/>
    </row>
    <row r="953">
      <c r="J953" s="63"/>
    </row>
    <row r="954">
      <c r="J954" s="63"/>
    </row>
    <row r="955">
      <c r="J955" s="63"/>
    </row>
    <row r="956">
      <c r="J956" s="63"/>
    </row>
    <row r="957">
      <c r="J957" s="63"/>
    </row>
    <row r="958">
      <c r="J958" s="63"/>
    </row>
    <row r="959">
      <c r="J959" s="63"/>
    </row>
    <row r="960">
      <c r="J960" s="63"/>
    </row>
    <row r="961">
      <c r="J961" s="63"/>
    </row>
    <row r="962">
      <c r="J962" s="63"/>
    </row>
    <row r="963">
      <c r="J963" s="63"/>
    </row>
    <row r="964">
      <c r="J964" s="63"/>
    </row>
    <row r="965">
      <c r="J965" s="63"/>
    </row>
    <row r="966">
      <c r="J966" s="63"/>
    </row>
    <row r="967">
      <c r="J967" s="63"/>
    </row>
    <row r="968">
      <c r="J968" s="63"/>
    </row>
    <row r="969">
      <c r="J969" s="63"/>
    </row>
    <row r="970">
      <c r="J970" s="63"/>
    </row>
    <row r="971">
      <c r="J971" s="63"/>
    </row>
    <row r="972">
      <c r="J972" s="63"/>
    </row>
    <row r="973">
      <c r="J973" s="63"/>
    </row>
    <row r="974">
      <c r="J974" s="63"/>
    </row>
    <row r="975">
      <c r="J975" s="63"/>
    </row>
    <row r="976">
      <c r="J976" s="63"/>
    </row>
    <row r="977">
      <c r="J977" s="63"/>
    </row>
    <row r="978">
      <c r="J978" s="63"/>
    </row>
    <row r="979">
      <c r="J979" s="63"/>
    </row>
    <row r="980">
      <c r="J980" s="63"/>
    </row>
    <row r="981">
      <c r="J981" s="63"/>
    </row>
    <row r="982">
      <c r="J982" s="63"/>
    </row>
    <row r="983">
      <c r="J983" s="63"/>
    </row>
    <row r="984">
      <c r="J984" s="63"/>
    </row>
    <row r="985">
      <c r="J985" s="63"/>
    </row>
    <row r="986">
      <c r="J986" s="63"/>
    </row>
    <row r="987">
      <c r="J987" s="63"/>
    </row>
    <row r="988">
      <c r="J988" s="63"/>
    </row>
    <row r="989">
      <c r="J989" s="63"/>
    </row>
    <row r="990">
      <c r="J990" s="63"/>
    </row>
    <row r="991">
      <c r="J991" s="63"/>
    </row>
    <row r="992">
      <c r="J992" s="63"/>
    </row>
    <row r="993">
      <c r="J993" s="63"/>
    </row>
    <row r="994">
      <c r="J994" s="63"/>
    </row>
    <row r="995">
      <c r="J995" s="63"/>
    </row>
    <row r="996">
      <c r="J996" s="63"/>
    </row>
    <row r="997">
      <c r="J997" s="63"/>
    </row>
    <row r="998">
      <c r="J998" s="63"/>
    </row>
    <row r="999">
      <c r="J999" s="63"/>
    </row>
    <row r="1000">
      <c r="J1000" s="63"/>
    </row>
    <row r="1001">
      <c r="J1001" s="63"/>
    </row>
    <row r="1002">
      <c r="J1002" s="63"/>
    </row>
    <row r="1003">
      <c r="J1003" s="63"/>
    </row>
    <row r="1004">
      <c r="J1004" s="63"/>
    </row>
    <row r="1005">
      <c r="J1005" s="63"/>
    </row>
    <row r="1006">
      <c r="J1006" s="63"/>
    </row>
    <row r="1007">
      <c r="J1007" s="63"/>
    </row>
    <row r="1008">
      <c r="J1008" s="63"/>
    </row>
    <row r="1009">
      <c r="J1009" s="63"/>
    </row>
    <row r="1010">
      <c r="J1010" s="63"/>
    </row>
    <row r="1011">
      <c r="J1011" s="63"/>
    </row>
    <row r="1012">
      <c r="J1012" s="63"/>
    </row>
    <row r="1013">
      <c r="J1013" s="63"/>
    </row>
    <row r="1014">
      <c r="J1014" s="63"/>
    </row>
    <row r="1015">
      <c r="J1015" s="63"/>
    </row>
    <row r="1016">
      <c r="J1016" s="63"/>
    </row>
    <row r="1017">
      <c r="J1017" s="63"/>
    </row>
    <row r="1018">
      <c r="J1018" s="63"/>
    </row>
    <row r="1019">
      <c r="J1019" s="63"/>
    </row>
    <row r="1020">
      <c r="J1020" s="63"/>
    </row>
    <row r="1021">
      <c r="J1021" s="63"/>
    </row>
    <row r="1022">
      <c r="J1022" s="63"/>
    </row>
    <row r="1023">
      <c r="J1023" s="63"/>
    </row>
    <row r="1024">
      <c r="J1024" s="63"/>
    </row>
    <row r="1025">
      <c r="J1025" s="63"/>
    </row>
    <row r="1026">
      <c r="J1026" s="63"/>
    </row>
    <row r="1027">
      <c r="J1027" s="63"/>
    </row>
    <row r="1028">
      <c r="J1028" s="63"/>
    </row>
    <row r="1029">
      <c r="J1029" s="63"/>
    </row>
    <row r="1030">
      <c r="J1030" s="63"/>
    </row>
    <row r="1031">
      <c r="J1031" s="63"/>
    </row>
    <row r="1032">
      <c r="J1032" s="63"/>
    </row>
    <row r="1033">
      <c r="J1033" s="63"/>
    </row>
    <row r="1034">
      <c r="J1034" s="63"/>
    </row>
    <row r="1035">
      <c r="J1035" s="63"/>
    </row>
    <row r="1036">
      <c r="J1036" s="63"/>
    </row>
    <row r="1037">
      <c r="J1037" s="63"/>
    </row>
    <row r="1038">
      <c r="J1038" s="63"/>
    </row>
    <row r="1039">
      <c r="J1039" s="63"/>
    </row>
    <row r="1040">
      <c r="J1040" s="63"/>
    </row>
    <row r="1041">
      <c r="J1041" s="63"/>
    </row>
    <row r="1042">
      <c r="J1042" s="63"/>
    </row>
    <row r="1043">
      <c r="J1043" s="63"/>
    </row>
    <row r="1044">
      <c r="J1044" s="63"/>
    </row>
    <row r="1045">
      <c r="J1045" s="63"/>
    </row>
    <row r="1046">
      <c r="J1046" s="63"/>
    </row>
    <row r="1047">
      <c r="J1047" s="63"/>
    </row>
    <row r="1048">
      <c r="J1048" s="63"/>
    </row>
    <row r="1049">
      <c r="J1049" s="63"/>
    </row>
    <row r="1050">
      <c r="J1050" s="63"/>
    </row>
    <row r="1051">
      <c r="J1051" s="63"/>
    </row>
    <row r="1052">
      <c r="J1052" s="63"/>
    </row>
    <row r="1053">
      <c r="J1053" s="63"/>
    </row>
    <row r="1054">
      <c r="J1054" s="63"/>
    </row>
    <row r="1055">
      <c r="J1055" s="63"/>
    </row>
    <row r="1056">
      <c r="J1056" s="63"/>
    </row>
    <row r="1057">
      <c r="J1057" s="63"/>
    </row>
    <row r="1058">
      <c r="J1058" s="63"/>
    </row>
    <row r="1059">
      <c r="J1059" s="63"/>
    </row>
    <row r="1060">
      <c r="J1060" s="63"/>
    </row>
    <row r="1061">
      <c r="J1061" s="63"/>
    </row>
    <row r="1062">
      <c r="J1062" s="63"/>
    </row>
    <row r="1063">
      <c r="J1063" s="63"/>
    </row>
    <row r="1064">
      <c r="J1064" s="63"/>
    </row>
    <row r="1065">
      <c r="J1065" s="63"/>
    </row>
    <row r="1066">
      <c r="J1066" s="63"/>
    </row>
    <row r="1067">
      <c r="J1067" s="63"/>
    </row>
    <row r="1068">
      <c r="J1068" s="63"/>
    </row>
    <row r="1069">
      <c r="J1069" s="63"/>
    </row>
    <row r="1070">
      <c r="J1070" s="63"/>
    </row>
    <row r="1071">
      <c r="J1071" s="63"/>
    </row>
    <row r="1072">
      <c r="J1072" s="63"/>
    </row>
    <row r="1073">
      <c r="J1073" s="63"/>
    </row>
    <row r="1074">
      <c r="J1074" s="63"/>
    </row>
    <row r="1075">
      <c r="J1075" s="63"/>
    </row>
    <row r="1076">
      <c r="J1076" s="63"/>
    </row>
    <row r="1077">
      <c r="J1077" s="63"/>
    </row>
    <row r="1078">
      <c r="J1078" s="63"/>
    </row>
    <row r="1079">
      <c r="J1079" s="63"/>
    </row>
    <row r="1080">
      <c r="J1080" s="63"/>
    </row>
    <row r="1081">
      <c r="J1081" s="63"/>
    </row>
    <row r="1082">
      <c r="J1082" s="63"/>
    </row>
    <row r="1083">
      <c r="J1083" s="63"/>
    </row>
    <row r="1084">
      <c r="J1084" s="63"/>
    </row>
    <row r="1085">
      <c r="J1085" s="63"/>
    </row>
    <row r="1086">
      <c r="J1086" s="63"/>
    </row>
    <row r="1087">
      <c r="J1087" s="63"/>
    </row>
    <row r="1088">
      <c r="J1088" s="63"/>
    </row>
    <row r="1089">
      <c r="J1089" s="63"/>
    </row>
    <row r="1090">
      <c r="J1090" s="63"/>
    </row>
    <row r="1091">
      <c r="J1091" s="63"/>
    </row>
    <row r="1092">
      <c r="J1092" s="63"/>
    </row>
    <row r="1093">
      <c r="J1093" s="63"/>
    </row>
    <row r="1094">
      <c r="J1094" s="63"/>
    </row>
    <row r="1095">
      <c r="J1095" s="63"/>
    </row>
    <row r="1096">
      <c r="J1096" s="63"/>
    </row>
    <row r="1097">
      <c r="J1097" s="63"/>
    </row>
    <row r="1098">
      <c r="J1098" s="63"/>
    </row>
    <row r="1099">
      <c r="J1099" s="63"/>
    </row>
    <row r="1100">
      <c r="J1100" s="63"/>
    </row>
    <row r="1101">
      <c r="J1101" s="63"/>
    </row>
    <row r="1102">
      <c r="J1102" s="63"/>
    </row>
    <row r="1103">
      <c r="J1103" s="63"/>
    </row>
    <row r="1104">
      <c r="J1104" s="63"/>
    </row>
    <row r="1105">
      <c r="J1105" s="63"/>
    </row>
    <row r="1106">
      <c r="J1106" s="63"/>
    </row>
    <row r="1107">
      <c r="J1107" s="63"/>
    </row>
    <row r="1108">
      <c r="J1108" s="63"/>
    </row>
    <row r="1109">
      <c r="J1109" s="63"/>
    </row>
    <row r="1110">
      <c r="J1110" s="63"/>
    </row>
    <row r="1111">
      <c r="J1111" s="63"/>
    </row>
    <row r="1112">
      <c r="J1112" s="63"/>
    </row>
    <row r="1113">
      <c r="J1113" s="63"/>
    </row>
    <row r="1114">
      <c r="J1114" s="63"/>
    </row>
    <row r="1115">
      <c r="J1115" s="63"/>
    </row>
    <row r="1116">
      <c r="J1116" s="63"/>
    </row>
    <row r="1117">
      <c r="J1117" s="63"/>
    </row>
    <row r="1118">
      <c r="J1118" s="63"/>
    </row>
    <row r="1119">
      <c r="J1119" s="63"/>
    </row>
    <row r="1120">
      <c r="J1120" s="63"/>
    </row>
    <row r="1121">
      <c r="J1121" s="63"/>
    </row>
    <row r="1122">
      <c r="J1122" s="63"/>
    </row>
    <row r="1123">
      <c r="J1123" s="63"/>
    </row>
    <row r="1124">
      <c r="J1124" s="63"/>
    </row>
    <row r="1125">
      <c r="J1125" s="63"/>
    </row>
    <row r="1126">
      <c r="J1126" s="63"/>
    </row>
    <row r="1127">
      <c r="J1127" s="63"/>
    </row>
    <row r="1128">
      <c r="J1128" s="63"/>
    </row>
    <row r="1129">
      <c r="J1129" s="63"/>
    </row>
    <row r="1130">
      <c r="J1130" s="63"/>
    </row>
    <row r="1131">
      <c r="J1131" s="63"/>
    </row>
    <row r="1132">
      <c r="J1132" s="63"/>
    </row>
    <row r="1133">
      <c r="J1133" s="63"/>
    </row>
    <row r="1134">
      <c r="J1134" s="63"/>
    </row>
    <row r="1135">
      <c r="J1135" s="63"/>
    </row>
    <row r="1136">
      <c r="J1136" s="63"/>
    </row>
    <row r="1137">
      <c r="J1137" s="63"/>
    </row>
    <row r="1138">
      <c r="J1138" s="63"/>
    </row>
    <row r="1139">
      <c r="J1139" s="63"/>
    </row>
    <row r="1140">
      <c r="J1140" s="63"/>
    </row>
    <row r="1141">
      <c r="J1141" s="63"/>
    </row>
  </sheetData>
  <drawing r:id="rId1"/>
</worksheet>
</file>