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ev\Desk_2_R1.023\docs\inspecciones\Grimm\"/>
    </mc:Choice>
  </mc:AlternateContent>
  <xr:revisionPtr revIDLastSave="0" documentId="13_ncr:1_{E83B7AD6-373B-4D7A-804B-1A0817310C24}" xr6:coauthVersionLast="47" xr6:coauthVersionMax="47" xr10:uidLastSave="{00000000-0000-0000-0000-000000000000}"/>
  <bookViews>
    <workbookView xWindow="-120" yWindow="-120" windowWidth="29040" windowHeight="15720" tabRatio="500" activeTab="5" xr2:uid="{00000000-000D-0000-FFFF-FFFF00000000}"/>
  </bookViews>
  <sheets>
    <sheet name="Instrucciones" sheetId="1" r:id="rId1"/>
    <sheet name="Listas" sheetId="2" r:id="rId2"/>
    <sheet name="Inspección" sheetId="3" r:id="rId3"/>
    <sheet name="Resumen" sheetId="4" r:id="rId4"/>
    <sheet name="Flujo No OK" sheetId="5" r:id="rId5"/>
    <sheet name="Flujo No OK 2" sheetId="6" r:id="rId6"/>
  </sheets>
  <definedNames>
    <definedName name="_xlnm._FilterDatabase" localSheetId="5" hidden="1">'Flujo No OK 2'!$A$5:$K$89</definedName>
    <definedName name="_xlnm._FilterDatabase" localSheetId="2" hidden="1">Inspección!$A$8:$X$111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89" i="6" l="1"/>
  <c r="K89" i="6" s="1"/>
  <c r="J88" i="6"/>
  <c r="K88" i="6" s="1"/>
  <c r="J87" i="6"/>
  <c r="K87" i="6" s="1"/>
  <c r="J86" i="6"/>
  <c r="K86" i="6" s="1"/>
  <c r="J85" i="6"/>
  <c r="K85" i="6" s="1"/>
  <c r="J84" i="6"/>
  <c r="K84" i="6" s="1"/>
  <c r="J83" i="6"/>
  <c r="K83" i="6" s="1"/>
  <c r="K82" i="6"/>
  <c r="J82" i="6"/>
  <c r="J81" i="6"/>
  <c r="K81" i="6" s="1"/>
  <c r="J80" i="6"/>
  <c r="K80" i="6" s="1"/>
  <c r="J79" i="6"/>
  <c r="K79" i="6" s="1"/>
  <c r="J78" i="6"/>
  <c r="K78" i="6" s="1"/>
  <c r="J77" i="6"/>
  <c r="K77" i="6" s="1"/>
  <c r="J76" i="6"/>
  <c r="K76" i="6" s="1"/>
  <c r="J75" i="6"/>
  <c r="K75" i="6" s="1"/>
  <c r="K74" i="6"/>
  <c r="J74" i="6"/>
  <c r="J73" i="6"/>
  <c r="K73" i="6" s="1"/>
  <c r="J72" i="6"/>
  <c r="K72" i="6" s="1"/>
  <c r="J71" i="6"/>
  <c r="K71" i="6" s="1"/>
  <c r="J70" i="6"/>
  <c r="K70" i="6" s="1"/>
  <c r="J69" i="6"/>
  <c r="K69" i="6" s="1"/>
  <c r="J68" i="6"/>
  <c r="K68" i="6" s="1"/>
  <c r="J67" i="6"/>
  <c r="K67" i="6" s="1"/>
  <c r="K66" i="6"/>
  <c r="J66" i="6"/>
  <c r="J65" i="6"/>
  <c r="K65" i="6" s="1"/>
  <c r="J64" i="6"/>
  <c r="K64" i="6" s="1"/>
  <c r="J63" i="6"/>
  <c r="K63" i="6" s="1"/>
  <c r="J62" i="6"/>
  <c r="K62" i="6" s="1"/>
  <c r="J61" i="6"/>
  <c r="K61" i="6" s="1"/>
  <c r="J60" i="6"/>
  <c r="K60" i="6" s="1"/>
  <c r="J59" i="6"/>
  <c r="K59" i="6" s="1"/>
  <c r="K58" i="6"/>
  <c r="J58" i="6"/>
  <c r="J57" i="6"/>
  <c r="K57" i="6" s="1"/>
  <c r="J56" i="6"/>
  <c r="K56" i="6" s="1"/>
  <c r="J55" i="6"/>
  <c r="K55" i="6" s="1"/>
  <c r="J54" i="6"/>
  <c r="K54" i="6" s="1"/>
  <c r="J53" i="6"/>
  <c r="K53" i="6" s="1"/>
  <c r="J52" i="6"/>
  <c r="K52" i="6" s="1"/>
  <c r="J51" i="6"/>
  <c r="K51" i="6" s="1"/>
  <c r="K50" i="6"/>
  <c r="J50" i="6"/>
  <c r="J49" i="6"/>
  <c r="K49" i="6" s="1"/>
  <c r="J48" i="6"/>
  <c r="K48" i="6" s="1"/>
  <c r="J47" i="6"/>
  <c r="K47" i="6" s="1"/>
  <c r="J46" i="6"/>
  <c r="K46" i="6" s="1"/>
  <c r="J45" i="6"/>
  <c r="K45" i="6" s="1"/>
  <c r="J44" i="6"/>
  <c r="K44" i="6" s="1"/>
  <c r="J43" i="6"/>
  <c r="K43" i="6" s="1"/>
  <c r="K42" i="6"/>
  <c r="J42" i="6"/>
  <c r="J41" i="6"/>
  <c r="K41" i="6" s="1"/>
  <c r="J40" i="6"/>
  <c r="K40" i="6" s="1"/>
  <c r="J39" i="6"/>
  <c r="K39" i="6" s="1"/>
  <c r="J38" i="6"/>
  <c r="K38" i="6" s="1"/>
  <c r="J37" i="6"/>
  <c r="K37" i="6" s="1"/>
  <c r="J36" i="6"/>
  <c r="K36" i="6" s="1"/>
  <c r="J35" i="6"/>
  <c r="K35" i="6" s="1"/>
  <c r="K34" i="6"/>
  <c r="J34" i="6"/>
  <c r="J33" i="6"/>
  <c r="K33" i="6" s="1"/>
  <c r="J32" i="6"/>
  <c r="K32" i="6" s="1"/>
  <c r="J31" i="6"/>
  <c r="K31" i="6" s="1"/>
  <c r="J30" i="6"/>
  <c r="K30" i="6" s="1"/>
  <c r="J29" i="6"/>
  <c r="K29" i="6" s="1"/>
  <c r="J28" i="6"/>
  <c r="K28" i="6" s="1"/>
  <c r="J27" i="6"/>
  <c r="K27" i="6" s="1"/>
  <c r="K26" i="6"/>
  <c r="J26" i="6"/>
  <c r="J25" i="6"/>
  <c r="K25" i="6" s="1"/>
  <c r="J24" i="6"/>
  <c r="K24" i="6" s="1"/>
  <c r="J23" i="6"/>
  <c r="K23" i="6" s="1"/>
  <c r="J22" i="6"/>
  <c r="K22" i="6" s="1"/>
  <c r="J21" i="6"/>
  <c r="K21" i="6" s="1"/>
  <c r="J20" i="6"/>
  <c r="K20" i="6" s="1"/>
  <c r="J19" i="6"/>
  <c r="K19" i="6" s="1"/>
  <c r="K18" i="6"/>
  <c r="J18" i="6"/>
  <c r="J17" i="6"/>
  <c r="K17" i="6" s="1"/>
  <c r="J16" i="6"/>
  <c r="K16" i="6" s="1"/>
  <c r="J15" i="6"/>
  <c r="K15" i="6" s="1"/>
  <c r="J14" i="6"/>
  <c r="K14" i="6" s="1"/>
  <c r="J13" i="6"/>
  <c r="K13" i="6" s="1"/>
  <c r="J12" i="6"/>
  <c r="K12" i="6" s="1"/>
  <c r="J11" i="6"/>
  <c r="K11" i="6" s="1"/>
  <c r="K10" i="6"/>
  <c r="J10" i="6"/>
  <c r="J9" i="6"/>
  <c r="K9" i="6" s="1"/>
  <c r="J8" i="6"/>
  <c r="K8" i="6" s="1"/>
  <c r="J7" i="6"/>
  <c r="K7" i="6" s="1"/>
  <c r="J6" i="6"/>
  <c r="K6" i="6" s="1"/>
  <c r="C25" i="4"/>
  <c r="B25" i="4"/>
  <c r="C24" i="4"/>
  <c r="B24" i="4"/>
  <c r="B26" i="4" s="1"/>
  <c r="C23" i="4"/>
  <c r="C26" i="4" s="1"/>
  <c r="B23" i="4"/>
  <c r="G12" i="4"/>
  <c r="F12" i="4"/>
  <c r="E12" i="4"/>
  <c r="D12" i="4"/>
  <c r="C12" i="4"/>
  <c r="H12" i="4" s="1"/>
  <c r="B12" i="4"/>
  <c r="I11" i="4"/>
  <c r="G11" i="4"/>
  <c r="F11" i="4"/>
  <c r="H11" i="4" s="1"/>
  <c r="E11" i="4"/>
  <c r="D11" i="4"/>
  <c r="C11" i="4"/>
  <c r="B11" i="4"/>
  <c r="G10" i="4"/>
  <c r="F10" i="4"/>
  <c r="E10" i="4"/>
  <c r="D10" i="4"/>
  <c r="C10" i="4"/>
  <c r="H10" i="4" s="1"/>
  <c r="B10" i="4"/>
  <c r="G9" i="4"/>
  <c r="F9" i="4"/>
  <c r="E9" i="4"/>
  <c r="D9" i="4"/>
  <c r="C9" i="4"/>
  <c r="B9" i="4"/>
  <c r="H9" i="4" s="1"/>
  <c r="G8" i="4"/>
  <c r="F8" i="4"/>
  <c r="E8" i="4"/>
  <c r="D8" i="4"/>
  <c r="C8" i="4"/>
  <c r="H8" i="4" s="1"/>
  <c r="B8" i="4"/>
  <c r="G7" i="4"/>
  <c r="F7" i="4"/>
  <c r="E7" i="4"/>
  <c r="D7" i="4"/>
  <c r="C7" i="4"/>
  <c r="H7" i="4" s="1"/>
  <c r="B7" i="4"/>
  <c r="G6" i="4"/>
  <c r="F6" i="4"/>
  <c r="E6" i="4"/>
  <c r="D6" i="4"/>
  <c r="C6" i="4"/>
  <c r="H6" i="4" s="1"/>
  <c r="B6" i="4"/>
  <c r="G5" i="4"/>
  <c r="G13" i="4" s="1"/>
  <c r="F5" i="4"/>
  <c r="F13" i="4" s="1"/>
  <c r="E5" i="4"/>
  <c r="E13" i="4" s="1"/>
  <c r="D5" i="4"/>
  <c r="D13" i="4" s="1"/>
  <c r="C5" i="4"/>
  <c r="H5" i="4" s="1"/>
  <c r="B5" i="4"/>
  <c r="B13" i="4" s="1"/>
  <c r="V111" i="3"/>
  <c r="V110" i="3"/>
  <c r="V109" i="3"/>
  <c r="V108" i="3"/>
  <c r="V107" i="3"/>
  <c r="V106" i="3"/>
  <c r="V105" i="3"/>
  <c r="V104" i="3"/>
  <c r="V103" i="3"/>
  <c r="V102" i="3"/>
  <c r="V101" i="3"/>
  <c r="I12" i="4" s="1"/>
  <c r="V100" i="3"/>
  <c r="V99" i="3"/>
  <c r="V98" i="3"/>
  <c r="V97" i="3"/>
  <c r="V96" i="3"/>
  <c r="V95" i="3"/>
  <c r="V94" i="3"/>
  <c r="V93" i="3"/>
  <c r="V92" i="3"/>
  <c r="V91" i="3"/>
  <c r="V90" i="3"/>
  <c r="V89" i="3"/>
  <c r="V88" i="3"/>
  <c r="V87" i="3"/>
  <c r="I10" i="4" s="1"/>
  <c r="V86" i="3"/>
  <c r="V85" i="3"/>
  <c r="V84" i="3"/>
  <c r="V83" i="3"/>
  <c r="V82" i="3"/>
  <c r="V81" i="3"/>
  <c r="V80" i="3"/>
  <c r="V79" i="3"/>
  <c r="V78" i="3"/>
  <c r="V77" i="3"/>
  <c r="V76" i="3"/>
  <c r="V75" i="3"/>
  <c r="V74" i="3"/>
  <c r="V73" i="3"/>
  <c r="V72" i="3"/>
  <c r="V71" i="3"/>
  <c r="I9" i="4" s="1"/>
  <c r="V70" i="3"/>
  <c r="V69" i="3"/>
  <c r="V68" i="3"/>
  <c r="V67" i="3"/>
  <c r="V66" i="3"/>
  <c r="V65" i="3"/>
  <c r="V64" i="3"/>
  <c r="V63" i="3"/>
  <c r="V62" i="3"/>
  <c r="V61" i="3"/>
  <c r="V60" i="3"/>
  <c r="V59" i="3"/>
  <c r="V58" i="3"/>
  <c r="V57" i="3"/>
  <c r="I8" i="4" s="1"/>
  <c r="V56" i="3"/>
  <c r="V55" i="3"/>
  <c r="V54" i="3"/>
  <c r="V53" i="3"/>
  <c r="V52" i="3"/>
  <c r="V51" i="3"/>
  <c r="V50" i="3"/>
  <c r="V49" i="3"/>
  <c r="V48" i="3"/>
  <c r="V47" i="3"/>
  <c r="V46" i="3"/>
  <c r="V45" i="3"/>
  <c r="V44" i="3"/>
  <c r="V43" i="3"/>
  <c r="V42" i="3"/>
  <c r="V41" i="3"/>
  <c r="V40" i="3"/>
  <c r="V39" i="3"/>
  <c r="I7" i="4" s="1"/>
  <c r="V38" i="3"/>
  <c r="V37" i="3"/>
  <c r="V36" i="3"/>
  <c r="V35" i="3"/>
  <c r="V34" i="3"/>
  <c r="V33" i="3"/>
  <c r="V32" i="3"/>
  <c r="V31" i="3"/>
  <c r="V30" i="3"/>
  <c r="V29" i="3"/>
  <c r="V28" i="3"/>
  <c r="V27" i="3"/>
  <c r="V26" i="3"/>
  <c r="V25" i="3"/>
  <c r="V24" i="3"/>
  <c r="V23" i="3"/>
  <c r="V22" i="3"/>
  <c r="V21" i="3"/>
  <c r="V20" i="3"/>
  <c r="V19" i="3"/>
  <c r="I6" i="4" s="1"/>
  <c r="V18" i="3"/>
  <c r="I5" i="4" s="1"/>
  <c r="V17" i="3"/>
  <c r="V16" i="3"/>
  <c r="V15" i="3"/>
  <c r="V14" i="3"/>
  <c r="V13" i="3"/>
  <c r="V12" i="3"/>
  <c r="V11" i="3"/>
  <c r="V10" i="3"/>
  <c r="V9" i="3"/>
  <c r="I13" i="4" l="1"/>
  <c r="C13" i="4"/>
  <c r="H13" i="4" s="1"/>
</calcChain>
</file>

<file path=xl/sharedStrings.xml><?xml version="1.0" encoding="utf-8"?>
<sst xmlns="http://schemas.openxmlformats.org/spreadsheetml/2006/main" count="2806" uniqueCount="1200">
  <si>
    <t>INSPECCIÓN FÍSICA DEL EQUIPO — GRIMM EDM180 (C/D)</t>
  </si>
  <si>
    <t>Prototipo de estructura jerárquica en Excel · Ambientalia — Servicio Técnico · v9</t>
  </si>
  <si>
    <t>Novedades de la v9</t>
  </si>
  <si>
    <t>Se añadió la hoja «Flujo No OK 2»: la misma información de encadenamiento condicional (columnas</t>
  </si>
  <si>
    <t>N-O de Inspección y hoja «Flujo No OK»), reorganizada en tabla plana de un renglón por enlace</t>
  </si>
  <si>
    <t>origen→destino — misma filosofía que la referencia que compartió el usuario para los Horiba</t>
  </si>
  <si>
    <t>APxA-370 (columnas Modelo, ID origen, Ítem, Criterio de falla, Causa probable, Orden, ID destino,</t>
  </si>
  <si>
    <t>Verificación siguiente, Acción si se confirma, Resultado del origen y Rama activa). «Resultado del</t>
  </si>
  <si>
    <t>origen» y «Rama activa» son fórmulas en vivo contra la hoja Inspección: si el ítem de origen queda</t>
  </si>
  <si>
    <t>marcado No conforme/Requiere reemplazo en la visita, la fila se enciende sola. Filtre por «Rama</t>
  </si>
  <si>
    <t>activa = SÍ» para ver solo lo que la visita de hoy disparó. ID origen e ID destino son hipervínculos</t>
  </si>
  <si>
    <t>a la fila del ítem en Inspección. 84 enlaces sobre los mismos ~40 ítems con secuencia documentada</t>
  </si>
  <si>
    <t>en el notebook (no añade cobertura nueva; reorganiza la existente para poder filtrarla).</t>
  </si>
  <si>
    <t>Novedades de la v8</t>
  </si>
  <si>
    <t>Se añadió la columna P «Comentario de falla (informe al cliente)»: para cada uno de los 103 ítems,</t>
  </si>
  <si>
    <t>el texto que debe mostrarse -y volcarse al informe- cuando el ítem sale No conforme o Requiere</t>
  </si>
  <si>
    <t>reemplazo (p. ej. «El equipo no completa el ciclo de autodiagnóstico (self-test) al encender», «Se</t>
  </si>
  <si>
    <t>observa una alarma o aviso activo en pantalla al arranque del equipo (p. ej. «Dryer»)»). Es lenguaje</t>
  </si>
  <si>
    <t>de informe -tercera persona, sin códigos de manual ni referencias de repuesto, que quedan en las</t>
  </si>
  <si>
    <t>columnas N y R-, derivado de qué verifica cada ítem (columna E) y su criterio de aceptación (I). Es</t>
  </si>
  <si>
    <t>una propuesta de Ambientalia, no un texto normado por GRIMM: revísela y ajústela al estilo de informe</t>
  </si>
  <si>
    <t>que use con cada cliente antes de darla por definitiva. La inserción de P recorrió una posición a la</t>
  </si>
  <si>
    <t>derecha todo lo que antes era P-W (ahora Q-X).</t>
  </si>
  <si>
    <t>Novedades de la v7</t>
  </si>
  <si>
    <t>Se añadió el encadenamiento condicional: qué verificación sigue cuando un ítem sale No OK. En la hoja</t>
  </si>
  <si>
    <t>Inspección, dos columnas nuevas: N «Acción si sale No OK» y O «Ítem(s) relacionado(s)» (los IDs del</t>
  </si>
  <si>
    <t>catálogo a los que salta el flujo). Además, una hoja nueva, «Flujo No OK», con 13 cadenas de</t>
  </si>
  <si>
    <t>diagnóstico agrupadas por familia de falla (autodiagnóstico/dryer, error de flujo, filtro cero, reloj</t>
  </si>
  <si>
    <t>interno, presión atmosférica, aire de purga, lift, fugas, tarjeta de memoria, láser/óptica, filtro de</t>
  </si>
  <si>
    <t>polvo, recalibración por ganancias/dolomita).</t>
  </si>
  <si>
    <t>Para ~40 de los 103 ítems esta información viene citada del notebook «ST Grimm EDM180»: el capítulo 2</t>
  </si>
  <si>
    <t>de mensajes de sistema/LCD del manual SER-MAN DUST MONITOR 180, los protocolos de Service Training /</t>
  </si>
  <si>
    <t>Service Training NEW, y tres correos de soporte GRIMM (Flow Error 18A12047, Date and hour problem</t>
  </si>
  <si>
    <t>18A18103, Sensor Presión 18A12048). Esas cadenas están en la hoja Flujo No OK con su fuente citada.</t>
  </si>
  <si>
    <t>Ninguna fuente tiene un árbol de decisión formal ya construido — es una reconstrucción de Ambientalia a</t>
  </si>
  <si>
    <t>partir de mensajes de error y protocolos de servicio documentados, para que el catálogo se pueda</t>
  </si>
  <si>
    <t>navegar como un flujo. Para los ~63 ítems restantes, sin secuencia documentada en las fuentes, la</t>
  </si>
  <si>
    <t>columna N trae un texto por defecto según el Criterio de falla (M): reemplazar/reparar si es Cobrable,</t>
  </si>
  <si>
    <t>no liberar el equipo si es Bloqueante, o registrar y dar seguimiento si es Alerta — sin inventar pasos</t>
  </si>
  <si>
    <t>de diagnóstico que ninguna fuente respalda.</t>
  </si>
  <si>
    <t>La inserción de las columnas N-O recorrió dos posiciones a la derecha todo lo que antes era N-U (ahora</t>
  </si>
  <si>
    <t>P-W).</t>
  </si>
  <si>
    <t>Novedades de la v6</t>
  </si>
  <si>
    <t>Se añadió la columna M «Criterio de falla», con tres niveles fijos por ítem:</t>
  </si>
  <si>
    <t xml:space="preserve">  • Alerta — se registra y se informa, no detiene el proceso.</t>
  </si>
  <si>
    <t xml:space="preserve">  • Cobrable — genera línea de cotización; alimenta el presupuesto al cliente.</t>
  </si>
  <si>
    <t xml:space="preserve">  • Bloqueante — impide continuar; el equipo no se libera sin resolverlo.</t>
  </si>
  <si>
    <t>Es un criterio propio de Ambientalia, no un dato publicado por GRIMM: se asignó ítem por ítem según</t>
  </si>
  <si>
    <t>el impacto de cada falla en la exactitud de la medición, la seguridad eléctrica/láser o la trazabilidad</t>
  </si>
  <si>
    <t>de los datos (27 ítems Bloqueante, 57 Cobrable, 19 Alerta de los 103 totales). Es un punto de partida</t>
  </si>
  <si>
    <t>razonado, no una norma GRIMM: revíselo con el equipo técnico y ajústelo antes de usarlo para facturar</t>
  </si>
  <si>
    <t>o para bloquear la entrega de un equipo. La columna tiene lista desplegable (Listas!D) y formato</t>
  </si>
  <si>
    <t>condicional (rojo/naranja/amarillo) para identificarla de un vistazo. La hoja Resumen incorpora una</t>
  </si>
  <si>
    <t>segunda tabla que cuenta los ítems por Criterio de falla y cuántos se detectaron como No conforme o</t>
  </si>
  <si>
    <t>Requiere reemplazo en la visita. La inserción de M recorrió una posición a la derecha las columnas</t>
  </si>
  <si>
    <t>que antes eran M-T (ahora N-U).</t>
  </si>
  <si>
    <t>Novedades de la v4</t>
  </si>
  <si>
    <t>Se añadió la columna F «Cómo se verifica (método)»: para cada ítem, describe brevemente el</t>
  </si>
  <si>
    <t>método o procedimiento con el que se realiza esa verificación (inspección visual, medición con</t>
  </si>
  <si>
    <t>instrumento, lectura en el software Diagnosis GRIMM, prueba funcional, etc.). Es una propuesta de</t>
  </si>
  <si>
    <t>Ambientalia construida a partir de los mismos informes y manuales del catálogo — no siempre es un</t>
  </si>
  <si>
    <t>procedimiento textual de GRIMM (algunos ítems sí lo son, p. ej. la prueba de estanqueidad con</t>
  </si>
  <si>
    <t>tensiómetro o la verificación con dolomita) — y debe validarse en campo antes de tomarse como</t>
  </si>
  <si>
    <t>procedimiento oficial. Todas las columnas anteriores (A-E y G en adelante) quedan igual; la</t>
  </si>
  <si>
    <t>inserción de F recorrió una posición a la derecha las columnas que antes eran F-S (ahora G-T).</t>
  </si>
  <si>
    <t>Novedades de la v3</t>
  </si>
  <si>
    <t>1) Se incorporaron 15 ítems nuevos hallados al revisar 'Service Training NEW [Version 0.8]',</t>
  </si>
  <si>
    <t xml:space="preserve">   el documento más extenso del notebook y el único con diagrama interno detallado. El hallazgo</t>
  </si>
  <si>
    <t xml:space="preserve">   más relevante: el equipo tiene una Bomba de muestra (Sample Pump) física, distinta de la bomba</t>
  </si>
  <si>
    <t xml:space="preserve">   de vacío/secado (antes la única bomba registrada) — ver ítem 3.1.5. Los demás 14 ítems cubren</t>
  </si>
  <si>
    <t xml:space="preserve">   soporte del tubo, paso de techo, calefactor opcional del cabezal, trampa de agua, depósito de</t>
  </si>
  <si>
    <t xml:space="preserve">   compensación, presostatos, válvula y filtro del ciclo self-test, tarjeta driver del láser y tarjeta</t>
  </si>
  <si>
    <t xml:space="preserve">   LED, filtros CQ (selftest/vacío), el procedimiento de reinicio del contador de filtro a 60.000 µg,</t>
  </si>
  <si>
    <t xml:space="preserve">   puertos RS-232 y las etiquetas físicas del equipo (ítem 1.2.4).</t>
  </si>
  <si>
    <t>2) Catálogo e Inspección se fusionaron en UNA sola hoja/tabla (antes eran dos hojas enlazadas</t>
  </si>
  <si>
    <t xml:space="preserve">   por fórmulas). Ninguna columna se eliminó: todas las de Catálogo y todas las de Inspección</t>
  </si>
  <si>
    <t xml:space="preserve">   quedan presentes en la misma fila, por ítem.</t>
  </si>
  <si>
    <t>Origen de la estructura</t>
  </si>
  <si>
    <t>Los niveles macro, subniveles e ítems se derivaron de los 199 informes de mantenimiento (MT) del</t>
  </si>
  <si>
    <t>notebook «ST Grimm EDM180» en NotebookLM, más 19 fuentes técnicas incorporadas después (manual</t>
  </si>
  <si>
    <t>de servicio oficial, dos documentos de Service Training y correos de soporte GRIMM/DURAG). Los</t>
  </si>
  <si>
    <t>informes MT son narrativos: no existe hoy una lista de chequeo formalizada por GRIMM, por lo que</t>
  </si>
  <si>
    <t>esta jerarquía es una propuesta construida a partir de los hallazgos que se repiten en ellos.</t>
  </si>
  <si>
    <t>Cómo está organizado el libro</t>
  </si>
  <si>
    <t>Inspección  Tabla única: es a la vez el catálogo maestro de la jerarquía (8 niveles macro N1,</t>
  </si>
  <si>
    <t xml:space="preserve">            27 subniveles N2 y 103 ítems N3) y la hoja de captura de una visita. Las columnas</t>
  </si>
  <si>
    <t xml:space="preserve">            A a S son la definición del ítem (editar aquí para añadir/quitar ítems, incluida F</t>
  </si>
  <si>
    <t xml:space="preserve">            «Cómo se verifica», M «Criterio de falla», N-O «Acción si sale No OK» / «Ítem(s)</t>
  </si>
  <si>
    <t xml:space="preserve">            relacionado(s)» y P «Comentario de falla» para el informe); las columnas T a X son lo</t>
  </si>
  <si>
    <t xml:space="preserve">            que diligencia el técnico en cada visita (en amarillo).</t>
  </si>
  <si>
    <t>Flujo No OK Las 13 cadenas de diagnóstico documentadas (qué revisar cuando un ítem sale No OK),</t>
  </si>
  <si>
    <t xml:space="preserve">            citando su fuente en el notebook, para los ítems que sí tienen una secuencia sourced.</t>
  </si>
  <si>
    <t>Flujo No OK 2 La misma información en tabla plana filtrable (un renglón por enlace origen→destino),</t>
  </si>
  <si>
    <t xml:space="preserve">            con «Resultado del origen» y «Rama activa» calculados en vivo contra Inspección.</t>
  </si>
  <si>
    <t>Resumen     Conformidad por nivel macro y por Criterio de falla, calculada automáticamente sobre</t>
  </si>
  <si>
    <t xml:space="preserve">            la hoja Inspección.</t>
  </si>
  <si>
    <t>Listas      Dominios de las listas desplegables.</t>
  </si>
  <si>
    <t>Qué diligencia el técnico (columnas en amarillo)</t>
  </si>
  <si>
    <t>Resultado         Lista desplegable: Conforme / No conforme / Requiere reemplazo / No aplica / Pendiente.</t>
  </si>
  <si>
    <t>Valor medido      Solo para ítems de tipo Numérico o Fecha. Se contrasta contra los límites (LI/LS) de la misma fila.</t>
  </si>
  <si>
    <t>Foto adjunta      Sí / No / No aplica — si el técnico adjuntó evidencia fotográfica en esta visita.</t>
  </si>
  <si>
    <t>Observación       Texto libre: es lo que después alimenta la redacción del informe.</t>
  </si>
  <si>
    <t>Nota: para repetir la inspección en una visita futura sin perder el histórico, duplique la hoja</t>
  </si>
  <si>
    <t>Inspección (clic derecho → Mover o copiar → Crear una copia) antes de diligenciar las columnas T-X.</t>
  </si>
  <si>
    <t>Ejemplo de diligenciamiento</t>
  </si>
  <si>
    <t>Advertencias sobre los límites numéricos</t>
  </si>
  <si>
    <t>Incorpora rangos oficiales del manual de servicio y de Service Training para: flujo de bomba de</t>
  </si>
  <si>
    <t>secado, flujo de muestra, presión de vacío, prueba de estanqueidad, potencia óptica del láser, valores</t>
  </si>
  <si>
    <t>K-Line (DC_h/DC_diff), aire de purga, batería del reloj interno y desviación relativa de masa en</t>
  </si>
  <si>
    <t>calibración. Persisten ítems marcados PENDIENTE DE VALIDAR (p. ej. corriente del láser en mA y</t>
  </si>
  <si>
    <t>tensión mínima de la batería CR2025): ningún documento revisado hasta ahora da ese valor. Dos</t>
  </si>
  <si>
    <t>fuentes dan valores distintos para el voltaje de la válvula proporcional (3,7±0,4 V vs. 6-7 V): revisar</t>
  </si>
  <si>
    <t>cuál aplica según la generación del equipo antes de usarlo como criterio de aceptación. Tampoco hay</t>
  </si>
  <si>
    <t>respaldo documental encontrado (en dos pasadas por los documentos de Service Training) para el</t>
  </si>
  <si>
    <t>criterio de ganancia de los canales F/G (-2 %/+5 %): puede ser un criterio interno de Ambientalia y</t>
  </si>
  <si>
    <t>no uno publicado por GRIMM; se deja igual, pero sin fuente oficial confirmada.</t>
  </si>
  <si>
    <t>ID</t>
  </si>
  <si>
    <t>Ítem</t>
  </si>
  <si>
    <t>Resultado</t>
  </si>
  <si>
    <t>Valor medido</t>
  </si>
  <si>
    <t>Foto</t>
  </si>
  <si>
    <t>Observación</t>
  </si>
  <si>
    <t>3.1.1</t>
  </si>
  <si>
    <t>Flujo de la bomba de secado</t>
  </si>
  <si>
    <t>Requiere reemplazo</t>
  </si>
  <si>
    <t>Sí</t>
  </si>
  <si>
    <t>Flujo cercano al límite de reemplazo; desgaste en el empaque del pistón.</t>
  </si>
  <si>
    <t>Foto adjunta</t>
  </si>
  <si>
    <t>Obligatorio</t>
  </si>
  <si>
    <t>Criterio de falla</t>
  </si>
  <si>
    <t>Conforme</t>
  </si>
  <si>
    <t>Alerta</t>
  </si>
  <si>
    <t>No conforme</t>
  </si>
  <si>
    <t>No</t>
  </si>
  <si>
    <t>Cobrable</t>
  </si>
  <si>
    <t>No aplica</t>
  </si>
  <si>
    <t>Bloqueante</t>
  </si>
  <si>
    <t>Pendiente</t>
  </si>
  <si>
    <t>FASE 1 — INSPECCIÓN FÍSICA DEL EQUIPO (catálogo + captura)</t>
  </si>
  <si>
    <t>Cliente:</t>
  </si>
  <si>
    <t>Serie del espectrómetro:</t>
  </si>
  <si>
    <t>NIT:</t>
  </si>
  <si>
    <t>Fecha de inspección:</t>
  </si>
  <si>
    <t>Equipo / Modelo:</t>
  </si>
  <si>
    <t>Monitor de partículas GRIMM EDM180</t>
  </si>
  <si>
    <t>Técnico responsable:</t>
  </si>
  <si>
    <t>Número de serie:</t>
  </si>
  <si>
    <t>N.º de informe (MT):</t>
  </si>
  <si>
    <t>Nivel macro (N1)</t>
  </si>
  <si>
    <t>Subnivel (N2)</t>
  </si>
  <si>
    <t>Ítem (N3)</t>
  </si>
  <si>
    <t>Qué se verifica</t>
  </si>
  <si>
    <t>Cómo se verifica (método)</t>
  </si>
  <si>
    <t>Tipo de dato</t>
  </si>
  <si>
    <t>Unidad</t>
  </si>
  <si>
    <t>Criterio de aceptación</t>
  </si>
  <si>
    <t>Límite inferior</t>
  </si>
  <si>
    <t>Límite superior</t>
  </si>
  <si>
    <t>Acción si sale No OK</t>
  </si>
  <si>
    <t>Ítem(s) relacionado(s)</t>
  </si>
  <si>
    <t>Comentario de falla (informe al cliente)</t>
  </si>
  <si>
    <t>Evidencia fotográfica requerida</t>
  </si>
  <si>
    <t>Repuesto / parte asociada</t>
  </si>
  <si>
    <t>Informe de referencia</t>
  </si>
  <si>
    <t>Verificación de rango</t>
  </si>
  <si>
    <t>1.1.1</t>
  </si>
  <si>
    <t>1. Verificación funcional inicial</t>
  </si>
  <si>
    <t>1.1 Encendido y autodiagnóstico</t>
  </si>
  <si>
    <t>Ciclo self-test</t>
  </si>
  <si>
    <t>El equipo enciende y supera el ciclo self test</t>
  </si>
  <si>
    <t>Encender el equipo desde el panel frontal y observar en pantalla que complete el ciclo de autodiagnóstico (self-test) sin quedar detenido ni mostrar código de error.</t>
  </si>
  <si>
    <t>Sí/No</t>
  </si>
  <si>
    <t>Debe superar el self test</t>
  </si>
  <si>
    <t>Revisar el código específico mostrado en pantalla (SER-MAN cap. 2.1). Si es “New Self Test”, limpiar la entrada de aire de muestra (2.1.3) y reintentar; si el código persiste, el equipo requiere servicio técnico calificado. Ver Cadena 1 en hoja Flujo No OK.</t>
  </si>
  <si>
    <t>2.1.3 · 5.3.2 · 7.1.1</t>
  </si>
  <si>
    <t>El equipo no completa el ciclo de autodiagnóstico (self-test) al encender.</t>
  </si>
  <si>
    <t>MT_18A12051_260811</t>
  </si>
  <si>
    <t>1.1.2</t>
  </si>
  <si>
    <t>Inicio de medición</t>
  </si>
  <si>
    <t>El equipo comienza a medir tras el self test</t>
  </si>
  <si>
    <t>Verificar en pantalla o en el software Diagnosis GRIMM que, al finalizar el self-test, el equipo pase automáticamente a modo de medición y comience a reportar conteos.</t>
  </si>
  <si>
    <t>Debe iniciar medición</t>
  </si>
  <si>
    <t>Si el equipo completa el self-test pero no pasa a medición, revisar los mismos códigos de la Cadena 1 (self-test) — causa probablemente común con 1.1.1.</t>
  </si>
  <si>
    <t>El equipo supera el self-test pero no inicia la medición automáticamente.</t>
  </si>
  <si>
    <t>1.1.3</t>
  </si>
  <si>
    <t>Alarmas activas</t>
  </si>
  <si>
    <t>Alarmas o avisos en pantalla al arranque (p. ej. alerta "Dryer")</t>
  </si>
  <si>
    <t>Revisar la pantalla del equipo al arranque y anotar cualquier alarma o aviso visible (p. ej. "Dryer"); confirmar en el software de diagnóstico si hay alarmas adicionales no visibles en pantalla.</t>
  </si>
  <si>
    <t>Texto</t>
  </si>
  <si>
    <t>Sin alarmas activas</t>
  </si>
  <si>
    <t>Si la alarma es “Dryer”: revisar el manómetro de vacío tras la tapa del panel frontal (3.2.1) y la presión de vacío (3.2.2). Ver Cadena 2 en hoja Flujo No OK.</t>
  </si>
  <si>
    <t>3.2.1 · 3.2.2 · 2.4.1</t>
  </si>
  <si>
    <t>Se observa una alarma o aviso activo en pantalla al arranque del equipo (p. ej. «Dryer»).</t>
  </si>
  <si>
    <t>MT_18A21062_260227</t>
  </si>
  <si>
    <t>1.2.1</t>
  </si>
  <si>
    <t>1.2 Identificación y trazabilidad</t>
  </si>
  <si>
    <t>Serial del monitor</t>
  </si>
  <si>
    <t>El serial del monitor coincide con la placa y con la orden de servicio</t>
  </si>
  <si>
    <t>Comparar el número de serie impreso en la placa/etiqueta del equipo con el registrado en la orden de servicio.</t>
  </si>
  <si>
    <t>Debe coincidir</t>
  </si>
  <si>
    <t>No liberar el equipo hasta resolver. Reparar/reemplazar el componente asociado (ver Repuesto/parte asociada); si no se resuelve en sitio, escalar a soporte GRIMM/DURAG.</t>
  </si>
  <si>
    <t>El número de serie del equipo no coincide con el registrado en la orden de servicio.</t>
  </si>
  <si>
    <t>MT_18A19035_260727</t>
  </si>
  <si>
    <t>1.2.2</t>
  </si>
  <si>
    <t>Serial del espectrómetro</t>
  </si>
  <si>
    <t>El espectrómetro instalado corresponde al del equipo (no de otro monitor)</t>
  </si>
  <si>
    <t>Ingresar al software Diagnosis GRIMM y leer el serial del espectrómetro instalado; contrastarlo con el serial de fábrica asociado a ese monitor.</t>
  </si>
  <si>
    <t>Debe corresponder</t>
  </si>
  <si>
    <t>El espectrómetro instalado no corresponde al registrado para este equipo; podría tratarse de un componente de otro monitor.</t>
  </si>
  <si>
    <t>1.2.3</t>
  </si>
  <si>
    <t>Accesorios recibidos</t>
  </si>
  <si>
    <t>Inventario de accesorios: tubo de muestra, cabezal TSP, sensor T/HR, cables</t>
  </si>
  <si>
    <t>Hacer inventario visual de los accesorios entregados junto al equipo (tubo de muestra, cabezal TSP, sensor T/HR, cables) y contrastarlo contra la lista estándar de accesorios.</t>
  </si>
  <si>
    <t>Inventario completo</t>
  </si>
  <si>
    <t>Reemplazar o reparar el componente indicado en Repuesto/parte asociada; incluir en la cotización al cliente.</t>
  </si>
  <si>
    <t>El inventario de accesorios entregados con el equipo está incompleto (tubo de muestra, cabezal TSP, sensor T/HR o cables).</t>
  </si>
  <si>
    <t>1.2.4</t>
  </si>
  <si>
    <t>Etiquetas físicas (Type Label / etiqueta de calibración)</t>
  </si>
  <si>
    <t>Presencia y legibilidad de la etiqueta de tipo y de la etiqueta de calibración vigente</t>
  </si>
  <si>
    <t>Inspección visual: verificar que la etiqueta de tipo (Type Label) y la etiqueta de calibración estén adheridas, legibles y con fecha vigente.</t>
  </si>
  <si>
    <t>OK / No OK</t>
  </si>
  <si>
    <t>Presentes y legibles</t>
  </si>
  <si>
    <t>Registrar el hallazgo en Observación y dar seguimiento; no requiere acción inmediata.</t>
  </si>
  <si>
    <t>La etiqueta de tipo o la etiqueta de calibración no están presentes, no son legibles o están vencidas.</t>
  </si>
  <si>
    <t>Service Training NEW v0.8</t>
  </si>
  <si>
    <t>1.3.1</t>
  </si>
  <si>
    <t>1.3 Estado de calibración</t>
  </si>
  <si>
    <t>Vigencia de calibración en Torre GRIMM</t>
  </si>
  <si>
    <t>Fecha de la última calibración en torre patrón</t>
  </si>
  <si>
    <t>Revisar la fecha de la última calibración en la torre patrón GRIMM (registro interno AMB-STCALENVIRO-01) y calcular si han transcurrido menos de 12 meses.</t>
  </si>
  <si>
    <t>Fecha</t>
  </si>
  <si>
    <t>Vigencia máxima 12 meses</t>
  </si>
  <si>
    <t>La última calibración en torre patrón tiene más de 12 meses de vigencia.</t>
  </si>
  <si>
    <t>AMB-STCALENVIRO-01</t>
  </si>
  <si>
    <t>1.3.2</t>
  </si>
  <si>
    <t>Certificado disponible</t>
  </si>
  <si>
    <t>Existe certificado de la última calibración</t>
  </si>
  <si>
    <t>Solicitar/consultar el archivo del certificado de calibración correspondiente a la última fecha registrada.</t>
  </si>
  <si>
    <t>Debe existir</t>
  </si>
  <si>
    <t>No se cuenta con el certificado de la última calibración del equipo.</t>
  </si>
  <si>
    <t>1.3.3</t>
  </si>
  <si>
    <t>Desviación relativa de masa (verificación con aire ambiente)</t>
  </si>
  <si>
    <t>Diferencia entre el candidato y el espectrómetro de referencia al verificar con aire ambiente tras la calibración en torre</t>
  </si>
  <si>
    <t>Con el equipo ya calibrado en torre, realizar una medición simultánea con aire ambiente frente al espectrómetro de referencia y calcular la diferencia porcentual o en µg/m³ entre ambos.</t>
  </si>
  <si>
    <t>Numérico</t>
  </si>
  <si>
    <t>% o µg/m³</t>
  </si>
  <si>
    <t>Criterio de fábrica: ±3% o ±2µg/m³. Criterio para cliente/campo: ±5% o ±2µg/m³ (correo GRIMM 25-nov-2021)</t>
  </si>
  <si>
    <t>Si la desviación de masa queda fuera de criterio tras calibrar en torre, el Service Training documenta el ciclo completo: pre-comparación, calibración de preamplificador/láser/flujo/umbrales, prueba de 48 h, verificación final. Ver Cadena 13.</t>
  </si>
  <si>
    <t>5.2.1 · 4.3.3</t>
  </si>
  <si>
    <t>La desviación de masa frente al equipo de referencia supera el criterio aceptado tras la calibración en torre.</t>
  </si>
  <si>
    <t>Correo EDM180C Calibration desviación (nov-2021)</t>
  </si>
  <si>
    <t>2.1.1</t>
  </si>
  <si>
    <t>2. Línea de muestreo y cabezal</t>
  </si>
  <si>
    <t>2.1 Cabezal TSP</t>
  </si>
  <si>
    <t>Estado físico del cabezal</t>
  </si>
  <si>
    <t>Golpes, deformación, corrosión del cabezal TSP</t>
  </si>
  <si>
    <t>Inspección visual del cabezal TSP buscando golpes, deformación o corrosión.</t>
  </si>
  <si>
    <t>Sin deformación ni corrosión</t>
  </si>
  <si>
    <t>El cabezal TSP presenta golpes, deformación o corrosión.</t>
  </si>
  <si>
    <t>1205317 / X180TSP (cabezal TSP completo) / GRM-CTSP-01 (tubo capilar de la sonda)</t>
  </si>
  <si>
    <t>MT_18A20087_260512</t>
  </si>
  <si>
    <t>2.1.2</t>
  </si>
  <si>
    <t>Tornillo de seguridad del cabezal</t>
  </si>
  <si>
    <t>Presencia y estado del tornillo de seguridad del cabezal TSP</t>
  </si>
  <si>
    <t>Inspección visual y manual: confirmar presencia y ajuste del tornillo de seguridad del cabezal.</t>
  </si>
  <si>
    <t>Presente / Ausente</t>
  </si>
  <si>
    <t>Debe estar presente</t>
  </si>
  <si>
    <t>Falta el tornillo de seguridad del cabezal TSP o no está correctamente ajustado.</t>
  </si>
  <si>
    <t>M02M2X4D912A4</t>
  </si>
  <si>
    <t>2.1.3</t>
  </si>
  <si>
    <t>Limpieza interna del cabezal</t>
  </si>
  <si>
    <t>Acumulación de material particulado en el interior del cabezal</t>
  </si>
  <si>
    <t>Desmontar el cabezal y revisar visualmente el interior en busca de acumulación de material particulado; limpiar si es necesario.</t>
  </si>
  <si>
    <t>Libre de acumulación</t>
  </si>
  <si>
    <t>Se observa acumulación de material particulado en el interior del cabezal.</t>
  </si>
  <si>
    <t>2.1.4</t>
  </si>
  <si>
    <t>Malla fly-mesh de la sonda</t>
  </si>
  <si>
    <t>Estado de la malla de protección (fly-mesh) del cabezal de muestreo</t>
  </si>
  <si>
    <t>Inspección visual de la malla de protección del cabezal, verificando que no esté obstruida ni rota.</t>
  </si>
  <si>
    <t>Sin obstrucción ni rotura</t>
  </si>
  <si>
    <t>La malla de protección (fly-mesh) del cabezal está obstruida o rota.</t>
  </si>
  <si>
    <t>1204089 (Screening Foil — a confirmar si corresponde a la malla fly-mesh)</t>
  </si>
  <si>
    <t>Service Training.pdf</t>
  </si>
  <si>
    <t>2.1.5</t>
  </si>
  <si>
    <t>Calefactor opcional del cabezal (head heater)</t>
  </si>
  <si>
    <t>Presencia y funcionamiento del calefactor opcional del cabezal de muestreo, en los equipos que lo incorporen</t>
  </si>
  <si>
    <t>Verificar si el equipo trae instalada la opción de calefactor del cabezal; de ser así, comprobar su encendido y funcionamiento.</t>
  </si>
  <si>
    <t>Aplica solo si el equipo trae la opción instalada; de ser así, debe operar sin falla</t>
  </si>
  <si>
    <t>El calefactor opcional del cabezal no enciende o no funciona correctamente.</t>
  </si>
  <si>
    <t>2.2.1</t>
  </si>
  <si>
    <t>2.2 Tubo de muestra (1.5 m)</t>
  </si>
  <si>
    <t>Rectitud del tubo</t>
  </si>
  <si>
    <t>Deformación o torcedura del tubo de muestra</t>
  </si>
  <si>
    <t>Inspección visual a lo largo del tubo de muestra buscando deformaciones o torceduras.</t>
  </si>
  <si>
    <t>Sin deformación mecánica</t>
  </si>
  <si>
    <t>El tubo de muestra presenta deformación o torcedura.</t>
  </si>
  <si>
    <t>GR-TI-01 / X180120150AR (tubo 1.5 m completo con cabezal y secador Nafion) / 182-15</t>
  </si>
  <si>
    <t>2.2.2</t>
  </si>
  <si>
    <t>Fugas internas</t>
  </si>
  <si>
    <t>Prueba de estanqueidad del tubo de muestra</t>
  </si>
  <si>
    <t>Realizar prueba de estanqueidad del tubo de muestra (obturar un extremo y aplicar presión/vacío controlado, verificando que no haya caída).</t>
  </si>
  <si>
    <t>Sin fugas</t>
  </si>
  <si>
    <t>El tubo de muestra no pasa la prueba de estanqueidad (presenta fugas).</t>
  </si>
  <si>
    <t>2.2.3</t>
  </si>
  <si>
    <t>Estructura interna de bronce</t>
  </si>
  <si>
    <t>Integridad de la estructura de bronce y su base respecto a las líneas neumáticas</t>
  </si>
  <si>
    <t>Inspección visual y manual de la estructura de bronce interna y su unión con las líneas neumáticas.</t>
  </si>
  <si>
    <t>Base unida a las líneas neumáticas</t>
  </si>
  <si>
    <t>La estructura interna de bronce del tubo de muestra está dañada o desprendida de las líneas neumáticas.</t>
  </si>
  <si>
    <t>GR-TI-01</t>
  </si>
  <si>
    <t>2.2.4</t>
  </si>
  <si>
    <t>Tornillería del tubo</t>
  </si>
  <si>
    <t>Deformación mecánica de la tornillería del tubo de muestra</t>
  </si>
  <si>
    <t>Inspección visual y manual de los tornillos del tubo de muestra, verificando ausencia de deformación.</t>
  </si>
  <si>
    <t>Sin deformación</t>
  </si>
  <si>
    <t>La tornillería del tubo de muestra presenta deformación mecánica.</t>
  </si>
  <si>
    <t>4037489 / M00M3X3D913A2</t>
  </si>
  <si>
    <t>2.2.5</t>
  </si>
  <si>
    <t>O-Ring de la boquilla de entrada</t>
  </si>
  <si>
    <t>Desgaste de la junta tórica interna de la boquilla de ingreso de muestreo</t>
  </si>
  <si>
    <t>Desmontar la boquilla de entrada e inspeccionar visualmente el O-Ring en busca de desgaste o cortes.</t>
  </si>
  <si>
    <t>Sin desgaste que genere fuga</t>
  </si>
  <si>
    <t>Punto habitual de fuga documentado para la prueba de estanqueidad (Cadena 9).</t>
  </si>
  <si>
    <t>3.3.1</t>
  </si>
  <si>
    <t>El O-Ring de la boquilla de entrada del tubo de muestra presenta desgaste que genera fuga.</t>
  </si>
  <si>
    <t>C0004x1</t>
  </si>
  <si>
    <t>2.2.6</t>
  </si>
  <si>
    <t>Soporte del tubo (Sample Pipe Holder) y tornillo de fijación</t>
  </si>
  <si>
    <t>Presencia y estado del soporte que fija el tubo de muestra y de su tornillo de fijación</t>
  </si>
  <si>
    <t>Inspección visual y manual del soporte (Sample Pipe Holder) y su tornillo de fijación, verificando que sostenga el tubo con firmeza.</t>
  </si>
  <si>
    <t>Presente y firme</t>
  </si>
  <si>
    <t>Punto de contacto documentado en el diagnóstico del mecanismo de lift (Cadena 8) si falla el switch de fin de carrera.</t>
  </si>
  <si>
    <t>8.1.5</t>
  </si>
  <si>
    <t>El soporte del tubo de muestra (Sample Pipe Holder) o su tornillo de fijación no sujetan el tubo con firmeza.</t>
  </si>
  <si>
    <t>1200005 (19" Inlet Probe Holder — a confirmar si es el Sample Pipe Holder)</t>
  </si>
  <si>
    <t>2.3.1</t>
  </si>
  <si>
    <t>2.3 Protección contra intemperie</t>
  </si>
  <si>
    <t>Rain protector / deflector</t>
  </si>
  <si>
    <t>Presencia e integridad del protector de lluvia del tubo de muestra</t>
  </si>
  <si>
    <t>Inspección visual del protector de lluvia/deflector, verificando presencia e integridad.</t>
  </si>
  <si>
    <t>Presente y sin roturas</t>
  </si>
  <si>
    <t>Falta el protector de lluvia del tubo de muestra o está deteriorado.</t>
  </si>
  <si>
    <t>4019827 (deflector) / 1202546 (rain protector, SKU independiente en Zoho)</t>
  </si>
  <si>
    <t>2.3.2</t>
  </si>
  <si>
    <t>Acople de sellado tubo–shelter</t>
  </si>
  <si>
    <t>Acople de protección para filtrado de agua hacia el shelter</t>
  </si>
  <si>
    <t>Inspección visual del acople de protección contra filtración de agua hacia el shelter.</t>
  </si>
  <si>
    <t>Acople original instalado</t>
  </si>
  <si>
    <t>El acople de sellado entre el tubo y el shelter no es el original o no cumple su función de protección contra agua.</t>
  </si>
  <si>
    <t>2.3.3</t>
  </si>
  <si>
    <t>Sellados provisionales</t>
  </si>
  <si>
    <t>Uso de cinta u otros sellos provisionales en la conexión</t>
  </si>
  <si>
    <t>Inspección visual de la conexión tubo-shelter, verificando que no haya cinta u otros sellos improvisados.</t>
  </si>
  <si>
    <t>No debe haber sellos provisionales</t>
  </si>
  <si>
    <t>Se detectan sellos provisionales (cinta u otros) en la conexión del tubo con el shelter.</t>
  </si>
  <si>
    <t>2.3.4</t>
  </si>
  <si>
    <t>Paso de techo (roof lead through)</t>
  </si>
  <si>
    <t>Estado del pasamuros/paso de techo por donde ingresa el tubo de muestra a la caseta</t>
  </si>
  <si>
    <t>Inspección visual del pasamuros/paso de techo por donde entra el tubo, verificando sellado y ausencia de daño.</t>
  </si>
  <si>
    <t>Sellado y sin daño</t>
  </si>
  <si>
    <t>El pasamuros/paso de techo por donde ingresa el tubo de muestra no está sellado o presenta daño.</t>
  </si>
  <si>
    <t>2.4.1</t>
  </si>
  <si>
    <t>2.4 Secador Nafion y drenaje</t>
  </si>
  <si>
    <t>Estado del Nafion</t>
  </si>
  <si>
    <t>Deterioro del secador Nafion integrado</t>
  </si>
  <si>
    <t>Inspección visual del secador Nafion integrado, revisando signos de deterioro.</t>
  </si>
  <si>
    <t>Sin deterioro</t>
  </si>
  <si>
    <t>Estado del Nafion ligado a la alarma Dryer y a “vacío no OK” (Cadena 2); revisar junto con el drenaje (2.4.2).</t>
  </si>
  <si>
    <t>2.4.2 · 1.1.3 · 3.3.3</t>
  </si>
  <si>
    <t>El secador Nafion integrado muestra signos de deterioro.</t>
  </si>
  <si>
    <t>1205244 (Nafion sampling pipe) / X1801203A (Nafion tube assembly 0.98 m)</t>
  </si>
  <si>
    <t>2.4.2</t>
  </si>
  <si>
    <t>Water drain</t>
  </si>
  <si>
    <t>Drenaje de agua despejado y operativo</t>
  </si>
  <si>
    <t>Verificar visualmente que el drenaje de agua esté despejado, dejando salir el condensado sin obstrucción.</t>
  </si>
  <si>
    <t>Despejado</t>
  </si>
  <si>
    <t>Un drenaje obstruido puede contribuir a la alarma Dryer/vacío no OK (Cadena 2).</t>
  </si>
  <si>
    <t>2.4.1 · 1.1.3</t>
  </si>
  <si>
    <t>El drenaje de agua está obstruido.</t>
  </si>
  <si>
    <t>X180150</t>
  </si>
  <si>
    <t>2.4.3</t>
  </si>
  <si>
    <t>Mangueras de la línea neumática</t>
  </si>
  <si>
    <t>Roturas, fisuras o endurecimiento de las mangueras</t>
  </si>
  <si>
    <t>Inspección visual y manual de las mangueras de la línea neumática, doblándolas suavemente para detectar endurecimiento o fisuras.</t>
  </si>
  <si>
    <t>Sin roturas</t>
  </si>
  <si>
    <t>Punto habitual de fuga/obstrucción documentado tanto en la prueba de estanqueidad (Cadena 9) como en el filtro cero (Cadena 4).</t>
  </si>
  <si>
    <t>3.3.1 · 4.4.1</t>
  </si>
  <si>
    <t>Las mangueras de la línea neumática presentan roturas, fisuras o endurecimiento.</t>
  </si>
  <si>
    <t>E003.2X6.4SILBL/GN/RT · E004.6X7.8SILBL/GN/RT (mangueras de silicona) / 1200914, 1200915 (conectores de manguera M3.2/F3.2)</t>
  </si>
  <si>
    <t>2.4.4</t>
  </si>
  <si>
    <t>Prueba de luz "First Aid" (obstrucción del tubo)</t>
  </si>
  <si>
    <t>Pasar una luz LED por el tubo de muestra: la luz debe atravesarlo completo, sin bloqueos ni residuos visibles; limpiar con aire comprimido si hay obstrucción</t>
  </si>
  <si>
    <t>Pasar una luz LED por un extremo del tubo de muestra y verificar desde el otro extremo que la luz se vea completa, sin bloqueos; si hay obstrucción, limpiar con aire comprimido.</t>
  </si>
  <si>
    <t>La luz debe pasar completa por el tubo</t>
  </si>
  <si>
    <t>El tubo de muestra presenta obstrucción interna (no permite el paso completo de una luz LED).</t>
  </si>
  <si>
    <t>Correo GRIMM EDM180 TEST FIRST AID 18A12046</t>
  </si>
  <si>
    <t>2.4.5</t>
  </si>
  <si>
    <t>Trampa de agua y racor de salida (water trap / condensate outlet)</t>
  </si>
  <si>
    <t>Integridad física de la trampa de agua y del racor de salida de condensado, como componentes distintos del secador Nafion</t>
  </si>
  <si>
    <t>Inspección visual de la trampa de agua y del racor de salida de condensado, verificando ausencia de daño o fugas.</t>
  </si>
  <si>
    <t>Sin daño ni fugas</t>
  </si>
  <si>
    <t>La trampa de agua o el racor de salida de condensado presentan daño o fuga.</t>
  </si>
  <si>
    <t>1204257 (frasco 25 mL) / 1204257OR (O-Ring 16x2 mm)</t>
  </si>
  <si>
    <t>3. Sistema neumático y etapa de secado</t>
  </si>
  <si>
    <t>3.1 Bombas (vacío/secado y muestra)</t>
  </si>
  <si>
    <t>Flujo de la bomba de secado (vacuum flow)</t>
  </si>
  <si>
    <t>Medición del flujo de la bomba de secado en la salida de condensado (condensate outlet)</t>
  </si>
  <si>
    <t>Conectar un flujómetro en la salida de condensado (condensate outlet) de la bomba de secado y registrar la lectura en L/min con el equipo en operación normal.</t>
  </si>
  <si>
    <t>L/min</t>
  </si>
  <si>
    <t>Manual: ~1,8 L/min (válvula de aguja, equipos antiguos) o 2,0-2,2 L/min (tobera crítica, desde 2004). Service Training: 2,0 ±0,1 L/min. 2,45 L/min se registró en campo como valor cercano al límite de reemplazo</t>
  </si>
  <si>
    <t>Tras confirmar fugas y P-Valve (Cadena 3), si aparece “Error 200” revisar el manómetro y el flujo de vacío en el pin de salida trasero (~2,1 L/min); considerar el kit de vacío/bomba.</t>
  </si>
  <si>
    <t>3.1.2 · 3.2.1 · 3.4.1</t>
  </si>
  <si>
    <t>El flujo de la bomba de secado, medido en la salida de condensado, está fuera del rango de referencia.</t>
  </si>
  <si>
    <t>1205273 (kit reparación) / 1205271 o X1809001A115V (bomba completa 230V/115V)</t>
  </si>
  <si>
    <t>SER-MAN DUST MONITOR 180 / Service Training.pdf / MT_18A24064_260609</t>
  </si>
  <si>
    <t>EJEMPLO — Flujo en el límite superior del rango; desgaste en el empaque del pistón. Borrar antes de usar el formato.</t>
  </si>
  <si>
    <t>3.1.2</t>
  </si>
  <si>
    <t>Estado del kit de la bomba (bomba de vacío/secado)</t>
  </si>
  <si>
    <t>Desgaste de los componentes internos del kit de la bomba de vacío</t>
  </si>
  <si>
    <t>Desmontar la bomba de vacío/secado e inspeccionar visualmente el desgaste de los componentes internos del kit.</t>
  </si>
  <si>
    <t>Sin desgaste significativo</t>
  </si>
  <si>
    <t>El kit de vacío es una causa documentada de error de flujo persistente (correo Flow Error) — reemplazarlo si el ajuste de flujo no resuelve el error. Ver Cadena 3.</t>
  </si>
  <si>
    <t>3.1.1 · 3.4.1</t>
  </si>
  <si>
    <t>Los componentes internos del kit de la bomba de vacío/secado presentan desgaste significativo.</t>
  </si>
  <si>
    <t>1205273 / 1204472 (juego de bielas 70SH) / U0929002552 (sello Viton)</t>
  </si>
  <si>
    <t>3.1.3</t>
  </si>
  <si>
    <t>Empaque del pistón (sealing sleeve) de la bomba de vacío/secado</t>
  </si>
  <si>
    <t>Desgaste del empaque del pistón de la bomba de secado</t>
  </si>
  <si>
    <t>Con la bomba desmontada, inspeccionar visualmente el empaque del pistón (sealing sleeve) en busca de desgaste.</t>
  </si>
  <si>
    <t>Sin desgaste</t>
  </si>
  <si>
    <t>El empaque del pistón (sealing sleeve) de la bomba de vacío/secado presenta desgaste.</t>
  </si>
  <si>
    <t>1204480</t>
  </si>
  <si>
    <t>MT_18A24064_260609</t>
  </si>
  <si>
    <t>3.1.4</t>
  </si>
  <si>
    <t>Ruido y vibración de la bomba de vacío/secado</t>
  </si>
  <si>
    <t>Ruido o vibración anómala de la bomba</t>
  </si>
  <si>
    <t>Con el equipo en operación, escuchar y palpar la bomba de secado para detectar ruido o vibración anómala.</t>
  </si>
  <si>
    <t>Sin ruido anómalo</t>
  </si>
  <si>
    <t>La bomba de vacío/secado presenta ruido o vibración anómala.</t>
  </si>
  <si>
    <t>M6015X8M4 / GR-VD158M4-01 (amortiguadores de vibración)</t>
  </si>
  <si>
    <t>Derivado</t>
  </si>
  <si>
    <t>3.1.5</t>
  </si>
  <si>
    <t>Bomba de muestra (Sample Pump)</t>
  </si>
  <si>
    <t>El equipo incorpora una bomba de muestra física, distinta de la bomba de vacío/secado (ítems 3.1.1-3.1.4); verificar presencia, fijación y funcionamiento</t>
  </si>
  <si>
    <t>Localizar la bomba de muestra (distinta de la bomba de vacío/secado) según el diagrama interno del equipo; verificar su fijación y, con el equipo encendido, confirmar que opera sin fugas ni ruido anómalo.</t>
  </si>
  <si>
    <t>Operativa, sin fugas ni ruido anómalo</t>
  </si>
  <si>
    <t>La bomba de muestra (Sample Pump) no opera correctamente, presenta fugas o ruido anómalo.</t>
  </si>
  <si>
    <t>X1809002A115V / X1809002A1 (bomba tipo 203, 115V/230V) / GRM-SPK-01 (placa) / GRM-SPK-02 (sello) / 1204476 (bloque bomba 203) / 1204474 (anillo de suspensión)</t>
  </si>
  <si>
    <t>3.1.6</t>
  </si>
  <si>
    <t>Depósito de compensación (Compensating Reservoir)</t>
  </si>
  <si>
    <t>Presencia e integridad del depósito de compensación del circuito neumático</t>
  </si>
  <si>
    <t>Inspección visual del depósito de compensación (Compensating Reservoir) del circuito neumático, verificando presencia e integridad.</t>
  </si>
  <si>
    <t>Presente, sin daño</t>
  </si>
  <si>
    <t>Falta el depósito de compensación del circuito neumático o presenta daño.</t>
  </si>
  <si>
    <t>X18090043 (triple hole) / X18090042 (twin hole) + juntas C0620111102 / C0620111101</t>
  </si>
  <si>
    <t>3.2.1</t>
  </si>
  <si>
    <t>3.2 Instrumentación de presión</t>
  </si>
  <si>
    <t>Manómetro de vacío</t>
  </si>
  <si>
    <t>El manómetro entrega lectura y no presenta falla mecánica</t>
  </si>
  <si>
    <t>Con el equipo en operación, leer el manómetro de vacío y verificar que entregue una lectura estable, sin daño mecánico visible en la carátula o aguja.</t>
  </si>
  <si>
    <t>Debe entregar lectura</t>
  </si>
  <si>
    <t>Es el primer punto de verificación cuando el LED del dryer está en rojo durante el self-test (manómetro tras la tapa del panel frontal). Ver Cadena 2.</t>
  </si>
  <si>
    <t>3.2.2 · 1.1.3 · 3.3.3</t>
  </si>
  <si>
    <t>El manómetro de vacío no entrega lectura o presenta daño mecánico.</t>
  </si>
  <si>
    <t>1201007</t>
  </si>
  <si>
    <t>3.2.2</t>
  </si>
  <si>
    <t>Presión negativa de succión (vacío)</t>
  </si>
  <si>
    <t>Presión negativa generada por la etapa de secado, leída en el manómetro/sensor de vacío</t>
  </si>
  <si>
    <t>Leer el valor de vacío en el manómetro o en el sensor de vacío del software de diagnóstico, con el equipo en operación normal.</t>
  </si>
  <si>
    <t>kPa</t>
  </si>
  <si>
    <t>-60 ±10 kPa (Service Training); rango técnico general del equipo 0 a -30 mBar</t>
  </si>
  <si>
    <t>Si sale fuera de -70/-50 kPa, forma parte de la Cadena 3 (error de flujo): revisar tras confirmar fugas (3.3.1) y voltaje de P-Valve (3.4.2); también ligado a la Cadena 2 (dryer).</t>
  </si>
  <si>
    <t>3.3.1 · 3.4.2 · 3.1.1</t>
  </si>
  <si>
    <t>La presión de vacío generada por la etapa de secado está fuera del rango de referencia.</t>
  </si>
  <si>
    <t>H6DP015AZ8H / H6DSDX01D4 (sensores de presión — a confirmar cuál corresponde)</t>
  </si>
  <si>
    <t>3.2.3</t>
  </si>
  <si>
    <t>Presostatos (pressure switches)</t>
  </si>
  <si>
    <t>Operatividad de los presostatos del circuito neumático (hasta tres, según Service Training NEW)</t>
  </si>
  <si>
    <t>Con el equipo en operación (y, si aplica, durante el ciclo de self-test), verificar en el software de diagnóstico que los presostatos conmuten según lo esperado.</t>
  </si>
  <si>
    <t>Deben conmutar correctamente</t>
  </si>
  <si>
    <t>Uno o más presostatos del circuito neumático no conmutan correctamente.</t>
  </si>
  <si>
    <t>X1809006 (presostato vacío -350 mbar) / X1809007 (presure linker -5kPa)</t>
  </si>
  <si>
    <t>3.3 Estanqueidad</t>
  </si>
  <si>
    <t>Prueba de fugas del circuito (test de presión)</t>
  </si>
  <si>
    <t>Cargar el circuito a 80 mmHg con tensiómetro y verificar la caída de presión</t>
  </si>
  <si>
    <t>Cargar el circuito neumático a 80 mmHg con un tensiómetro (o equipo equivalente) y medir la caída de presión en el tiempo indicado por el manual (10-20 s).</t>
  </si>
  <si>
    <t>mmHg</t>
  </si>
  <si>
    <t>Manual: la caída no debe superar 2 mmHg en 10 s. Service Training: el sistema es estanco si tras 20 s queda por encima de 60 mmHg</t>
  </si>
  <si>
    <t>Si tras 20 s el sistema queda por debajo de 60 mmHg: buscar la fuga con el esquema neumático (flow schematics) del equipo. Puntos habituales: O-rings del holder (3.3.2), O-ring de la boquilla de entrada (2.2.5), mangueras (2.4.3). Ver Cadena 9.</t>
  </si>
  <si>
    <t>3.3.2 · 2.2.5 · 2.4.3</t>
  </si>
  <si>
    <t>El circuito neumático no pasa la prueba de estanqueidad (presenta fuga).</t>
  </si>
  <si>
    <t>1206223 / 1206225 (conjuntos de tubería, si la fuga está ahí)</t>
  </si>
  <si>
    <t>SER-MAN DUST MONITOR 180 / Service Training.pdf</t>
  </si>
  <si>
    <t>3.3.2</t>
  </si>
  <si>
    <t>O-Rings y conectores del holder</t>
  </si>
  <si>
    <t>Estado de los O-Rings y conectores del cabezal de muestra (holder)</t>
  </si>
  <si>
    <t>Desmontar el cabezal de muestra (holder) e inspeccionar visualmente los O-Rings y conectores en busca de desgaste.</t>
  </si>
  <si>
    <t>Los O-Rings o conectores del cabezal de muestra (holder) presentan desgaste.</t>
  </si>
  <si>
    <t>C0004x1.2N70 / 1201011</t>
  </si>
  <si>
    <t>3.3.3</t>
  </si>
  <si>
    <t>Alerta "Dryer"</t>
  </si>
  <si>
    <t>Alerta activa de la etapa de secado en el equipo</t>
  </si>
  <si>
    <t>Revisar en pantalla o en el software de diagnóstico si la alerta "Dryer" está activa.</t>
  </si>
  <si>
    <t>No debe estar activa</t>
  </si>
  <si>
    <t>Códigos SER-MAN “VACUUM NOT OK” (revisar 3.2.1/3.2.2 y 2.4.1/2.4.2) o “VACUUM SWITCH” (presostato cerrado sin vacío suficiente — el manual indica contactar al fabricante/representante, no es resoluble en sitio). Ver Cadena 2.</t>
  </si>
  <si>
    <t>3.2.1 · 3.2.2 · 2.4.1 · 2.4.2</t>
  </si>
  <si>
    <t>La alerta «Dryer» está activa en el equipo.</t>
  </si>
  <si>
    <t>3.4.1</t>
  </si>
  <si>
    <t>3.4 Flujo de muestra y válvulas</t>
  </si>
  <si>
    <t>Flujo de muestra (sample flow)</t>
  </si>
  <si>
    <t>Caudal de aire de muestreo medido en operación normal</t>
  </si>
  <si>
    <t>Con un flujómetro de referencia, medir el caudal de aire de muestreo en operación normal y compararlo con la lectura interna del equipo.</t>
  </si>
  <si>
    <t>1,2 L/min ±3% (Service Training); manual: no debe desviarse más de 0,02 L/min de 1,20 L/min</t>
  </si>
  <si>
    <t>Orden documentado (correo Flow Error 18A12047): 1) fugas (3.3.1), 2) voltaje P-Valve (3.4.2, referencia de campo 11,47 V), 3) aislar el espectrómetro (otra carcasa/tubería externa), 4) limpiar la tarjeta análoga (5.1.2), 5) ajuste manual de flujo por Terminal (ctrl-f). Ver Cadena 3.</t>
  </si>
  <si>
    <t>3.3.1 · 3.4.2 · 3.1.1 · 3.1.2 · 5.1.2 · 7.1.4</t>
  </si>
  <si>
    <t>El caudal de aire de muestreo está fuera del rango de referencia.</t>
  </si>
  <si>
    <t>Service Training.pdf / SER-MAN DUST MONITOR 180</t>
  </si>
  <si>
    <t>3.4.2</t>
  </si>
  <si>
    <t>Voltaje de la válvula proporcional (P-Valve)</t>
  </si>
  <si>
    <t>Tensión de control de la válvula proporcional del circuito de flujo</t>
  </si>
  <si>
    <t>Con el equipo en operación, medir con multímetro la tensión de control de la válvula proporcional (P-Valve) en los puntos de prueba indicados en el esquema eléctrico.</t>
  </si>
  <si>
    <t>V</t>
  </si>
  <si>
    <t>Service Training: 3,7 ±0,4 V. Manual: ~6,5 V en medición (aceptable 6-7 V), ~4,5 V en arranque. Valores no reconciliados entre fuentes: verificar según generación del equipo</t>
  </si>
  <si>
    <t>Referencia de campo documentada: 11,47 V con flujo fuera de rango. Forma parte de la Cadena 3 (error de flujo) — si no se corrige, continuar con limpieza de la tarjeta análoga y ajuste por Terminal.</t>
  </si>
  <si>
    <t>3.4.1 · 5.1.2</t>
  </si>
  <si>
    <t>La tensión de control de la válvula proporcional (P-Valve) está fuera del rango esperado.</t>
  </si>
  <si>
    <t>X1809003 (válvula proporcional completa)</t>
  </si>
  <si>
    <t>3.4.3</t>
  </si>
  <si>
    <t>Controlador de aire de purga (Rinsing Air Controller)</t>
  </si>
  <si>
    <t>Flujo del aire de purga/barrido del controlador RAC y su filtro asociado</t>
  </si>
  <si>
    <t>Medir con flujómetro el flujo de aire de purga/barrido en la salida del controlador RAC.</t>
  </si>
  <si>
    <t>0,3-0,5 L/min; chequeo anual</t>
  </si>
  <si>
    <t>Protocolo documentado: retirar el tubo central del RAC, conectar el flujómetro, enviar “ctrl+f” por HyperTerminal; el flujo debe quedar en 0,3-0,5 L/min. Si no, revisar el filtro RAC (3.4.6). Ver Cadena 7.</t>
  </si>
  <si>
    <t>3.4.6</t>
  </si>
  <si>
    <t>El flujo de aire de purga del controlador RAC está fuera del rango de referencia.</t>
  </si>
  <si>
    <t>1206221 (filtro + controlador de aire de purga, conjunto)</t>
  </si>
  <si>
    <t>3.4.4</t>
  </si>
  <si>
    <t>Flujo en modo self-test</t>
  </si>
  <si>
    <t>Flujo mostrado durante el ciclo de autodiagnóstico (self-test) del equipo</t>
  </si>
  <si>
    <t>Iniciar el ciclo de self-test desde el panel y leer el flujo mostrado en pantalla o en el software durante ese ciclo.</t>
  </si>
  <si>
    <t>Debe ser 0,0 L/min (o 0,3 L/min según variante); si no, revisar estanqueidad o la válvula</t>
  </si>
  <si>
    <t>El flujo mostrado durante el ciclo de self-test no corresponde al valor esperado.</t>
  </si>
  <si>
    <t>Correo GRIMM EDM180 TEST FIRST AID 18A12046 / Correo Flow Error 18A12047</t>
  </si>
  <si>
    <t>3.4.5</t>
  </si>
  <si>
    <t>Válvula de autodiagnóstico (Valve Selftest)</t>
  </si>
  <si>
    <t>Operatividad de la válvula dedicada al ciclo de self-test, distinta de la válvula proporcional (P-Valve)</t>
  </si>
  <si>
    <t>Durante el ciclo de self-test, verificar visualmente o por escucha que la válvula dedicada al autodiagnóstico abra y cierre correctamente.</t>
  </si>
  <si>
    <t>Debe abrir y cerrar correctamente durante el self-test</t>
  </si>
  <si>
    <t>La válvula dedicada al ciclo de self-test no abre o no cierra correctamente.</t>
  </si>
  <si>
    <t>1206226</t>
  </si>
  <si>
    <t>Filtro de aire de purga (Rinsing Air Filter)</t>
  </si>
  <si>
    <t>Estado y colmatación del filtro asociado al controlador de aire de purga (RAC, ítem 3.4.3)</t>
  </si>
  <si>
    <t>Desmontar el filtro asociado al controlador RAC e inspeccionar visualmente su grado de colmatación.</t>
  </si>
  <si>
    <t>Sin colmatación</t>
  </si>
  <si>
    <t>Filtro asociado al controlador RAC (3.4.3); revisar junto con el flujo de purga si sale fuera de rango.</t>
  </si>
  <si>
    <t>El filtro asociado al controlador de aire de purga (RAC) está colmatado.</t>
  </si>
  <si>
    <t>J01SM16592K</t>
  </si>
  <si>
    <t>4.1.1</t>
  </si>
  <si>
    <t>4. Espectrómetro: cámara de medida y óptica</t>
  </si>
  <si>
    <t>4.1 Estado del recinto</t>
  </si>
  <si>
    <t>Humedad / condensación</t>
  </si>
  <si>
    <t>Presencia de humedad o condensación en el gabinete del espectrómetro</t>
  </si>
  <si>
    <t>Abrir el gabinete del espectrómetro e inspeccionar visualmente en busca de humedad o gotas de condensación.</t>
  </si>
  <si>
    <t>Ausencia de humedad</t>
  </si>
  <si>
    <t>Se observa humedad o condensación dentro del gabinete del espectrómetro.</t>
  </si>
  <si>
    <t>MT_18A18033_260108</t>
  </si>
  <si>
    <t>4.1.2</t>
  </si>
  <si>
    <t>Óxido y corrosión</t>
  </si>
  <si>
    <t>Óxido o corrosión en componentes internos por ingreso de humedad</t>
  </si>
  <si>
    <t>Inspección visual de los componentes internos del gabinete del espectrómetro en busca de óxido o corrosión.</t>
  </si>
  <si>
    <t>Sin óxido ni corrosión</t>
  </si>
  <si>
    <t>Se observa óxido o corrosión en componentes internos del gabinete del espectrómetro.</t>
  </si>
  <si>
    <t>4.1.3</t>
  </si>
  <si>
    <t>Limpieza de la cámara de medida</t>
  </si>
  <si>
    <t>Necesidad de limpieza integral de la cámara de medición</t>
  </si>
  <si>
    <t>Inspección visual del interior de la cámara de medición para determinar si requiere limpieza integral.</t>
  </si>
  <si>
    <t>Cámara limpia</t>
  </si>
  <si>
    <t>La cámara de medición requiere limpieza integral.</t>
  </si>
  <si>
    <t>Si el daño de la cámara es irreparable en campo: 4037324 (unidad de medida 187 completa) o 4037324B (sin unidad láser)</t>
  </si>
  <si>
    <t>4.2.1</t>
  </si>
  <si>
    <t>4.2 Componentes ópticos</t>
  </si>
  <si>
    <t>Espejo y tornillo del espejo</t>
  </si>
  <si>
    <t>Estado del espejo y de su O-Ring de montaje</t>
  </si>
  <si>
    <t>Inspección visual del espejo óptico y de su O-Ring de montaje, verificando ausencia de daño o fuga.</t>
  </si>
  <si>
    <t>Sin daño ni fuga</t>
  </si>
  <si>
    <t>El espejo óptico o su O-Ring de montaje presentan daño o fuga.</t>
  </si>
  <si>
    <t>GRM-MS-001 (tornillo del espejo) / C00014x2.5NBR70 y C00014x2N70 (O-Rings, dos medidas)</t>
  </si>
  <si>
    <t>4.2.2</t>
  </si>
  <si>
    <t>Manchas en la óptica</t>
  </si>
  <si>
    <t>Manchas o suciedad que generen ruido electrónico en la medida</t>
  </si>
  <si>
    <t>Inspección visual de los componentes ópticos con luz directa, buscando manchas o suciedad que puedan generar ruido en la señal.</t>
  </si>
  <si>
    <t>Óptica libre de manchas</t>
  </si>
  <si>
    <t>Código SER-MAN “NEW CALIBRATION” con DC-Diff demasiado alto → limpiar la óptica del láser. Ver Cadena 11.</t>
  </si>
  <si>
    <t>4.3.1 · 4.3.2</t>
  </si>
  <si>
    <t>Se observan manchas o suciedad en los componentes ópticos que pueden generar ruido en la medición.</t>
  </si>
  <si>
    <t>MT_18A20034_250703_Mantenimiento</t>
  </si>
  <si>
    <t>4.2.3</t>
  </si>
  <si>
    <t>Boquilla de ingreso de material particulado</t>
  </si>
  <si>
    <t>Estado de la boquilla y su sello neumático</t>
  </si>
  <si>
    <t>Inspección visual de la boquilla de ingreso y de su sello neumático.</t>
  </si>
  <si>
    <t>Sello neumático íntegro</t>
  </si>
  <si>
    <t>La boquilla de ingreso de material particulado o su sello neumático presentan daño.</t>
  </si>
  <si>
    <t>C0004x1 / 1203297 (boquilla de entrada 1100)</t>
  </si>
  <si>
    <t>4.3.1</t>
  </si>
  <si>
    <t>4.3 Unidad láser</t>
  </si>
  <si>
    <t>Corriente de operación en alta (La_h)</t>
  </si>
  <si>
    <t>Corriente del diodo láser en alta según software Diagnosis GRIMM</t>
  </si>
  <si>
    <t>Consultar en el software Diagnosis GRIMM la lectura de corriente del diodo láser en modo alta (La_h).</t>
  </si>
  <si>
    <t>mA</t>
  </si>
  <si>
    <t>Ningún documento de referencia (manual, Service Training) da el valor máximo en mA; ver también ítem de potencia óptica (mW) como criterio alternativo</t>
  </si>
  <si>
    <t>PENDIENTE DE VALIDAR</t>
  </si>
  <si>
    <t>Código SER-MAN “NEW CALIBRATION” con DC-Diff demasiado bajo → láser apagado o dañado; revisar la tarjeta driver del láser (5.1.4). Ver Cadena 11.</t>
  </si>
  <si>
    <t>4.3.2 · 5.1.4</t>
  </si>
  <si>
    <t>La corriente del diodo láser en modo alta (La_h) está fuera del comportamiento esperado.</t>
  </si>
  <si>
    <t>X187LDRVR (unidad láser) / X187LDRVR-R (reparación)</t>
  </si>
  <si>
    <t>MT_18A24064_260609 — PENDIENTE DE VALIDAR</t>
  </si>
  <si>
    <t>4.3.2</t>
  </si>
  <si>
    <t>Valores K-Line: DC_h y DC_diff</t>
  </si>
  <si>
    <t>Lectura de DC_h y DC_diff (DC_h menos DC_d) en el diagnóstico del láser</t>
  </si>
  <si>
    <t>Consultar en el software Diagnosis GRIMM (menú de diagnóstico del láser) las lecturas de DC_h y calcular DC_diff (DC_h − DC_d).</t>
  </si>
  <si>
    <t>mV</t>
  </si>
  <si>
    <t>DC_h debe ser menor a 500,0 mV; DC_diff (DC_h - DC_d) debe ser menor a 100,0 mV</t>
  </si>
  <si>
    <t>Mismo código “NEW CALIBRATION” que 4.3.1; DC-Diff demasiado alto indica óptica del láser contaminada (limpiar, ítem 4.2.2) en vez de láser dañado.</t>
  </si>
  <si>
    <t>4.3.1 · 4.2.2</t>
  </si>
  <si>
    <t>Los valores DC_h/DC_diff del diagnóstico del láser exceden los límites de referencia.</t>
  </si>
  <si>
    <t>X187LDRVR / X187LDRVR-R / 1205047 (portaláser completo)</t>
  </si>
  <si>
    <t>4.3.5</t>
  </si>
  <si>
    <t>Potencia óptica del láser</t>
  </si>
  <si>
    <t>Potencia óptica medida en alta y en baja (modo dúplex)</t>
  </si>
  <si>
    <t>Con el medidor de potencia óptica indicado en el manual, medir la potencia del láser en modo alta y en modo baja (dúplex).</t>
  </si>
  <si>
    <t>mW</t>
  </si>
  <si>
    <t>Alta: 30 ±10 mW. Baja: 0,4 ±0,1 mW. Potencia máxima de fábrica 60 mW; clase láser 3B (máx. 500 mW, 660 nm)</t>
  </si>
  <si>
    <t>Si la potencia óptica está fuera de rango y no se resuelve con limpieza de óptica (4.2.2) ni ajuste, corresponde a la falla de láser documentada en el correo Flow Error (reemplazo de unidad láser completa, ref. de campo pieza 1205338 “Lasereinheit 187 komplett”).</t>
  </si>
  <si>
    <t>4.2.2 · 5.1.4</t>
  </si>
  <si>
    <t>La potencia óptica del láser, medida en alta o en baja, está fuera del rango de referencia.</t>
  </si>
  <si>
    <t>X187LDRVR / X187LDRVR-R</t>
  </si>
  <si>
    <t>4.3.3</t>
  </si>
  <si>
    <t>Respuesta a verificación con dolomita</t>
  </si>
  <si>
    <t>El láser reacciona durante el procedimiento de verificación con dolomita</t>
  </si>
  <si>
    <t>Ejecutar el procedimiento de verificación con dolomita (partícula patrón) y observar en el software que el láser reaccione con el conteo esperado.</t>
  </si>
  <si>
    <t>Debe presentar reacción</t>
  </si>
  <si>
    <t>Si el láser no reacciona a la verificación con dolomita, corresponde al mismo ciclo de recalibración completo del Service Training (Cadena 13).</t>
  </si>
  <si>
    <t>5.2.1 · 1.3.3</t>
  </si>
  <si>
    <t>El láser no presenta la reacción esperada durante la verificación con dolomita.</t>
  </si>
  <si>
    <t>4.3.4</t>
  </si>
  <si>
    <t>Capacidad de ajuste de potenciómetros</t>
  </si>
  <si>
    <t>Los potenciómetros permiten llevar la ganancia al rango operativo</t>
  </si>
  <si>
    <t>Con el equipo abierto y en modo de ajuste, girar los potenciómetros de ganancia y verificar que permitan llevar la lectura al rango operativo.</t>
  </si>
  <si>
    <t>Debe permitir el ajuste</t>
  </si>
  <si>
    <t>Los potenciómetros de ganancia no permiten llevar la lectura al rango operativo.</t>
  </si>
  <si>
    <t>X187LDRVR-R</t>
  </si>
  <si>
    <t>4.4.1</t>
  </si>
  <si>
    <t>4.4 Pruebas funcionales del espectrómetro</t>
  </si>
  <si>
    <t>Prueba de filtro cero (0-Filter)</t>
  </si>
  <si>
    <t>Colocar filtro de partículas cero en la entrada y verificar el conteo</t>
  </si>
  <si>
    <t>Colocar el filtro de partículas cero en la entrada de muestreo y verificar en el software que todos los canales reporten conteo cero.</t>
  </si>
  <si>
    <t>Todos los conteos deben ser cero</t>
  </si>
  <si>
    <t>Si los conteos no son cero: revisar también CO_h/CO_d (4.4.3), la estanqueidad (3.3.1), las conexiones de tubo (2.4.3), disturbios electrónicos (5.1.2/5.1.3) y la membrana del controlador de aire de purga RAC (3.4.3). Ver Cadena 4.</t>
  </si>
  <si>
    <t>4.4.3 · 3.3.1 · 2.4.3 · 5.1.2 · 3.4.3</t>
  </si>
  <si>
    <t>Con el filtro de partículas cero instalado, uno o más canales no reportan conteo cero.</t>
  </si>
  <si>
    <t>Service Training.pdf / Correo EDM180C fault (dic-2021)</t>
  </si>
  <si>
    <t>4.4.2</t>
  </si>
  <si>
    <t>Trampa de luz (light-trap)</t>
  </si>
  <si>
    <t>Limpieza y estado del vidrio especial de la trampa de luz de la cámara de medida</t>
  </si>
  <si>
    <t>Abrir la cámara de medida e inspeccionar visualmente el vidrio especial de la trampa de luz; limpiar con alcohol si tiene residuos.</t>
  </si>
  <si>
    <t>Limpio, sin residuos; limpiar con alcohol</t>
  </si>
  <si>
    <t>El vidrio de la trampa de luz de la cámara de medida presenta residuos o suciedad.</t>
  </si>
  <si>
    <t>4022371 (trampa de luz) / C0005x1.5 (O-Ring)</t>
  </si>
  <si>
    <t>SER-MAN DUST MONITOR 180</t>
  </si>
  <si>
    <t>4.4.3</t>
  </si>
  <si>
    <t>Preamplificador y fotodiodo del detector</t>
  </si>
  <si>
    <t>Corrosión o daño visible en el fotodiodo/preamplificador dentro de la cámara de medida</t>
  </si>
  <si>
    <t>Con el filtro cero puesto, revisar en el software los valores CO_h/CO_d; si están anormalmente altos, inspeccionar visualmente el fotodiodo/preamplificador en busca de corrosión (la reparación es solo en fábrica).</t>
  </si>
  <si>
    <t>Sin corrosión; CO_h/CO_d anormalmente altos indican problema aquí. Reparación solo en fábrica (Alemania)</t>
  </si>
  <si>
    <t>Si CO_h/CO_d permanecen anormalmente altos tras revisar la Cadena 4 sin hallar causa: posible corrosión o daño del fotodiodo/preamplificador — reparación solo en fábrica.</t>
  </si>
  <si>
    <t>Se observan valores CO_h/CO_d anormalmente altos con el filtro cero puesto, o corrosión visible en el fotodiodo/preamplificador.</t>
  </si>
  <si>
    <t>1206152 (preamplificador completo) / AMB-C30808EH (fotodiodo)</t>
  </si>
  <si>
    <t>Correo EDM180C fault (dic-2021)</t>
  </si>
  <si>
    <t>5.1.1</t>
  </si>
  <si>
    <t>5. Electrónica y control</t>
  </si>
  <si>
    <t>5.1 Tarjetas</t>
  </si>
  <si>
    <t>Tarjeta digital del espectrómetro</t>
  </si>
  <si>
    <t>Operatividad de la tarjeta digital</t>
  </si>
  <si>
    <t>Con el equipo encendido, verificar en el software de diagnóstico que la tarjeta digital del espectrómetro permita la operación normal del equipo.</t>
  </si>
  <si>
    <t>Debe permitir la operación del equipo</t>
  </si>
  <si>
    <t>Código SER-MAN “Black line on the display”: pantalla defectuosa o tarjeta digital defectuosa. También es el primer paso de diagnóstico retirado en la Cadena 3 (error de flujo).</t>
  </si>
  <si>
    <t>La tarjeta digital del espectrómetro no permite la operación normal del equipo.</t>
  </si>
  <si>
    <t>X187486</t>
  </si>
  <si>
    <t>5.1.2</t>
  </si>
  <si>
    <t>Tarjeta análoga</t>
  </si>
  <si>
    <t>Estado y operatividad de la tarjeta análoga</t>
  </si>
  <si>
    <t>Inspección visual de la tarjeta análoga (componentes, soldaduras) y verificación funcional indirecta a través de la estabilidad de las lecturas del equipo.</t>
  </si>
  <si>
    <t>Operativa</t>
  </si>
  <si>
    <t>Causa documentada de error de flujo/corriente de bomba alta: sustancia o residuo conductivo en la tarjeta análoga. Retirar la tarjeta digital (5.1.1) y el sensor de presión diferencial, inspeccionar y limpiar con limpiador de tarjetas. Ver Cadena 3.</t>
  </si>
  <si>
    <t>5.1.1 · 3.4.1</t>
  </si>
  <si>
    <t>La tarjeta análoga presenta daño visible o se asocia a inestabilidad en las lecturas del equipo.</t>
  </si>
  <si>
    <t>1205391 (incl. sensores de presión) / 1205395 (sin sensores)</t>
  </si>
  <si>
    <t>5.1.3</t>
  </si>
  <si>
    <t>Aislante de apantallamiento</t>
  </si>
  <si>
    <t>Presencia del aislante entre la tarjeta digital y la análoga</t>
  </si>
  <si>
    <t>Abrir el gabinete electrónico e inspeccionar visualmente que el aislante entre la tarjeta digital y la análoga esté presente.</t>
  </si>
  <si>
    <t>Debe estar presente (su ausencia genera ruido electrónico)</t>
  </si>
  <si>
    <t>Falta el aislante de apantallamiento entre la tarjeta digital y la análoga.</t>
  </si>
  <si>
    <t>5.1.4</t>
  </si>
  <si>
    <t>Tarjeta driver del láser (Laser Driver Board)</t>
  </si>
  <si>
    <t>Estado y operatividad de la tarjeta que controla el diodo láser</t>
  </si>
  <si>
    <t>Inspección visual de la tarjeta driver del láser y verificación funcional a través de las lecturas de corriente/potencia del láser en el software de diagnóstico.</t>
  </si>
  <si>
    <t>Vinculada al código “NEW CALIBRATION” (láser apagado/dañado) — revisar la tarjeta driver antes de asumir que la unidad láser completa está dañada. Ver Cadena 11.</t>
  </si>
  <si>
    <t>La tarjeta driver del láser no opera correctamente.</t>
  </si>
  <si>
    <t>X187LDRVR / X187LDRVR-R — Zoho no vende la tarjeta driver por separado, solo la unidad láser completa</t>
  </si>
  <si>
    <t>5.1.5</t>
  </si>
  <si>
    <t>Tarjeta del circuito LED</t>
  </si>
  <si>
    <t>Estado y operatividad de la tarjeta del circuito LED del equipo</t>
  </si>
  <si>
    <t>Inspección visual de la tarjeta del circuito LED y verificación funcional de los indicadores LED del equipo.</t>
  </si>
  <si>
    <t>La tarjeta del circuito LED o los indicadores del equipo no funcionan correctamente.</t>
  </si>
  <si>
    <t>1205267</t>
  </si>
  <si>
    <t>5.2.1</t>
  </si>
  <si>
    <t>5.2 Ajustes y ganancias</t>
  </si>
  <si>
    <t>Ganancia canal F</t>
  </si>
  <si>
    <t>Desviación de la ganancia del canal F respecto al espectrómetro de referencia</t>
  </si>
  <si>
    <t>En el software Diagnosis GRIMM, leer la desviación de ganancia del canal F respecto al espectrómetro de referencia durante la verificación con dolomita.</t>
  </si>
  <si>
    <t>%</t>
  </si>
  <si>
    <t>Entre -2 % y +5 %</t>
  </si>
  <si>
    <t>Si la ganancia queda fuera de criterio, el Service Training documenta el ciclo completo de recalibración: pre-comparación → servicio/reparación → calibración (preamplificador, láser, flujo, umbrales) → prueba de 48 h → verificación final. Ver Cadena 13.</t>
  </si>
  <si>
    <t>5.2.2 · 5.2.3 · 4.3.3</t>
  </si>
  <si>
    <t>La desviación de la ganancia del canal F respecto al espectrómetro de referencia está fuera de rango.</t>
  </si>
  <si>
    <t>5.2.2</t>
  </si>
  <si>
    <t>Ganancia canal G</t>
  </si>
  <si>
    <t>Desviación de la ganancia del canal G respecto al espectrómetro de referencia</t>
  </si>
  <si>
    <t>En el software Diagnosis GRIMM, leer la desviación de ganancia del canal G respecto al espectrómetro de referencia durante la verificación con dolomita.</t>
  </si>
  <si>
    <t>Mismo ciclo de recalibración documentado que 5.2.1 (Cadena 13).</t>
  </si>
  <si>
    <t>5.2.1 · 5.2.3</t>
  </si>
  <si>
    <t>La desviación de la ganancia del canal G respecto al espectrómetro de referencia está fuera de rango.</t>
  </si>
  <si>
    <t>5.2.3</t>
  </si>
  <si>
    <t>Ajuste digital de ganancias (canales 0 a J)</t>
  </si>
  <si>
    <t>Desviación tras el ajuste digital de ganancias de los canales 0 a J, en Dolomita</t>
  </si>
  <si>
    <t>Ejecutar el procedimiento de ajuste digital de ganancias por canal (0 a J) del software Diagnosis GRIMM durante la verificación con dolomita, y registrar la desviación resultante.</t>
  </si>
  <si>
    <t>±2% (recomendado calibrar 1-2% hacia el lado negativo para compensar la verificación con aire ambiente)</t>
  </si>
  <si>
    <t>5.2.1 · 5.2.2</t>
  </si>
  <si>
    <t>La desviación tras el ajuste digital de ganancias (canales 0 a J) supera el criterio de referencia.</t>
  </si>
  <si>
    <t>5.3.1</t>
  </si>
  <si>
    <t>5.3 Alimentación y memoria</t>
  </si>
  <si>
    <t>Batería 3V tarjeta PCMCIA</t>
  </si>
  <si>
    <t>Estado / tensión de la batería CR2025</t>
  </si>
  <si>
    <t>Medir con multímetro la tensión de la batería CR2025 de la tarjeta PCMCIA, o leer el valor reportado por el software si está disponible.</t>
  </si>
  <si>
    <t>Tensión mínima 2,8 V</t>
  </si>
  <si>
    <t>Código SER-MAN “PLEASE REPLACE MEMORYCARD-BATT.”: respaldar los datos de la tarjeta antes de reemplazar la batería. Ver Cadena 10.</t>
  </si>
  <si>
    <t>5.3.2</t>
  </si>
  <si>
    <t>La tensión de la batería de la tarjeta PCMCIA está por debajo del mínimo requerido.</t>
  </si>
  <si>
    <t>CR2025</t>
  </si>
  <si>
    <t>Tarjeta PCMCIA / almacenamiento</t>
  </si>
  <si>
    <t>Lectura y escritura de datos en la tarjeta de memoria</t>
  </si>
  <si>
    <t>Realizar una prueba de lectura y escritura de datos en la tarjeta de memoria PCMCIA desde el software del equipo.</t>
  </si>
  <si>
    <t>Debe leer y escribir</t>
  </si>
  <si>
    <t>Códigos SER-MAN relacionados: “CARD ERROR” (insertada/retirada en operación o protección de escritura activa), “WRONG SerialNo.” / “WRONG VERSION” (datos de otro equipo/firmware — leer y respaldar antes de formatear), “PLEASE CHECK MEMORYCARD” (protegida contra escritura). Ver Cadena 10.</t>
  </si>
  <si>
    <t>La tarjeta de memoria PCMCIA no permite lectura o escritura de datos.</t>
  </si>
  <si>
    <t>DS2430A (EEPROM 256-bit — posible chip de memoria/serial; no se halló SKU de la tarjeta PCMCIA completa en esta categoría)</t>
  </si>
  <si>
    <t>5.3.3</t>
  </si>
  <si>
    <t>Cableado y conectores internos</t>
  </si>
  <si>
    <t>Estado de cableado, conectores y bornes internos</t>
  </si>
  <si>
    <t>Inspección visual del cableado, conectores y bornes internos, verificando ausencia de daño o corrosión.</t>
  </si>
  <si>
    <t>Sin daño ni corrosión</t>
  </si>
  <si>
    <t>Incluye el cableado hasta el switch de fin de carrera del lift, punto documentado de revisión si el lift falla (Cadena 8).</t>
  </si>
  <si>
    <t>El cableado, los conectores o los bornes internos presentan daño o corrosión.</t>
  </si>
  <si>
    <t>1205268 (cable set EDM180) / 1205050 (cable tarjeta análoga) / 1203585 (pasacables 4mm) — hay más conectores específicos en el catálogo Zoho (Han, D-Sub, etc.)</t>
  </si>
  <si>
    <t>5.4.1</t>
  </si>
  <si>
    <t>5.4 Software de diagnóstico</t>
  </si>
  <si>
    <t>Lectura en Diagnosis GRIMM</t>
  </si>
  <si>
    <t>Los valores del software oficial indican operación correcta</t>
  </si>
  <si>
    <t>Abrir el software oficial Diagnosis GRIMM y revisar que los valores generales de operación estén dentro de rango.</t>
  </si>
  <si>
    <t>Valores dentro de rango</t>
  </si>
  <si>
    <t>Uno o más valores del software Diagnosis GRIMM están fuera de rango.</t>
  </si>
  <si>
    <t>5.4.2</t>
  </si>
  <si>
    <t>Captura del diagnóstico</t>
  </si>
  <si>
    <t>Se adjunta captura de pantalla del software de diagnóstico</t>
  </si>
  <si>
    <t>Tomar una captura de pantalla del software de diagnóstico y adjuntarla al informe de servicio.</t>
  </si>
  <si>
    <t>Debe adjuntarse</t>
  </si>
  <si>
    <t>No se adjuntó la captura de pantalla del software de diagnóstico al informe.</t>
  </si>
  <si>
    <t>5.5.1</t>
  </si>
  <si>
    <t>5.5 Reloj interno y trazabilidad</t>
  </si>
  <si>
    <t>Reloj interno (RTC)</t>
  </si>
  <si>
    <t>Persistencia de fecha y hora tras apagar el equipo; verificar en Hyperterminal esperando unos minutos</t>
  </si>
  <si>
    <t>Apagar el equipo, esperar unos minutos, encenderlo y verificar en Hyperterminal (u otra terminal serial) que la fecha y hora se mantuvieron correctas.</t>
  </si>
  <si>
    <t>Fecha/hora estable y correcta</t>
  </si>
  <si>
    <t>Orden de reemplazo documentado por GRIMM: 1) chip temporizador PCF8583 (primero, según experiencia de Ambientalia), 2) capacitor ajustable (causa más común según GRIMM), 3) cristal oscilador (última opción). Calibrar el trimmer del reloj con precisión tras cualquier reemplazo. Ver Cadena 5.</t>
  </si>
  <si>
    <t>5.5.2</t>
  </si>
  <si>
    <t>La fecha y hora del equipo no se mantienen correctas tras apagarlo y encenderlo.</t>
  </si>
  <si>
    <t>PCF8583P (SKU en Zoho; el correo de soporte cita «PCF8583F» — mismo circuito RTC, confirmar variante) / C-002RX 32.7680K-A:PBFREE (cristal oscilador) / 4030149 (capacitor variable) — el correo de soporte señala estos tres como causas posibles del reloj inestable</t>
  </si>
  <si>
    <t>Correo Date and hour problem SN 18A18103</t>
  </si>
  <si>
    <t>Batería del reloj interno</t>
  </si>
  <si>
    <t>Estado de la pila de litio del reloj interno (distinta de la batería de la tarjeta de memoria)</t>
  </si>
  <si>
    <t>Medir con multímetro la tensión de la pila de litio del reloj interno (SL-389), distinta de la batería de la tarjeta de memoria.</t>
  </si>
  <si>
    <t>3,6 V nominal (SL-389, 1AH)</t>
  </si>
  <si>
    <t>La tensión de la pila del reloj interno está fuera del rango de referencia.</t>
  </si>
  <si>
    <t>1200168 (Lithium-Battery 3,6V 1,0Ah en Zoho; SL-389 es el part number de fábrica citado en SER-MAN)</t>
  </si>
  <si>
    <t>6.1.1</t>
  </si>
  <si>
    <t>6. Filtros y consumibles</t>
  </si>
  <si>
    <t>6.1 Filtros</t>
  </si>
  <si>
    <t>Filtro de disposición 9933-05-BQ</t>
  </si>
  <si>
    <t>Colmatación y estado del filtro de disposición</t>
  </si>
  <si>
    <t>Inspección visual del filtro de disposición 9933-05-BQ, evaluando el nivel de colmatación por coloración/opacidad.</t>
  </si>
  <si>
    <t>Ligado al mismo código “CHECK DUSTFILTER AND AIR PASSAGE” que el filtro principal (6.1.3).</t>
  </si>
  <si>
    <t>6.1.3</t>
  </si>
  <si>
    <t>El filtro de disposición está colmatado.</t>
  </si>
  <si>
    <t>J04993305BQ</t>
  </si>
  <si>
    <t>6.1.2</t>
  </si>
  <si>
    <t>Fecha del último cambio de filtro</t>
  </si>
  <si>
    <t>Registro de la fecha del último reemplazo</t>
  </si>
  <si>
    <t>Consultar el registro de mantenimiento o la etiqueta del filtro para determinar la fecha del último reemplazo.</t>
  </si>
  <si>
    <t>Según periodicidad del plan de mantenimiento</t>
  </si>
  <si>
    <t>El registro del último cambio de filtro no está disponible o no corresponde a la periodicidad del plan de mantenimiento.</t>
  </si>
  <si>
    <t>Filtro principal de polvo (main dust filter)</t>
  </si>
  <si>
    <t>Colmatación del filtro principal, distinto del filtro de disposición</t>
  </si>
  <si>
    <t>Inspección visual del filtro principal de polvo (distinto del filtro de disposición) y consulta del contador de carga acumulada en el software, comparándolo contra los umbrales de 20.000/40.000/60.000 µg.</t>
  </si>
  <si>
    <t>Cambiar según carga acumulada: ~20.000 µg/120 días (filtro), ~40.000 µg/240 días (+ chequeo ventilador), ~60.000 µg/360 días (mantenimiento anual completo)</t>
  </si>
  <si>
    <t>Código SER-MAN “CHECK DUSTFILTER AND AIR PASSAGE”: baja presión tras el filtro fino demasiado alta — cambiar el filtro; si persiste tras el cambio, contactar al fabricante/representante. Ver Cadena 12.</t>
  </si>
  <si>
    <t>El filtro principal de polvo alcanzó o superó el umbral de carga acumulada y requiere cambio.</t>
  </si>
  <si>
    <t>6.1.4</t>
  </si>
  <si>
    <t>Filtro CQ de autodiagnóstico (CQ-Filter Selftest)</t>
  </si>
  <si>
    <t>Estado del filtro CQ dedicado al ciclo de self-test</t>
  </si>
  <si>
    <t>Inspección visual del filtro CQ dedicado al ciclo de self-test, evaluando su nivel de colmatación.</t>
  </si>
  <si>
    <t>El filtro CQ dedicado al ciclo de self-test está colmatado.</t>
  </si>
  <si>
    <t>J04993305CQ</t>
  </si>
  <si>
    <t>6.1.5</t>
  </si>
  <si>
    <t>Filtro CQ de vacío (CQ-Filter Vacuum)</t>
  </si>
  <si>
    <t>Estado del filtro CQ dedicado a la etapa de vacío</t>
  </si>
  <si>
    <t>Inspección visual del filtro CQ dedicado a la etapa de vacío, evaluando su nivel de colmatación.</t>
  </si>
  <si>
    <t>El filtro CQ dedicado a la etapa de vacío está colmatado.</t>
  </si>
  <si>
    <t>J04993305CQ (Zoho parece stockear un único CQ-Filter para ambas funciones selftest/vacío)</t>
  </si>
  <si>
    <t>6.1.6</t>
  </si>
  <si>
    <t>Reinicio del contador de filtro (umbral 60.000 µg)</t>
  </si>
  <si>
    <t>Verificar si el contador de carga del filtro alcanzó el umbral de 60.000 µg/360 días y, de ser así, reiniciarlo tras completar el mantenimiento anual</t>
  </si>
  <si>
    <t>Consultar en el software el contador de carga del filtro; si alcanzó el umbral de 60.000 µg/360 días y ya se completó el mantenimiento anual, reiniciar el contador desde el menú correspondiente.</t>
  </si>
  <si>
    <t>Reiniciar solo si se alcanzó el umbral y se completó el mantenimiento</t>
  </si>
  <si>
    <t>El contador de carga del filtro alcanzó el umbral de reemplazo y no ha sido reiniciado tras el mantenimiento anual.</t>
  </si>
  <si>
    <t>Service Training NEW v0.8 / Service Training.pdf</t>
  </si>
  <si>
    <t>6.2.1</t>
  </si>
  <si>
    <t>6.2 Juntas y sellos</t>
  </si>
  <si>
    <t>O-Ring 4x1 mm entrada de muestreo</t>
  </si>
  <si>
    <t>Estado de la junta tórica de la entrada de muestreo</t>
  </si>
  <si>
    <t>Desmontar la entrada de muestreo e inspeccionar visualmente la junta tórica en busca de desgaste.</t>
  </si>
  <si>
    <t>El O-Ring de la entrada de muestreo presenta desgaste.</t>
  </si>
  <si>
    <t>6.2.2</t>
  </si>
  <si>
    <t>O-Ring 44x3 mm</t>
  </si>
  <si>
    <t>Estado de la junta tórica 44x3 mm</t>
  </si>
  <si>
    <t>Inspección visual de la junta tórica 44x3 mm en su punto de montaje.</t>
  </si>
  <si>
    <t>El O-Ring de 44x3 mm presenta desgaste.</t>
  </si>
  <si>
    <t>C00044X3S70</t>
  </si>
  <si>
    <t>6.2.3</t>
  </si>
  <si>
    <t>Set de tornillería</t>
  </si>
  <si>
    <t>Estado y completitud de la tornillería de servicio</t>
  </si>
  <si>
    <t>Verificar visualmente que el set de tornillería de servicio esté completo y sin piezas deformadas.</t>
  </si>
  <si>
    <t>Completa y sin deformación</t>
  </si>
  <si>
    <t>El set de tornillería de servicio está incompleto o presenta piezas deformadas.</t>
  </si>
  <si>
    <t>4037489 / M00M3X3D913A2 / 4040565 (kit de piezas pequeñas y juntas, incluye fusible) / 4025003 (kit de repuestos EDM180/365 115V)</t>
  </si>
  <si>
    <t>7.1.1</t>
  </si>
  <si>
    <t>7. Sensores auxiliares</t>
  </si>
  <si>
    <t>7.1 Sensor ambiental</t>
  </si>
  <si>
    <t>Sensor de T y HR ambiente</t>
  </si>
  <si>
    <t>Presencia del sensor de humedad y temperatura ambiente</t>
  </si>
  <si>
    <t>Inspección visual/física para confirmar la presencia del sensor de temperatura y humedad ambiente conectado al equipo.</t>
  </si>
  <si>
    <t>Debe estar presente para poder verificar los parámetros</t>
  </si>
  <si>
    <t>Código SER-MAN “NO SENSOR! PLEASE CHECK”: sensor de T/HR no conectado o defectuoso — la medición se detiene. Verificar conexión y, si es necesario, reemplazar (1200095/1200093).</t>
  </si>
  <si>
    <t>El sensor de temperatura y humedad ambiente no está presente o no se detecta conectado al equipo.</t>
  </si>
  <si>
    <t>1200095 (con cable 3,5 m) / 1200093 (sin cable)</t>
  </si>
  <si>
    <t>7.1.2</t>
  </si>
  <si>
    <t>Lectura de temperatura ambiente</t>
  </si>
  <si>
    <t>Valor de temperatura ambiente reportado por el equipo</t>
  </si>
  <si>
    <t>Comparar la lectura de temperatura ambiente reportada por el equipo contra un termómetro/patrón de referencia.</t>
  </si>
  <si>
    <t>°C</t>
  </si>
  <si>
    <t>Coherente con patrón de referencia</t>
  </si>
  <si>
    <t>La lectura de temperatura ambiente reportada por el equipo no coincide con el patrón de referencia.</t>
  </si>
  <si>
    <t>1200095 / 1200093</t>
  </si>
  <si>
    <t>7.1.3</t>
  </si>
  <si>
    <t>Lectura de humedad relativa</t>
  </si>
  <si>
    <t>Valor de humedad relativa reportado por el equipo</t>
  </si>
  <si>
    <t>Comparar la lectura de humedad relativa reportada por el equipo contra un higrómetro/patrón de referencia.</t>
  </si>
  <si>
    <t>%HR</t>
  </si>
  <si>
    <t>La lectura de humedad relativa reportada por el equipo no coincide con el patrón de referencia.</t>
  </si>
  <si>
    <t>7.1.4</t>
  </si>
  <si>
    <t>Sensor de presión atmosférica (barométrica)</t>
  </si>
  <si>
    <t>Lectura de presión atmosférica del equipo contrastada contra un valor de referencia local</t>
  </si>
  <si>
    <t>Comparar la lectura de presión atmosférica del equipo contra un valor de referencia local (p. ej. estación cercana o barómetro patrón), considerando la altitud del sitio.</t>
  </si>
  <si>
    <t>hPa</t>
  </si>
  <si>
    <t>Depende de la altitud de instalación (no hay un rango único válido para todos los sitios); en Bogotá el valor de referencia ronda 740-750 hPa. Un sensor saturado (salida cercana a 10 V) indica falla y debe reemplazarse/recalibrarse</t>
  </si>
  <si>
    <t>Antes de asumir el sensor dañado: verificar los valores P-Line (voltajes); si son coherentes, el sensor funciona y el problema son los factores de calibración (factor/offset) perdidos — frecuente tras reemplazar la tarjeta digital. Reconfigurar por Terminal (“$”, “4”, ENTER, factor, offset, ENTER). Ver Cadena 6.</t>
  </si>
  <si>
    <t>La lectura de presión atmosférica del equipo no coincide con el valor de referencia local; puede indicar sensor saturado o pérdida de los factores de calibración.</t>
  </si>
  <si>
    <t>H6DP015AZ8H (sensor de presión absoluta)</t>
  </si>
  <si>
    <t>Correo Sensor Presión EDM180 18A12048 / Correo GRIMM Flow Error 18A12047</t>
  </si>
  <si>
    <t>7.2.1</t>
  </si>
  <si>
    <t>7.2 Sensores internos</t>
  </si>
  <si>
    <t>Temperatura interna del equipo</t>
  </si>
  <si>
    <t>Temperatura interna reportada en el software de diagnóstico</t>
  </si>
  <si>
    <t>Consultar en el software de diagnóstico la temperatura interna reportada por el equipo.</t>
  </si>
  <si>
    <t>Dentro del rango del fabricante</t>
  </si>
  <si>
    <t>La temperatura interna reportada por el equipo está fuera del rango del fabricante.</t>
  </si>
  <si>
    <t>NTC-01 (termistor — posible sensor de temperatura interna, a confirmar)</t>
  </si>
  <si>
    <t>7.2.2</t>
  </si>
  <si>
    <t>Sensor de flujo</t>
  </si>
  <si>
    <t>Coherencia de la lectura del sensor de flujo</t>
  </si>
  <si>
    <t>Comparar la lectura del sensor de flujo interno contra una medición externa con flujómetro de referencia.</t>
  </si>
  <si>
    <t>Coherente con la medición externa</t>
  </si>
  <si>
    <t>La lectura del sensor de flujo interno no coincide con la medición externa de referencia.</t>
  </si>
  <si>
    <t>8.1.1</t>
  </si>
  <si>
    <t>8. Gabinete, montaje e instalación</t>
  </si>
  <si>
    <t>8.1 Gabinete</t>
  </si>
  <si>
    <t>Estado externo de la carcasa</t>
  </si>
  <si>
    <t>Golpes, corrosión y pintura de la carcasa</t>
  </si>
  <si>
    <t>Inspección visual de la carcasa en busca de golpes, corrosión o deterioro de la pintura.</t>
  </si>
  <si>
    <t>Sin daño estructural</t>
  </si>
  <si>
    <t>La carcasa del equipo presenta golpes, corrosión o deterioro de pintura.</t>
  </si>
  <si>
    <t>8.1.2</t>
  </si>
  <si>
    <t>Sellado y hermeticidad</t>
  </si>
  <si>
    <t>Hermeticidad del gabinete frente al ingreso de humedad</t>
  </si>
  <si>
    <t>Inspección visual de los puntos de sellado del gabinete, verificando que no permitan el ingreso de humedad.</t>
  </si>
  <si>
    <t>Hermético</t>
  </si>
  <si>
    <t>El gabinete no es hermético frente al ingreso de humedad.</t>
  </si>
  <si>
    <t>8.1.3</t>
  </si>
  <si>
    <t>Ventilación y disipación (ventilador/fan)</t>
  </si>
  <si>
    <t>Rejillas, ventilación y funcionamiento del ventilador de refrigeración libres de obstrucción</t>
  </si>
  <si>
    <t>Inspección visual de las rejillas de ventilación y verificación funcional del ventilador de refrigeración (encendido, giro libre, sin obstrucción).</t>
  </si>
  <si>
    <t>Libre de obstrucción; chequeo del ventilador junto con el filtro principal (~240 días)</t>
  </si>
  <si>
    <t>Las rejillas de ventilación están obstruidas o el ventilador de refrigeración no funciona correctamente.</t>
  </si>
  <si>
    <t>X1801001</t>
  </si>
  <si>
    <t>8.1.4</t>
  </si>
  <si>
    <t>Teclado</t>
  </si>
  <si>
    <t>Verificación de todas las teclas, incluida tecla oculta de servicio</t>
  </si>
  <si>
    <t>Probar una a una todas las teclas del panel frontal, incluida la tecla oculta de servicio, verificando que respondan.</t>
  </si>
  <si>
    <t>Todas las teclas responden</t>
  </si>
  <si>
    <t>Una o más teclas del panel frontal, incluida la tecla oculta de servicio, no responden.</t>
  </si>
  <si>
    <t>X602</t>
  </si>
  <si>
    <t>Mecanismo de elevación (lift) del bastidor</t>
  </si>
  <si>
    <t>Funcionamiento del sensor/palanca de lift al levantar el bastidor para servicio</t>
  </si>
  <si>
    <t>Levantar el bastidor usando el mecanismo de lift y verificar que no se dispare la alarma "Self Test LIFT NOT OK".</t>
  </si>
  <si>
    <t>Sin alarma "Self Test LIFT NOT OK"</t>
  </si>
  <si>
    <t>Protocolo documentado: si aparece error de lift, revisar en orden — contacto lift-soporte del tubo (2.2.6), palanca del lift, switch de fin de carrera, cableado hasta la fuente de alimentación (5.3.3). Ver Cadena 8.</t>
  </si>
  <si>
    <t>2.2.6 · 5.3.3</t>
  </si>
  <si>
    <t>Al levantar el bastidor se dispara la alarma «Self Test LIFT NOT OK».</t>
  </si>
  <si>
    <t>SWFC-01 (switch fin de carrera del lift) / M3020030212 (brazo) / M51686008 (mango)</t>
  </si>
  <si>
    <t>8.2.1</t>
  </si>
  <si>
    <t>8.2 Montaje en estación</t>
  </si>
  <si>
    <t>Fijación mecánica del equipo</t>
  </si>
  <si>
    <t>Anclaje y fijación del equipo en la estación</t>
  </si>
  <si>
    <t>Inspección visual y manual del anclaje del equipo en la estación, verificando firmeza y ausencia de holgura.</t>
  </si>
  <si>
    <t>Firme y sin holgura</t>
  </si>
  <si>
    <t>El equipo no está firmemente anclado en la estación; se detecta holgura.</t>
  </si>
  <si>
    <t>4038414 (brazo de anclaje) / U097983 (tornillo de fijación) — a confirmar aplicabilidad</t>
  </si>
  <si>
    <t>8.2.2</t>
  </si>
  <si>
    <t>Paso del tubo por el shelter</t>
  </si>
  <si>
    <t>Sellado del paso del tubo de muestra a través del shelter</t>
  </si>
  <si>
    <t>Inspección visual del sellado del paso del tubo de muestra a través del shelter.</t>
  </si>
  <si>
    <t>Sellado con acople original</t>
  </si>
  <si>
    <t>El paso del tubo de muestra a través del shelter no está sellado con el acople original.</t>
  </si>
  <si>
    <t>4019827</t>
  </si>
  <si>
    <t>8.2.3</t>
  </si>
  <si>
    <t>Ingreso de agua al shelter</t>
  </si>
  <si>
    <t>Evidencia de filtraciones o humedad en el shelter</t>
  </si>
  <si>
    <t>Inspección visual del interior del shelter en busca de manchas de humedad o evidencia de filtraciones.</t>
  </si>
  <si>
    <t>Sin filtraciones</t>
  </si>
  <si>
    <t>Se observa evidencia de filtraciones o humedad dentro del shelter.</t>
  </si>
  <si>
    <t>8.3.1</t>
  </si>
  <si>
    <t>8.3 Servicios</t>
  </si>
  <si>
    <t>Alimentación eléctrica y tierra</t>
  </si>
  <si>
    <t>Tensión de alimentación y puesta a tierra</t>
  </si>
  <si>
    <t>Medir con multímetro la tensión de alimentación y verificar la puesta a tierra según la instalación requerida.</t>
  </si>
  <si>
    <t>Conforme a la instalación requerida</t>
  </si>
  <si>
    <t>La tensión de alimentación o la puesta a tierra no cumplen con lo requerido por la instalación.</t>
  </si>
  <si>
    <t>FN9260-2-06 (módulo entrada de energía) / T1145G570/1A, T112AMT, T112AT5X20 (fusibles, según voltaje) / X1803001 (tarjeta adaptadora 115VAC)</t>
  </si>
  <si>
    <t>8.3.2</t>
  </si>
  <si>
    <t>Comunicaciones / adquisición de datos</t>
  </si>
  <si>
    <t>Enlace de comunicaciones con el datalogger o sistema de adquisición</t>
  </si>
  <si>
    <t>Verificar el enlace de comunicaciones con el datalogger o sistema de adquisición, confirmando recepción estable de datos.</t>
  </si>
  <si>
    <t>Enlace estable</t>
  </si>
  <si>
    <t>El enlace de comunicaciones con el datalogger o sistema de adquisición no es estable.</t>
  </si>
  <si>
    <t>8.3.3</t>
  </si>
  <si>
    <t>Puertos RS-232</t>
  </si>
  <si>
    <t>Presencia y estado físico de los dos puertos RS-232 de comunicación</t>
  </si>
  <si>
    <t>Inspección visual y funcional de los dos puertos RS-232, verificando que no presenten daño físico y que permitan la conexión.</t>
  </si>
  <si>
    <t>Presentes y sin daño</t>
  </si>
  <si>
    <t>Uno o ambos puertos RS-232 presentan daño físico o no permiten la conexión.</t>
  </si>
  <si>
    <t>V10PRINT9 (conector D-Sub 9 polos)</t>
  </si>
  <si>
    <t>Leyenda:</t>
  </si>
  <si>
    <t>Columnas A-S = definición del ítem (catálogo maestro), incluida F «Cómo se verifica (método)», M «Criterio de falla», N-O «Acción si sale No OK» / «Ítem(s) relacionado(s)» y P «Comentario de falla». Columnas T-X en amarillo = diligencia el técnico en cada visita.</t>
  </si>
  <si>
    <t>LI / LS = límite inferior y superior del criterio numérico. «PENDIENTE DE VALIDAR» = falta confirmar contra el manual GRIMM.</t>
  </si>
  <si>
    <t>V (Verificación de rango) se calcula solo para ítems de tipo Numérico, comparando el Valor medido (U) contra LI/LS de la misma fila.</t>
  </si>
  <si>
    <t>F «Cómo se verifica (método)» es un método de verificación propuesto por Ambientalia a partir de los informes y manuales revisados; valídelo en campo antes de tratarlo como procedimiento oficial GRIMM.</t>
  </si>
  <si>
    <t>M «Criterio de falla»: Alerta = se registra y se informa, no detiene el proceso · Cobrable = genera línea de cotización, alimenta el presupuesto al cliente · Bloqueante = impide continuar, el equipo no se libera sin resolverlo. Es un criterio propio de Ambientalia aplicado ítem por ítem según el impacto de cada falla en la medición, la seguridad o la trazabilidad; no proviene de un documento GRIMM — revíselo y ajústelo con el equipo técnico antes de usarlo para facturar o bloquear una entrega.</t>
  </si>
  <si>
    <t>N «Acción si sale No OK» / O «Ítem(s) relacionado(s)»: encadenamiento condicional — qué revisar a continuación cuando el ítem sale No conforme/Requiere reemplazo. Para ~40 ítems el texto está tomado y citado del notebook «ST Grimm EDM180» (manual SER-MAN cap. 2, Service Training, correos de soporte GRIMM) — ver la hoja «Flujo No OK» para la cadena completa con fuente. Para el resto, es un texto por defecto según el Criterio de falla (M), sin secuencia documentada específica.</t>
  </si>
  <si>
    <t>P «Comentario de falla»: la redacción lista para copiar al informe del cliente cuando el ítem sale No conforme/Requiere reemplazo — describe el hallazgo en lenguaje de informe, sin códigos internos ni referencias de repuesto. Es una propuesta de Ambientalia derivada de qué verifica cada ítem (columna E); revísela y ajústela al estilo de informe que use con cada cliente.</t>
  </si>
  <si>
    <t>RESUMEN DE CONFORMIDAD POR NIVEL MACRO</t>
  </si>
  <si>
    <t>Calculado automáticamente sobre la hoja Inspección.</t>
  </si>
  <si>
    <t>Ítems</t>
  </si>
  <si>
    <t>% conformidad</t>
  </si>
  <si>
    <t>Fuera de rango</t>
  </si>
  <si>
    <t>TOTAL</t>
  </si>
  <si>
    <t>% conformidad = Conforme / (Ítems − No aplica − Pendiente).</t>
  </si>
  <si>
    <t>Nota: con la hoja recién abierta todos los ítems están en «Pendiente», por lo que el % queda vacío hasta diligenciar.</t>
  </si>
  <si>
    <t>RESUMEN POR CRITERIO DE FALLA</t>
  </si>
  <si>
    <t>Alerta = se registra, no detiene el proceso · Cobrable = genera línea de cotización · Bloqueante = el equipo no se libera sin resolverlo.</t>
  </si>
  <si>
    <t>Ítems en catálogo</t>
  </si>
  <si>
    <t>Detectados en esta visita</t>
  </si>
  <si>
    <t>«Detectados en esta visita» cuenta los ítems con Resultado = No conforme o Requiere reemplazo (columna T de Inspección) según su Criterio de falla.</t>
  </si>
  <si>
    <t>El Criterio de falla es un criterio propio de Ambientalia (ítem por ítem, según impacto en medición/seguridad/trazabilidad), no un dato publicado por GRIMM — valídelo con el equipo técnico.</t>
  </si>
  <si>
    <t>FLUJO DE DIAGNÓSTICO CUANDO UN ÍTEM SALE NO OK</t>
  </si>
  <si>
    <t>Cadenas de diagnóstico documentadas en el notebook «ST Grimm EDM180» (manual SER-MAN DUST MONITOR 180 cap. 2, Service Training / Service Training NEW, correos de soporte GRIMM). Cada cadena cita su fuente; úsela junto con las columnas N «Acción si sale No OK» y O «Ítem(s) relacionado(s)» de la hoja Inspección.</t>
  </si>
  <si>
    <t>No es un árbol de decisión formal de GRIMM (ninguna fuente lo tiene así estructurado) — es una reconstrucción de Ambientalia a partir de mensajes de error tabulados y protocolos de servicio encontrados en las fuentes, para que la tabla se pueda navegar como un flujo. Cubre ~40 de los 103 ítems: los que tienen una secuencia de diagnóstico documentada. El resto del catálogo usa una acción por defecto en la hoja Inspección, según su Criterio de falla.</t>
  </si>
  <si>
    <t>Cadena 1 — El equipo no completa el self-test / no inicia medición</t>
  </si>
  <si>
    <t>Fuente: SER-MAN DUST MONITOR 180 cap. 2.1 · Service Training NEW</t>
  </si>
  <si>
    <t>Paso / disparador</t>
  </si>
  <si>
    <t>Verificación o acción</t>
  </si>
  <si>
    <t>Ítem(s) del catálogo</t>
  </si>
  <si>
    <t>Código en pantalla “New Self Test”.</t>
  </si>
  <si>
    <t>Limpiar la entrada de aire de muestra y reintentar el self-test.</t>
  </si>
  <si>
    <t>El código persiste tras la limpieza.</t>
  </si>
  <si>
    <t>El equipo requiere mantenimiento por personal de servicio calificado (Bloqueante).</t>
  </si>
  <si>
    <t>Código “Fatal Error Please Check!” (self-test fallido varias veces).</t>
  </si>
  <si>
    <t>Contactar al fabricante/representante (GRIMM/DURAG); no insistir con más ciclos en sitio.</t>
  </si>
  <si>
    <t>Código “CARD ERROR! PLEASE CHECK”.</t>
  </si>
  <si>
    <t>Tarjeta insertada/retirada durante operación, o protección de escritura activa — ver Cadena 10.</t>
  </si>
  <si>
    <t>Código “NO SENSOR! PLEASE CHECK”.</t>
  </si>
  <si>
    <t>Sensor de T/HR no conectado o defectuoso; la medición se detiene.</t>
  </si>
  <si>
    <t>Cadena 2 — Alarma “Dryer” / vacío de la etapa de secado no OK</t>
  </si>
  <si>
    <t>Fuente: SER-MAN DUST MONITOR 180 cap. 2.1</t>
  </si>
  <si>
    <t>“Self Test not OK!” con el LED del dryer en rojo (solo durante self-test).</t>
  </si>
  <si>
    <t>Vacío de la unidad de secado no OK — revisar el manómetro tras la tapa del panel frontal.</t>
  </si>
  <si>
    <t>Código “VACUUM NOT OK! PLEASE CHECK”.</t>
  </si>
  <si>
    <t>La medición se detiene; revisar la presión de vacío y el estado del secador Nafion/drenaje.</t>
  </si>
  <si>
    <t>3.2.2 · 2.4.1 · 2.4.2</t>
  </si>
  <si>
    <t>Código “VACUUM SWITCH! PLEASE CHECK” (presostato cerrado sin vacío suficiente).</t>
  </si>
  <si>
    <t>La medición se detiene; el manual indica contactar al fabricante/representante — no resoluble en sitio (Bloqueante).</t>
  </si>
  <si>
    <t>Cadena 3 — Error de flujo (“AIR FLOW NOT OK”, corriente de bomba alta)</t>
  </si>
  <si>
    <t>Fuente: Correo “GRIMM EDM 180 FLOW ERROR” S/N 18A12047</t>
  </si>
  <si>
    <t>Código “AIR FLOW NOT OK CHECK AIR INLET” o alarma “AIR PUMP CURRENT TOO HIGH” en self-test.</t>
  </si>
  <si>
    <t>El controlador de flujo no logra regular a 1,2 L/min.</t>
  </si>
  <si>
    <t>Paso 1.</t>
  </si>
  <si>
    <t>Verificar fugas en el circuito y medir el voltaje de la válvula proporcional P-Valve (referencia de campo: 11,47 V).</t>
  </si>
  <si>
    <t>3.3.1 · 3.4.2</t>
  </si>
  <si>
    <t>Paso 2.</t>
  </si>
  <si>
    <t>Aislar el espectrómetro: intercambiarlo a otra carcasa o usar tubería externa, para saber si la falla es interna o externa.</t>
  </si>
  <si>
    <t>Paso 3 (si la falla queda dentro del espectrómetro).</t>
  </si>
  <si>
    <t>Retirar la tarjeta digital y el sensor de presión diferencial; inspeccionar la tarjeta análoga en busca de residuos conductivos y limpiarla con limpiador de tarjetas.</t>
  </si>
  <si>
    <t>5.1.1 · 5.1.2</t>
  </si>
  <si>
    <t>Paso 4.</t>
  </si>
  <si>
    <t>En modo servicio (Terminal/HyperTerminal): enviar “ctrl-f”, ajustar al 100 % el flujo manual, girar el potenciómetro de flujo antihorario hasta clic, reajustar a 1,2 L/min en sentido horario.</t>
  </si>
  <si>
    <t>Si aparece “Error 200” (problema de vacío).</t>
  </si>
  <si>
    <t>Revisar el manómetro y el flujo de vacío en el pin de salida trasero (~2,1 L/min); considerar el kit de vacío/bomba.</t>
  </si>
  <si>
    <t>3.2.1 · 3.1.1 · 3.1.2</t>
  </si>
  <si>
    <t>Si la presión atmosférica muestra un valor anómalo (p. ej. 4 hPa) tras lo anterior.</t>
  </si>
  <si>
    <t>Los factores de calibración (factor/offset) del sensor de presión absoluta pueden haberse perdido, sobre todo tras reemplazar la tarjeta digital; reconfigurar por Terminal.</t>
  </si>
  <si>
    <t>Si nada de lo anterior resuelve el error y se confirma daño del láser.</t>
  </si>
  <si>
    <t>Reemplazo de la unidad láser completa (ref. de campo: pieza 1205338 “Lasereinheit 187 komplett”).</t>
  </si>
  <si>
    <t>4.3.1 · 4.3.2 · 4.3.5</t>
  </si>
  <si>
    <t>Cadena 4 — Prueba de filtro cero: los conteos no dan cero</t>
  </si>
  <si>
    <t>Fuente: Service Training · Service Training NEW</t>
  </si>
  <si>
    <t>Todos los conteos deben ser cero con el filtro cero instalado; si no lo son…</t>
  </si>
  <si>
    <t>Revisar también CO_h y CO_d.</t>
  </si>
  <si>
    <t>Causas documentadas.</t>
  </si>
  <si>
    <t>Sistema neumático no estanco, conexiones de tubo defectuosas, disturbios electrónicos, membrana defectuosa del controlador de aire de purga (RAC).</t>
  </si>
  <si>
    <t>3.3.1 · 2.4.3 · 5.1.2 · 5.1.3 · 3.4.3</t>
  </si>
  <si>
    <t>Si CO_h/CO_d quedan anormalmente altos sin causa hallada.</t>
  </si>
  <si>
    <t>Posible corrosión o daño del fotodiodo/preamplificador — reparación solo en fábrica (Bloqueante).</t>
  </si>
  <si>
    <t>Cadena 5 — Reloj interno (RTC) inestable</t>
  </si>
  <si>
    <t>Fuente: Correo “Date and hour problem” S/N 18A18103</t>
  </si>
  <si>
    <t>Verificación.</t>
  </si>
  <si>
    <t>En HyperTerminal: leer la hora, esperar unos minutos, volver a leer — si no coincide, el reloj interno dejó de funcionar.</t>
  </si>
  <si>
    <t>1er componente a reemplazar.</t>
  </si>
  <si>
    <t>Chip temporizador PCF8583 (en Zoho, SKU activo PCF8583P; el correo cita PCF8583F).</t>
  </si>
  <si>
    <t>Si la falla reaparece.</t>
  </si>
  <si>
    <t>El capacitor ajustable es, según GRIMM, la causa más común — reemplazarlo.</t>
  </si>
  <si>
    <t>Si aún persiste.</t>
  </si>
  <si>
    <t>El cristal oscilador es el tercer componente — última opción de descarte.</t>
  </si>
  <si>
    <t>5.5.1 · 5.5.2</t>
  </si>
  <si>
    <t>Tras cualquier reemplazo.</t>
  </si>
  <si>
    <t>Calibrar el trimmer del reloj con precisión; de lo contrario mostrará una hora adelantada o atrasada.</t>
  </si>
  <si>
    <t>Cadena 6 — Sensor de presión atmosférica con lectura anómala</t>
  </si>
  <si>
    <t>Fuente: Correo “GRIMM EDM 180 FLOW ERROR” 18A12047 · Correo “Sensor Presión EDM180” 18A12048</t>
  </si>
  <si>
    <t>Valor fuera de rango (p. ej. 4 hPa en vez de ~740-750 hPa).</t>
  </si>
  <si>
    <t>No asumir de inmediato que el sensor físico está dañado.</t>
  </si>
  <si>
    <t>Verificar los valores P-Line (voltajes) del sensor.</t>
  </si>
  <si>
    <t>Si son coherentes con una presión razonable, el sensor funciona — el problema son los factores de calibración (factor/offset) perdidos, frecuente tras reemplazar la tarjeta digital.</t>
  </si>
  <si>
    <t>Reconfiguración.</t>
  </si>
  <si>
    <t>Por Terminal: “$”, “4” (canal 4 = presión), ENTER, ingresar factor y offset de fábrica, ENTER, verificar en LCD.</t>
  </si>
  <si>
    <t>Solo si el sensor no responde en absoluto.</t>
  </si>
  <si>
    <t>Reemplazar el sensor físico (H6DP015AZ8H).</t>
  </si>
  <si>
    <t>Cadena 7 — Controlador de aire de purga (RAC) fuera de rango</t>
  </si>
  <si>
    <t>Procedimiento.</t>
  </si>
  <si>
    <t>Retirar el tubo central del RAC; conectar la entrada del flujómetro al RAC y la salida al tubo retirado; enviar “ctrl+f” por HyperTerminal para correr la bomba de muestra o iniciar el equipo.</t>
  </si>
  <si>
    <t>Criterio.</t>
  </si>
  <si>
    <t>El flujo de aire de purga debe quedar entre 0,3 y 0,5 L/min.</t>
  </si>
  <si>
    <t>Si no.</t>
  </si>
  <si>
    <t>Revisar el filtro asociado al RAC.</t>
  </si>
  <si>
    <t>Cadena 8 — Mecanismo de elevación (lift) no responde</t>
  </si>
  <si>
    <t>Instalar el equipo tal como lo usaría el cliente; dejar el lift arriba, verificar su flexibilidad mecánica; correr el equipo sin modo servicio.</t>
  </si>
  <si>
    <t>Si aparece error de lift, revisar en orden.</t>
  </si>
  <si>
    <t>Contacto entre el lift y el soporte del tubo de muestra (Sample Pipe Holder), la palanca del lift, el switch de fin de carrera al final de la palanca, y el cableado hasta la fuente de alimentación.</t>
  </si>
  <si>
    <t>Cadena 9 — Prueba de estanqueidad (fugas) fuera de criterio</t>
  </si>
  <si>
    <t>Fuente: SER-MAN DUST MONITOR 180 · Service Training</t>
  </si>
  <si>
    <t>Tras 20 s de carga a 80 mmHg, el sistema es estanco si queda por encima de 60 mmHg.</t>
  </si>
  <si>
    <t>Buscar la fuga con ayuda del esquema neumático (flow schematics) del equipo.</t>
  </si>
  <si>
    <t>Puntos habituales de fuga.</t>
  </si>
  <si>
    <t>O-rings del holder, O-ring de la boquilla de entrada, mangueras de la línea neumática.</t>
  </si>
  <si>
    <t>Cadena 10 — Mensajes de la tarjeta de memoria</t>
  </si>
  <si>
    <t>“NO MEMOCARD”.</t>
  </si>
  <si>
    <t>No hay tarjeta insertada; insertarla si se va a usar.</t>
  </si>
  <si>
    <t>“CARD ERROR! PLEASE CHECK”.</t>
  </si>
  <si>
    <t>Tarjeta insertada/retirada durante operación, o protección de escritura activa.</t>
  </si>
  <si>
    <t>“PLEASE REPLACE MEMORYCARD-BATT.”.</t>
  </si>
  <si>
    <t>Reemplazar la batería de la tarjeta; respaldar los datos antes.</t>
  </si>
  <si>
    <t>“WRONG SerialNo.” / “WRONG VERSION! Clear Memorycard”.</t>
  </si>
  <si>
    <t>La tarjeta trae datos de otro equipo o firmware; leer y respaldar los datos, luego formatear.</t>
  </si>
  <si>
    <t>“PLEASE CHECK MEMORYCARD”.</t>
  </si>
  <si>
    <t>Tarjeta protegida contra escritura.</t>
  </si>
  <si>
    <t>Cadena 11 — Óptica y láser: “NEW CALIBRATION” / línea negra en pantalla</t>
  </si>
  <si>
    <t>Fuente: SER-MAN DUST MONITOR 180 cap. 2.2</t>
  </si>
  <si>
    <t>“NEW CALIBRATION”, DC-Diff (láser encendido/apagado) demasiado bajo.</t>
  </si>
  <si>
    <t>Láser apagado o dañado; revisar la tarjeta driver del láser.</t>
  </si>
  <si>
    <t>4.3.1 · 4.3.2 · 5.1.4</t>
  </si>
  <si>
    <t>“NEW CALIBRATION”, DC-Diff demasiado alto.</t>
  </si>
  <si>
    <t>Óptica del láser contaminada — limpiar.</t>
  </si>
  <si>
    <t>“Black line on the display”.</t>
  </si>
  <si>
    <t>Pantalla defectuosa o tarjeta digital defectuosa.</t>
  </si>
  <si>
    <t>Si no se resuelve con limpieza de óptica ni ajuste.</t>
  </si>
  <si>
    <t>Falla de láser documentada en el correo Flow Error: reemplazo de la unidad láser completa (ref. de campo: pieza 1205338).</t>
  </si>
  <si>
    <t>Cadena 12 — Filtro de polvo colmatado (“CHECK DUSTFILTER AND AIR PASSAGE”)</t>
  </si>
  <si>
    <t>Código en pantalla.</t>
  </si>
  <si>
    <t>Baja presión tras el filtro fino demasiado alta.</t>
  </si>
  <si>
    <t>Acción.</t>
  </si>
  <si>
    <t>Cambiar el filtro de polvo fino.</t>
  </si>
  <si>
    <t>Si persiste tras el cambio.</t>
  </si>
  <si>
    <t>Contactar al fabricante/representante.</t>
  </si>
  <si>
    <t>Cadena 13 — Ganancias/dolomita/desviación de masa fuera de criterio: ciclo de recalibración</t>
  </si>
  <si>
    <t>Fuente: Service Training NEW</t>
  </si>
  <si>
    <t>Pre-comparación.</t>
  </si>
  <si>
    <t>Conteo contra un patrón de referencia en la torre de calibración.</t>
  </si>
  <si>
    <t>Servicio-reparación.</t>
  </si>
  <si>
    <t>Limpieza y reajuste de los componentes implicados.</t>
  </si>
  <si>
    <t>Calibración.</t>
  </si>
  <si>
    <t>Preamplificador, láser, flujo, umbrales (thresholds).</t>
  </si>
  <si>
    <t>5.2.1 · 5.2.2 · 5.2.3 · 4.3.3</t>
  </si>
  <si>
    <t>Prueba de resistencia (endurance test).</t>
  </si>
  <si>
    <t>48 horas contra un patrón en condiciones reales de exterior.</t>
  </si>
  <si>
    <t>Verificación final.</t>
  </si>
  <si>
    <t>De todos los componentes, con entrega de certificado.</t>
  </si>
  <si>
    <t>ENCADENAMIENTO CONDICIONAL — TABLA DE ENLACES ORIGEN → DESTINO</t>
  </si>
  <si>
    <t>Un renglón por enlace del árbol de diagnóstico (misma filosofía que la referencia del cliente para los Horiba APxA-370). La columna «Rama activa» se enciende sola cuando el ítem de origen queda marcado como hallazgo (No conforme / Requiere reemplazo) en la hoja Inspección de esta misma visita.</t>
  </si>
  <si>
    <t>Filtre por «Rama activa = SÍ — verificar destino» para ver únicamente las verificaciones que la visita de hoy realmente disparó. ID origen e ID destino son hipervínculos a la fila del ítem en la hoja Inspección. Es la versión en tabla plana, consultable y filtrable, de las 13 cadenas narradas en la hoja «Flujo No OK»; cubre los mismos ~40 ítems con secuencia documentada en el notebook — no añade cobertura nueva, la reorganiza para poder filtrarla por resultado de visita.</t>
  </si>
  <si>
    <t>Modelo</t>
  </si>
  <si>
    <t>ID origen</t>
  </si>
  <si>
    <t>Ítem que salió No OK</t>
  </si>
  <si>
    <t>Causa probable</t>
  </si>
  <si>
    <t>Orden</t>
  </si>
  <si>
    <t>ID destino</t>
  </si>
  <si>
    <t>Verificación siguiente</t>
  </si>
  <si>
    <t>Acción si se confirma</t>
  </si>
  <si>
    <t>Resultado del origen</t>
  </si>
  <si>
    <t>Rama activa</t>
  </si>
  <si>
    <t>GRIMM EDM180</t>
  </si>
  <si>
    <t>Código de self-test no superado: entrada de aire de muestra obstruida, sensor no conectado, o falla que requiere servicio calificado.</t>
  </si>
  <si>
    <t>Comparte causa probable con el self-test (1.1.1): mismo código de arranque no resuelto.</t>
  </si>
  <si>
    <t>Alarma «Dryer» activa: vacío o presión de la etapa de secado fuera de rango.</t>
  </si>
  <si>
    <t>Desviación de masa fuera de ±5%/±2 µg/m³ tras calibrar en torre: mismo ciclo de recalibración completo.</t>
  </si>
  <si>
    <t>Desgaste del O-Ring de la boquilla de entrada: punto habitual de fuga en la prueba de estanqueidad.</t>
  </si>
  <si>
    <t>Contacto lift-soporte del tubo o switch de fin de carrera con falla.</t>
  </si>
  <si>
    <t>Secador Nafion deteriorado, asociado a la alarma Dryer y a vacío fuera de rango.</t>
  </si>
  <si>
    <t>Drenaje de agua obstruido; puede generar alarma Dryer o vacío no OK.</t>
  </si>
  <si>
    <t>Roturas, fisuras o endurecimiento de mangueras: punto habitual de fuga u obstrucción.</t>
  </si>
  <si>
    <t>Flujo fuera de 1,8-2,3 L/min: kit de bomba desgastado, fuga, o P-Valve fuera de voltaje.</t>
  </si>
  <si>
    <t>Desgaste interno del kit de la bomba de vacío/secado: causa documentada de error de flujo persistente.</t>
  </si>
  <si>
    <t>Sin lectura o daño mecánico del manómetro; primer punto de revisión cuando el LED del dryer está en rojo.</t>
  </si>
  <si>
    <t>Vacío fuera de -70/-50 kPa: posible fuga, P-Valve fuera de voltaje, o alarma Dryer asociada.</t>
  </si>
  <si>
    <t>El circuito no es estanco tras 20 s de carga: fuga en O-rings del holder, boquilla de entrada, o mangueras.</t>
  </si>
  <si>
    <t>Desgaste de O-Rings del holder: punto habitual de fuga en la prueba de estanqueidad.</t>
  </si>
  <si>
    <t>Vacío no OK o presostato cerrado sin vacío suficiente en la etapa de secado.</t>
  </si>
  <si>
    <t>Caudal de muestreo fuera de 1,2 L/min ±3%: fuga, P-Valve, contaminación de tarjeta análoga, o ajuste manual perdido.</t>
  </si>
  <si>
    <t>Tensión de control de la válvula proporcional fuera de rango; referencia de campo documentada: 11,47 V con flujo fuera de rango.</t>
  </si>
  <si>
    <t>Flujo de aire de purga fuera de 0,3-0,5 L/min medido en el controlador RAC.</t>
  </si>
  <si>
    <t>Filtro asociado al controlador de aire de purga (RAC) colmatado.</t>
  </si>
  <si>
    <t>Manchas o suciedad en componentes ópticos que generan ruido en la medición.</t>
  </si>
  <si>
    <t>DC-Diff demasiado bajo (código «NEW CALIBRATION»): láser apagado o dañado.</t>
  </si>
  <si>
    <t>DC-Diff demasiado alto (código «NEW CALIBRATION»): óptica del láser contaminada.</t>
  </si>
  <si>
    <t>Potencia fuera de rango no resuelta con limpieza de óptica: falla de láser documentada en soporte GRIMM.</t>
  </si>
  <si>
    <t>El láser no reacciona a la verificación con dolomita: mismo ciclo de recalibración completo.</t>
  </si>
  <si>
    <t>Conteos distintos de cero con filtro cero puesto: fuga, conexión de tubo, disturbio electrónico, o membrana del RAC defectuosa.</t>
  </si>
  <si>
    <t>Corrosión o daño del fotodiodo/preamplificador: reparación solo en fábrica.</t>
  </si>
  <si>
    <t>Código SER-MAN «Black line on the display»: pantalla o tarjeta digital defectuosa.</t>
  </si>
  <si>
    <t>Sustancia o residuo conductivo en la tarjeta análoga: causa documentada de error de flujo/corriente de bomba alta.</t>
  </si>
  <si>
    <t>Tarjeta driver del láser vinculada al código «NEW CALIBRATION» (láser apagado/dañado).</t>
  </si>
  <si>
    <t>Desviación de ganancia fuera de -2%/+5%: requiere ciclo completo de recalibración documentado en Service Training.</t>
  </si>
  <si>
    <t>Mismo ciclo de recalibración documentado que la ganancia del canal F.</t>
  </si>
  <si>
    <t>Desviación tras el ajuste digital de ganancias por canal: mismo ciclo de recalibración.</t>
  </si>
  <si>
    <t>Tensión de la batería de la tarjeta PCMCIA por debajo del mínimo: código SER-MAN «PLEASE REPLACE MEMORYCARD-BATT.».</t>
  </si>
  <si>
    <t>Tarjeta insertada/retirada en operación, protección de escritura activa, o datos de otro equipo/firmware.</t>
  </si>
  <si>
    <t>Daño o corrosión en cableado, conectores o bornes internos, incluido el del switch de fin de carrera del lift.</t>
  </si>
  <si>
    <t>Fecha/hora no se mantiene tras apagar el equipo: chip temporizador, capacitor ajustable o cristal oscilador.</t>
  </si>
  <si>
    <t>Colmatación ligada al mismo código «CHECK DUSTFILTER AND AIR PASSAGE» que el filtro principal.</t>
  </si>
  <si>
    <t>Código «CHECK DUSTFILTER AND AIR PASSAGE»: baja presión tras el filtro fino demasiado alta.</t>
  </si>
  <si>
    <t>Lectura anómala del sensor de presión: puede ser sensor saturado o pérdida de los factores de calibración (factor/offset).</t>
  </si>
  <si>
    <t>Alarma «Self Test LIFT NOT OK» al levantar el bastidor.</t>
  </si>
  <si>
    <t>84 enlaces entre 41 ítems de origen y sus ítems relacionados — mismo contenido que las columnas N/O de Inspección y que la hoja Flujo No OK, reorganizado en tabla plana filtrable.</t>
  </si>
  <si>
    <t>No es un árbol de decisión formal de GRIMM: es una reconstrucción de Ambientalia a partir de mensajes de error y protocolos de servicio documentados en el notebook «ST Grimm EDM180» — misma fuente y mismo alcance (~40 de 103 ítems) que la hoja Flujo No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</si>
</sst>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charset val="1"/>
    </font>
    <font>
      <b/>
      <sz val="15"/>
      <color rgb="FF1F3864"/>
      <name val="Arial"/>
      <charset val="1"/>
    </font>
    <font>
      <i/>
      <sz val="10"/>
      <color rgb="FF595959"/>
      <name val="Arial"/>
      <charset val="1"/>
    </font>
    <font>
      <sz val="10"/>
      <name val="Arial"/>
      <charset val="1"/>
    </font>
    <font>
      <b/>
      <sz val="11"/>
      <color rgb="FF1F3864"/>
      <name val="Arial"/>
      <charset val="1"/>
    </font>
    <font>
      <b/>
      <sz val="9"/>
      <color rgb="FFFFFFFF"/>
      <name val="Arial"/>
      <charset val="1"/>
    </font>
    <font>
      <sz val="9"/>
      <name val="Arial"/>
      <charset val="1"/>
    </font>
    <font>
      <b/>
      <sz val="10"/>
      <color rgb="FFFFFFFF"/>
      <name val="Arial"/>
      <charset val="1"/>
    </font>
    <font>
      <b/>
      <sz val="14"/>
      <color rgb="FF1F3864"/>
      <name val="Arial"/>
      <charset val="1"/>
    </font>
    <font>
      <b/>
      <sz val="10"/>
      <name val="Arial"/>
      <charset val="1"/>
    </font>
    <font>
      <i/>
      <sz val="8"/>
      <color rgb="FFC00000"/>
      <name val="Arial"/>
      <charset val="1"/>
    </font>
    <font>
      <b/>
      <sz val="9"/>
      <name val="Arial"/>
      <charset val="1"/>
    </font>
    <font>
      <i/>
      <sz val="9"/>
      <color rgb="FF595959"/>
      <name val="Arial"/>
      <charset val="1"/>
    </font>
    <font>
      <b/>
      <sz val="13"/>
      <color rgb="FF1F3864"/>
      <name val="Arial"/>
      <charset val="1"/>
    </font>
    <font>
      <i/>
      <sz val="9"/>
      <name val="Arial"/>
      <charset val="1"/>
    </font>
    <font>
      <b/>
      <sz val="10"/>
      <color rgb="FF7F6000"/>
      <name val="Arial"/>
      <charset val="1"/>
    </font>
    <font>
      <sz val="10"/>
      <color rgb="FF000000"/>
      <name val="Arial"/>
      <charset val="1"/>
    </font>
    <font>
      <b/>
      <sz val="10"/>
      <color rgb="FF9C5700"/>
      <name val="Arial"/>
      <charset val="1"/>
    </font>
    <font>
      <b/>
      <sz val="10"/>
      <color rgb="FF9C0006"/>
      <name val="Arial"/>
      <charset val="1"/>
    </font>
    <font>
      <i/>
      <sz val="9"/>
      <color rgb="FFC00000"/>
      <name val="Arial"/>
      <charset val="1"/>
    </font>
    <font>
      <b/>
      <sz val="12"/>
      <color rgb="FFFFFFFF"/>
      <name val="Arial"/>
      <charset val="1"/>
    </font>
    <font>
      <u/>
      <sz val="9"/>
      <color rgb="FF1F3864"/>
      <name val="Arial"/>
      <charset val="1"/>
    </font>
  </fonts>
  <fills count="8">
    <fill>
      <patternFill patternType="none"/>
    </fill>
    <fill>
      <patternFill patternType="gray125"/>
    </fill>
    <fill>
      <patternFill patternType="solid">
        <fgColor rgb="FF1F3864"/>
        <bgColor rgb="FF333399"/>
      </patternFill>
    </fill>
    <fill>
      <patternFill patternType="solid">
        <fgColor rgb="FFFFF2CC"/>
        <bgColor rgb="FFFFEB9C"/>
      </patternFill>
    </fill>
    <fill>
      <patternFill patternType="solid">
        <fgColor rgb="FFD9E2F3"/>
        <bgColor rgb="FFC6EFCE"/>
      </patternFill>
    </fill>
    <fill>
      <patternFill patternType="solid">
        <fgColor rgb="FFFFEB9C"/>
        <bgColor rgb="FFFFF2CC"/>
      </patternFill>
    </fill>
    <fill>
      <patternFill patternType="solid">
        <fgColor rgb="FFFFC7CE"/>
        <bgColor rgb="FFD9E2F3"/>
      </patternFill>
    </fill>
    <fill>
      <patternFill patternType="solid">
        <fgColor rgb="FF5B7DB1"/>
        <bgColor rgb="FF80808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12" fillId="0" borderId="0" xfId="0" applyFont="1"/>
    <xf numFmtId="0" fontId="20" fillId="2" borderId="0" xfId="0" applyFont="1" applyFill="1"/>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6" fillId="3" borderId="1" xfId="0" applyFont="1" applyFill="1" applyBorder="1"/>
    <xf numFmtId="0" fontId="7" fillId="2" borderId="0" xfId="0" applyFont="1" applyFill="1"/>
    <xf numFmtId="0" fontId="8" fillId="0" borderId="0" xfId="0" applyFont="1"/>
    <xf numFmtId="0" fontId="7" fillId="2" borderId="1" xfId="0" applyFont="1" applyFill="1" applyBorder="1" applyAlignment="1">
      <alignment horizontal="center" vertical="center" wrapText="1"/>
    </xf>
    <xf numFmtId="0" fontId="6" fillId="0" borderId="1" xfId="0" applyFont="1" applyBorder="1" applyAlignment="1">
      <alignment vertical="top"/>
    </xf>
    <xf numFmtId="0" fontId="6" fillId="0" borderId="1" xfId="0" applyFont="1" applyBorder="1" applyAlignment="1">
      <alignment vertical="top" wrapText="1"/>
    </xf>
    <xf numFmtId="0" fontId="12" fillId="0" borderId="0" xfId="0" applyFont="1"/>
    <xf numFmtId="0" fontId="13" fillId="0" borderId="0" xfId="0" applyFont="1"/>
    <xf numFmtId="0" fontId="3" fillId="0" borderId="1" xfId="0" applyFont="1" applyBorder="1" applyAlignment="1">
      <alignment vertical="center" wrapText="1"/>
    </xf>
    <xf numFmtId="0" fontId="3" fillId="0" borderId="1" xfId="0" applyFont="1" applyBorder="1" applyAlignment="1">
      <alignment vertical="center"/>
    </xf>
    <xf numFmtId="164" fontId="3" fillId="0" borderId="1" xfId="0" applyNumberFormat="1" applyFont="1" applyBorder="1" applyAlignment="1">
      <alignment vertical="center"/>
    </xf>
    <xf numFmtId="0" fontId="9" fillId="4" borderId="1" xfId="0" applyFont="1" applyFill="1" applyBorder="1"/>
    <xf numFmtId="164" fontId="9" fillId="4" borderId="1" xfId="0" applyNumberFormat="1" applyFont="1" applyFill="1" applyBorder="1"/>
    <xf numFmtId="0" fontId="14" fillId="0" borderId="0" xfId="0" applyFont="1"/>
    <xf numFmtId="0" fontId="15" fillId="3" borderId="1" xfId="0" applyFont="1" applyFill="1" applyBorder="1" applyAlignment="1">
      <alignment vertical="center"/>
    </xf>
    <xf numFmtId="0" fontId="16" fillId="0" borderId="1" xfId="0" applyFont="1" applyBorder="1" applyAlignment="1">
      <alignment vertical="center"/>
    </xf>
    <xf numFmtId="0" fontId="17" fillId="5" borderId="1" xfId="0" applyFont="1" applyFill="1" applyBorder="1" applyAlignment="1">
      <alignment vertical="center"/>
    </xf>
    <xf numFmtId="0" fontId="18" fillId="6" borderId="1" xfId="0" applyFont="1" applyFill="1" applyBorder="1" applyAlignment="1">
      <alignment vertical="center"/>
    </xf>
    <xf numFmtId="0" fontId="12" fillId="0" borderId="0" xfId="0" applyFont="1" applyAlignment="1">
      <alignment vertical="top" wrapText="1"/>
    </xf>
    <xf numFmtId="0" fontId="19" fillId="0" borderId="0" xfId="0" applyFont="1" applyAlignment="1">
      <alignment vertical="top" wrapText="1"/>
    </xf>
    <xf numFmtId="0" fontId="5" fillId="7" borderId="1" xfId="0" applyFont="1" applyFill="1" applyBorder="1"/>
    <xf numFmtId="0" fontId="21" fillId="0" borderId="1" xfId="0" applyFont="1" applyBorder="1" applyAlignment="1">
      <alignment vertical="top"/>
    </xf>
    <xf numFmtId="0" fontId="8"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3" fillId="3" borderId="1" xfId="0" applyFont="1" applyFill="1" applyBorder="1" applyAlignment="1">
      <alignment vertical="center"/>
    </xf>
    <xf numFmtId="0" fontId="6" fillId="4" borderId="1" xfId="0" applyFont="1" applyFill="1" applyBorder="1" applyAlignment="1">
      <alignment vertical="center"/>
    </xf>
    <xf numFmtId="0" fontId="6" fillId="4" borderId="1" xfId="0" applyFont="1" applyFill="1" applyBorder="1" applyAlignment="1">
      <alignment vertical="center" wrapText="1"/>
    </xf>
    <xf numFmtId="0" fontId="6" fillId="3" borderId="1" xfId="0" applyFont="1" applyFill="1" applyBorder="1" applyAlignment="1">
      <alignment vertical="center"/>
    </xf>
    <xf numFmtId="0" fontId="6" fillId="3" borderId="1" xfId="0" applyFont="1" applyFill="1" applyBorder="1" applyAlignment="1">
      <alignment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10" fillId="0" borderId="1" xfId="0" applyFont="1" applyBorder="1" applyAlignment="1">
      <alignment vertical="center"/>
    </xf>
    <xf numFmtId="0" fontId="11" fillId="0" borderId="0" xfId="0" applyFont="1" applyAlignment="1">
      <alignment vertical="center"/>
    </xf>
    <xf numFmtId="0" fontId="6" fillId="0" borderId="0" xfId="0" applyFont="1" applyAlignment="1">
      <alignment vertical="center"/>
    </xf>
    <xf numFmtId="0" fontId="12" fillId="0" borderId="0" xfId="0" applyFont="1" applyAlignment="1">
      <alignment vertical="center"/>
    </xf>
    <xf numFmtId="0" fontId="0" fillId="0" borderId="0" xfId="0" applyAlignment="1">
      <alignment horizontal="center" vertical="center"/>
    </xf>
    <xf numFmtId="0" fontId="6" fillId="4" borderId="1" xfId="0" applyFont="1" applyFill="1" applyBorder="1" applyAlignment="1">
      <alignment horizontal="center" vertical="center" wrapText="1"/>
    </xf>
    <xf numFmtId="0" fontId="6" fillId="0" borderId="1" xfId="0" applyFont="1" applyBorder="1" applyAlignment="1">
      <alignment horizontal="center" vertical="center" wrapText="1"/>
    </xf>
  </cellXfs>
  <cellStyles count="1">
    <cellStyle name="Normal" xfId="0" builtinId="0"/>
  </cellStyles>
  <dxfs count="8">
    <dxf>
      <font>
        <b/>
        <sz val="9"/>
        <color rgb="FF9C0006"/>
        <name val="Arial"/>
        <charset val="1"/>
      </font>
      <fill>
        <patternFill>
          <bgColor rgb="FFFFC7CE"/>
        </patternFill>
      </fill>
    </dxf>
    <dxf>
      <font>
        <sz val="9"/>
        <color rgb="FF9C0006"/>
        <name val="Arial"/>
        <charset val="1"/>
      </font>
      <fill>
        <patternFill>
          <bgColor rgb="FFFFC7CE"/>
        </patternFill>
      </fill>
    </dxf>
    <dxf>
      <font>
        <sz val="9"/>
        <color rgb="FF9C5700"/>
        <name val="Arial"/>
        <charset val="1"/>
      </font>
      <fill>
        <patternFill>
          <bgColor rgb="FFFFEB9C"/>
        </patternFill>
      </fill>
    </dxf>
    <dxf>
      <font>
        <sz val="9"/>
        <color rgb="FF9C0006"/>
        <name val="Arial"/>
        <charset val="1"/>
      </font>
      <fill>
        <patternFill>
          <bgColor rgb="FFFFC7CE"/>
        </patternFill>
      </fill>
    </dxf>
    <dxf>
      <font>
        <sz val="9"/>
        <color rgb="FF006100"/>
        <name val="Arial"/>
        <charset val="1"/>
      </font>
      <fill>
        <patternFill>
          <bgColor rgb="FFC6EFCE"/>
        </patternFill>
      </fill>
    </dxf>
    <dxf>
      <font>
        <sz val="9"/>
        <color rgb="FF7F6000"/>
        <name val="Arial"/>
        <charset val="1"/>
      </font>
      <fill>
        <patternFill>
          <bgColor rgb="FFFFF2CC"/>
        </patternFill>
      </fill>
    </dxf>
    <dxf>
      <font>
        <sz val="9"/>
        <color rgb="FF9C5700"/>
        <name val="Arial"/>
        <charset val="1"/>
      </font>
      <fill>
        <patternFill>
          <bgColor rgb="FFFFEB9C"/>
        </patternFill>
      </fill>
    </dxf>
    <dxf>
      <font>
        <b/>
        <sz val="9"/>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7DB1"/>
      <rgbColor rgb="FF969696"/>
      <rgbColor rgb="FF1F3864"/>
      <rgbColor rgb="FF339966"/>
      <rgbColor rgb="FF003300"/>
      <rgbColor rgb="FF333300"/>
      <rgbColor rgb="FF9C57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0"/>
  <sheetViews>
    <sheetView showGridLines="0" zoomScaleNormal="100" workbookViewId="0"/>
  </sheetViews>
  <sheetFormatPr baseColWidth="10" defaultColWidth="8.7109375" defaultRowHeight="15" x14ac:dyDescent="0.25"/>
  <cols>
    <col min="1" max="1" width="22" customWidth="1"/>
    <col min="2" max="2" width="34" customWidth="1"/>
    <col min="3" max="3" width="20" customWidth="1"/>
    <col min="4" max="4" width="14" customWidth="1"/>
    <col min="5" max="5" width="10" customWidth="1"/>
    <col min="6" max="6" width="60" customWidth="1"/>
  </cols>
  <sheetData>
    <row r="1" spans="1:1" ht="19.5" x14ac:dyDescent="0.3">
      <c r="A1" s="3" t="s">
        <v>0</v>
      </c>
    </row>
    <row r="2" spans="1:1" x14ac:dyDescent="0.25">
      <c r="A2" s="4" t="s">
        <v>1</v>
      </c>
    </row>
    <row r="3" spans="1:1" x14ac:dyDescent="0.25">
      <c r="A3" s="5"/>
    </row>
    <row r="4" spans="1:1" x14ac:dyDescent="0.25">
      <c r="A4" s="6" t="s">
        <v>2</v>
      </c>
    </row>
    <row r="5" spans="1:1" x14ac:dyDescent="0.25">
      <c r="A5" s="5" t="s">
        <v>3</v>
      </c>
    </row>
    <row r="6" spans="1:1" x14ac:dyDescent="0.25">
      <c r="A6" s="5" t="s">
        <v>4</v>
      </c>
    </row>
    <row r="7" spans="1:1" x14ac:dyDescent="0.25">
      <c r="A7" s="5" t="s">
        <v>5</v>
      </c>
    </row>
    <row r="8" spans="1:1" x14ac:dyDescent="0.25">
      <c r="A8" s="5" t="s">
        <v>6</v>
      </c>
    </row>
    <row r="9" spans="1:1" x14ac:dyDescent="0.25">
      <c r="A9" s="5" t="s">
        <v>7</v>
      </c>
    </row>
    <row r="10" spans="1:1" x14ac:dyDescent="0.25">
      <c r="A10" s="5" t="s">
        <v>8</v>
      </c>
    </row>
    <row r="11" spans="1:1" x14ac:dyDescent="0.25">
      <c r="A11" s="5" t="s">
        <v>9</v>
      </c>
    </row>
    <row r="12" spans="1:1" x14ac:dyDescent="0.25">
      <c r="A12" s="5" t="s">
        <v>10</v>
      </c>
    </row>
    <row r="13" spans="1:1" x14ac:dyDescent="0.25">
      <c r="A13" s="5" t="s">
        <v>11</v>
      </c>
    </row>
    <row r="14" spans="1:1" x14ac:dyDescent="0.25">
      <c r="A14" s="5" t="s">
        <v>12</v>
      </c>
    </row>
    <row r="15" spans="1:1" x14ac:dyDescent="0.25">
      <c r="A15" s="5"/>
    </row>
    <row r="16" spans="1:1" x14ac:dyDescent="0.25">
      <c r="A16" s="6" t="s">
        <v>13</v>
      </c>
    </row>
    <row r="17" spans="1:1" x14ac:dyDescent="0.25">
      <c r="A17" s="5" t="s">
        <v>14</v>
      </c>
    </row>
    <row r="18" spans="1:1" x14ac:dyDescent="0.25">
      <c r="A18" s="5" t="s">
        <v>15</v>
      </c>
    </row>
    <row r="19" spans="1:1" x14ac:dyDescent="0.25">
      <c r="A19" s="5" t="s">
        <v>16</v>
      </c>
    </row>
    <row r="20" spans="1:1" x14ac:dyDescent="0.25">
      <c r="A20" s="5" t="s">
        <v>17</v>
      </c>
    </row>
    <row r="21" spans="1:1" x14ac:dyDescent="0.25">
      <c r="A21" s="5" t="s">
        <v>18</v>
      </c>
    </row>
    <row r="22" spans="1:1" x14ac:dyDescent="0.25">
      <c r="A22" s="5" t="s">
        <v>19</v>
      </c>
    </row>
    <row r="23" spans="1:1" x14ac:dyDescent="0.25">
      <c r="A23" s="5" t="s">
        <v>20</v>
      </c>
    </row>
    <row r="24" spans="1:1" x14ac:dyDescent="0.25">
      <c r="A24" s="5" t="s">
        <v>21</v>
      </c>
    </row>
    <row r="25" spans="1:1" x14ac:dyDescent="0.25">
      <c r="A25" s="5" t="s">
        <v>22</v>
      </c>
    </row>
    <row r="26" spans="1:1" x14ac:dyDescent="0.25">
      <c r="A26" s="5"/>
    </row>
    <row r="27" spans="1:1" x14ac:dyDescent="0.25">
      <c r="A27" s="6" t="s">
        <v>23</v>
      </c>
    </row>
    <row r="28" spans="1:1" x14ac:dyDescent="0.25">
      <c r="A28" s="5" t="s">
        <v>24</v>
      </c>
    </row>
    <row r="29" spans="1:1" x14ac:dyDescent="0.25">
      <c r="A29" s="5" t="s">
        <v>25</v>
      </c>
    </row>
    <row r="30" spans="1:1" x14ac:dyDescent="0.25">
      <c r="A30" s="5" t="s">
        <v>26</v>
      </c>
    </row>
    <row r="31" spans="1:1" x14ac:dyDescent="0.25">
      <c r="A31" s="5" t="s">
        <v>27</v>
      </c>
    </row>
    <row r="32" spans="1:1" x14ac:dyDescent="0.25">
      <c r="A32" s="5" t="s">
        <v>28</v>
      </c>
    </row>
    <row r="33" spans="1:1" x14ac:dyDescent="0.25">
      <c r="A33" s="5" t="s">
        <v>29</v>
      </c>
    </row>
    <row r="34" spans="1:1" x14ac:dyDescent="0.25">
      <c r="A34" s="5" t="s">
        <v>30</v>
      </c>
    </row>
    <row r="35" spans="1:1" x14ac:dyDescent="0.25">
      <c r="A35" s="5" t="s">
        <v>31</v>
      </c>
    </row>
    <row r="36" spans="1:1" x14ac:dyDescent="0.25">
      <c r="A36" s="5" t="s">
        <v>32</v>
      </c>
    </row>
    <row r="37" spans="1:1" x14ac:dyDescent="0.25">
      <c r="A37" s="5" t="s">
        <v>33</v>
      </c>
    </row>
    <row r="38" spans="1:1" x14ac:dyDescent="0.25">
      <c r="A38" s="5" t="s">
        <v>34</v>
      </c>
    </row>
    <row r="39" spans="1:1" x14ac:dyDescent="0.25">
      <c r="A39" s="5" t="s">
        <v>35</v>
      </c>
    </row>
    <row r="40" spans="1:1" x14ac:dyDescent="0.25">
      <c r="A40" s="5" t="s">
        <v>36</v>
      </c>
    </row>
    <row r="41" spans="1:1" x14ac:dyDescent="0.25">
      <c r="A41" s="5" t="s">
        <v>37</v>
      </c>
    </row>
    <row r="42" spans="1:1" x14ac:dyDescent="0.25">
      <c r="A42" s="5" t="s">
        <v>38</v>
      </c>
    </row>
    <row r="43" spans="1:1" x14ac:dyDescent="0.25">
      <c r="A43" s="5" t="s">
        <v>39</v>
      </c>
    </row>
    <row r="44" spans="1:1" x14ac:dyDescent="0.25">
      <c r="A44" s="5" t="s">
        <v>40</v>
      </c>
    </row>
    <row r="45" spans="1:1" x14ac:dyDescent="0.25">
      <c r="A45" s="5" t="s">
        <v>41</v>
      </c>
    </row>
    <row r="46" spans="1:1" x14ac:dyDescent="0.25">
      <c r="A46" s="5"/>
    </row>
    <row r="47" spans="1:1" x14ac:dyDescent="0.25">
      <c r="A47" s="6" t="s">
        <v>42</v>
      </c>
    </row>
    <row r="48" spans="1:1" x14ac:dyDescent="0.25">
      <c r="A48" s="5" t="s">
        <v>43</v>
      </c>
    </row>
    <row r="49" spans="1:1" x14ac:dyDescent="0.25">
      <c r="A49" s="5" t="s">
        <v>44</v>
      </c>
    </row>
    <row r="50" spans="1:1" x14ac:dyDescent="0.25">
      <c r="A50" s="5" t="s">
        <v>45</v>
      </c>
    </row>
    <row r="51" spans="1:1" x14ac:dyDescent="0.25">
      <c r="A51" s="5" t="s">
        <v>46</v>
      </c>
    </row>
    <row r="52" spans="1:1" x14ac:dyDescent="0.25">
      <c r="A52" s="5" t="s">
        <v>47</v>
      </c>
    </row>
    <row r="53" spans="1:1" x14ac:dyDescent="0.25">
      <c r="A53" s="5" t="s">
        <v>48</v>
      </c>
    </row>
    <row r="54" spans="1:1" x14ac:dyDescent="0.25">
      <c r="A54" s="5" t="s">
        <v>49</v>
      </c>
    </row>
    <row r="55" spans="1:1" x14ac:dyDescent="0.25">
      <c r="A55" s="5" t="s">
        <v>50</v>
      </c>
    </row>
    <row r="56" spans="1:1" x14ac:dyDescent="0.25">
      <c r="A56" s="5" t="s">
        <v>51</v>
      </c>
    </row>
    <row r="57" spans="1:1" x14ac:dyDescent="0.25">
      <c r="A57" s="5" t="s">
        <v>52</v>
      </c>
    </row>
    <row r="58" spans="1:1" x14ac:dyDescent="0.25">
      <c r="A58" s="5" t="s">
        <v>53</v>
      </c>
    </row>
    <row r="59" spans="1:1" x14ac:dyDescent="0.25">
      <c r="A59" s="5" t="s">
        <v>54</v>
      </c>
    </row>
    <row r="60" spans="1:1" x14ac:dyDescent="0.25">
      <c r="A60" s="5" t="s">
        <v>55</v>
      </c>
    </row>
    <row r="61" spans="1:1" x14ac:dyDescent="0.25">
      <c r="A61" s="5"/>
    </row>
    <row r="62" spans="1:1" x14ac:dyDescent="0.25">
      <c r="A62" s="6" t="s">
        <v>56</v>
      </c>
    </row>
    <row r="63" spans="1:1" x14ac:dyDescent="0.25">
      <c r="A63" s="5" t="s">
        <v>57</v>
      </c>
    </row>
    <row r="64" spans="1:1" x14ac:dyDescent="0.25">
      <c r="A64" s="5" t="s">
        <v>58</v>
      </c>
    </row>
    <row r="65" spans="1:1" x14ac:dyDescent="0.25">
      <c r="A65" s="5" t="s">
        <v>59</v>
      </c>
    </row>
    <row r="66" spans="1:1" x14ac:dyDescent="0.25">
      <c r="A66" s="5" t="s">
        <v>60</v>
      </c>
    </row>
    <row r="67" spans="1:1" x14ac:dyDescent="0.25">
      <c r="A67" s="5" t="s">
        <v>61</v>
      </c>
    </row>
    <row r="68" spans="1:1" x14ac:dyDescent="0.25">
      <c r="A68" s="5" t="s">
        <v>62</v>
      </c>
    </row>
    <row r="69" spans="1:1" x14ac:dyDescent="0.25">
      <c r="A69" s="5" t="s">
        <v>63</v>
      </c>
    </row>
    <row r="70" spans="1:1" x14ac:dyDescent="0.25">
      <c r="A70" s="5" t="s">
        <v>64</v>
      </c>
    </row>
    <row r="71" spans="1:1" x14ac:dyDescent="0.25">
      <c r="A71" s="5"/>
    </row>
    <row r="72" spans="1:1" x14ac:dyDescent="0.25">
      <c r="A72" s="6" t="s">
        <v>65</v>
      </c>
    </row>
    <row r="73" spans="1:1" x14ac:dyDescent="0.25">
      <c r="A73" s="5" t="s">
        <v>66</v>
      </c>
    </row>
    <row r="74" spans="1:1" x14ac:dyDescent="0.25">
      <c r="A74" s="5" t="s">
        <v>67</v>
      </c>
    </row>
    <row r="75" spans="1:1" x14ac:dyDescent="0.25">
      <c r="A75" s="5" t="s">
        <v>68</v>
      </c>
    </row>
    <row r="76" spans="1:1" x14ac:dyDescent="0.25">
      <c r="A76" s="5" t="s">
        <v>69</v>
      </c>
    </row>
    <row r="77" spans="1:1" x14ac:dyDescent="0.25">
      <c r="A77" s="5" t="s">
        <v>70</v>
      </c>
    </row>
    <row r="78" spans="1:1" x14ac:dyDescent="0.25">
      <c r="A78" s="5" t="s">
        <v>71</v>
      </c>
    </row>
    <row r="79" spans="1:1" x14ac:dyDescent="0.25">
      <c r="A79" s="5" t="s">
        <v>72</v>
      </c>
    </row>
    <row r="80" spans="1:1" x14ac:dyDescent="0.25">
      <c r="A80" s="5" t="s">
        <v>73</v>
      </c>
    </row>
    <row r="81" spans="1:1" x14ac:dyDescent="0.25">
      <c r="A81" s="5" t="s">
        <v>74</v>
      </c>
    </row>
    <row r="82" spans="1:1" x14ac:dyDescent="0.25">
      <c r="A82" s="5" t="s">
        <v>75</v>
      </c>
    </row>
    <row r="83" spans="1:1" x14ac:dyDescent="0.25">
      <c r="A83" s="5" t="s">
        <v>76</v>
      </c>
    </row>
    <row r="84" spans="1:1" x14ac:dyDescent="0.25">
      <c r="A84" s="5"/>
    </row>
    <row r="85" spans="1:1" x14ac:dyDescent="0.25">
      <c r="A85" s="6" t="s">
        <v>77</v>
      </c>
    </row>
    <row r="86" spans="1:1" x14ac:dyDescent="0.25">
      <c r="A86" s="5" t="s">
        <v>78</v>
      </c>
    </row>
    <row r="87" spans="1:1" x14ac:dyDescent="0.25">
      <c r="A87" s="5" t="s">
        <v>79</v>
      </c>
    </row>
    <row r="88" spans="1:1" x14ac:dyDescent="0.25">
      <c r="A88" s="5" t="s">
        <v>80</v>
      </c>
    </row>
    <row r="89" spans="1:1" x14ac:dyDescent="0.25">
      <c r="A89" s="5" t="s">
        <v>81</v>
      </c>
    </row>
    <row r="90" spans="1:1" x14ac:dyDescent="0.25">
      <c r="A90" s="5" t="s">
        <v>82</v>
      </c>
    </row>
    <row r="91" spans="1:1" x14ac:dyDescent="0.25">
      <c r="A91" s="5"/>
    </row>
    <row r="92" spans="1:1" x14ac:dyDescent="0.25">
      <c r="A92" s="6" t="s">
        <v>83</v>
      </c>
    </row>
    <row r="93" spans="1:1" x14ac:dyDescent="0.25">
      <c r="A93" s="5" t="s">
        <v>84</v>
      </c>
    </row>
    <row r="94" spans="1:1" x14ac:dyDescent="0.25">
      <c r="A94" s="5" t="s">
        <v>85</v>
      </c>
    </row>
    <row r="95" spans="1:1" x14ac:dyDescent="0.25">
      <c r="A95" s="5" t="s">
        <v>86</v>
      </c>
    </row>
    <row r="96" spans="1:1" x14ac:dyDescent="0.25">
      <c r="A96" s="5" t="s">
        <v>87</v>
      </c>
    </row>
    <row r="97" spans="1:1" x14ac:dyDescent="0.25">
      <c r="A97" s="5" t="s">
        <v>88</v>
      </c>
    </row>
    <row r="98" spans="1:1" x14ac:dyDescent="0.25">
      <c r="A98" s="5" t="s">
        <v>89</v>
      </c>
    </row>
    <row r="99" spans="1:1" x14ac:dyDescent="0.25">
      <c r="A99" s="5" t="s">
        <v>90</v>
      </c>
    </row>
    <row r="100" spans="1:1" x14ac:dyDescent="0.25">
      <c r="A100" s="5" t="s">
        <v>91</v>
      </c>
    </row>
    <row r="101" spans="1:1" x14ac:dyDescent="0.25">
      <c r="A101" s="5" t="s">
        <v>92</v>
      </c>
    </row>
    <row r="102" spans="1:1" x14ac:dyDescent="0.25">
      <c r="A102" s="5" t="s">
        <v>93</v>
      </c>
    </row>
    <row r="103" spans="1:1" x14ac:dyDescent="0.25">
      <c r="A103" s="5" t="s">
        <v>94</v>
      </c>
    </row>
    <row r="104" spans="1:1" x14ac:dyDescent="0.25">
      <c r="A104" s="5" t="s">
        <v>95</v>
      </c>
    </row>
    <row r="105" spans="1:1" x14ac:dyDescent="0.25">
      <c r="A105" s="5" t="s">
        <v>96</v>
      </c>
    </row>
    <row r="106" spans="1:1" x14ac:dyDescent="0.25">
      <c r="A106" s="5"/>
    </row>
    <row r="107" spans="1:1" x14ac:dyDescent="0.25">
      <c r="A107" s="6" t="s">
        <v>97</v>
      </c>
    </row>
    <row r="108" spans="1:1" x14ac:dyDescent="0.25">
      <c r="A108" s="5" t="s">
        <v>98</v>
      </c>
    </row>
    <row r="109" spans="1:1" x14ac:dyDescent="0.25">
      <c r="A109" s="5" t="s">
        <v>99</v>
      </c>
    </row>
    <row r="110" spans="1:1" x14ac:dyDescent="0.25">
      <c r="A110" s="5" t="s">
        <v>100</v>
      </c>
    </row>
    <row r="111" spans="1:1" x14ac:dyDescent="0.25">
      <c r="A111" s="5" t="s">
        <v>101</v>
      </c>
    </row>
    <row r="112" spans="1:1" x14ac:dyDescent="0.25">
      <c r="A112" s="5"/>
    </row>
    <row r="113" spans="1:1" x14ac:dyDescent="0.25">
      <c r="A113" s="5" t="s">
        <v>102</v>
      </c>
    </row>
    <row r="114" spans="1:1" x14ac:dyDescent="0.25">
      <c r="A114" s="5" t="s">
        <v>103</v>
      </c>
    </row>
    <row r="115" spans="1:1" x14ac:dyDescent="0.25">
      <c r="A115" s="5"/>
    </row>
    <row r="116" spans="1:1" x14ac:dyDescent="0.25">
      <c r="A116" s="6" t="s">
        <v>104</v>
      </c>
    </row>
    <row r="117" spans="1:1" x14ac:dyDescent="0.25">
      <c r="A117" s="5"/>
    </row>
    <row r="118" spans="1:1" x14ac:dyDescent="0.25">
      <c r="A118" s="6" t="s">
        <v>105</v>
      </c>
    </row>
    <row r="119" spans="1:1" x14ac:dyDescent="0.25">
      <c r="A119" s="5" t="s">
        <v>106</v>
      </c>
    </row>
    <row r="120" spans="1:1" x14ac:dyDescent="0.25">
      <c r="A120" s="5" t="s">
        <v>107</v>
      </c>
    </row>
    <row r="121" spans="1:1" x14ac:dyDescent="0.25">
      <c r="A121" s="5" t="s">
        <v>108</v>
      </c>
    </row>
    <row r="122" spans="1:1" x14ac:dyDescent="0.25">
      <c r="A122" s="5" t="s">
        <v>109</v>
      </c>
    </row>
    <row r="123" spans="1:1" x14ac:dyDescent="0.25">
      <c r="A123" s="5" t="s">
        <v>110</v>
      </c>
    </row>
    <row r="124" spans="1:1" x14ac:dyDescent="0.25">
      <c r="A124" s="5" t="s">
        <v>111</v>
      </c>
    </row>
    <row r="125" spans="1:1" x14ac:dyDescent="0.25">
      <c r="A125" s="5" t="s">
        <v>112</v>
      </c>
    </row>
    <row r="126" spans="1:1" x14ac:dyDescent="0.25">
      <c r="A126" s="5" t="s">
        <v>113</v>
      </c>
    </row>
    <row r="127" spans="1:1" x14ac:dyDescent="0.25">
      <c r="A127" s="5" t="s">
        <v>114</v>
      </c>
    </row>
    <row r="128" spans="1:1" x14ac:dyDescent="0.25">
      <c r="A128" s="5" t="s">
        <v>115</v>
      </c>
    </row>
    <row r="129" spans="1:6" x14ac:dyDescent="0.25">
      <c r="A129" s="7" t="s">
        <v>116</v>
      </c>
      <c r="B129" s="7" t="s">
        <v>117</v>
      </c>
      <c r="C129" s="7" t="s">
        <v>118</v>
      </c>
      <c r="D129" s="7" t="s">
        <v>119</v>
      </c>
      <c r="E129" s="7" t="s">
        <v>120</v>
      </c>
      <c r="F129" s="7" t="s">
        <v>121</v>
      </c>
    </row>
    <row r="130" spans="1:6" x14ac:dyDescent="0.25">
      <c r="A130" s="8" t="s">
        <v>122</v>
      </c>
      <c r="B130" s="8" t="s">
        <v>123</v>
      </c>
      <c r="C130" s="8" t="s">
        <v>124</v>
      </c>
      <c r="D130" s="8">
        <v>2.4500000000000002</v>
      </c>
      <c r="E130" s="8" t="s">
        <v>125</v>
      </c>
      <c r="F130" s="8" t="s">
        <v>126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zoomScaleNormal="100" workbookViewId="0"/>
  </sheetViews>
  <sheetFormatPr baseColWidth="10" defaultColWidth="8.7109375" defaultRowHeight="15" x14ac:dyDescent="0.25"/>
  <cols>
    <col min="1" max="1" width="22" customWidth="1"/>
    <col min="2" max="2" width="16" customWidth="1"/>
    <col min="3" max="3" width="14" customWidth="1"/>
    <col min="4" max="4" width="16" customWidth="1"/>
  </cols>
  <sheetData>
    <row r="1" spans="1:4" x14ac:dyDescent="0.25">
      <c r="A1" s="9" t="s">
        <v>118</v>
      </c>
      <c r="B1" s="9" t="s">
        <v>127</v>
      </c>
      <c r="C1" s="9" t="s">
        <v>128</v>
      </c>
      <c r="D1" s="9" t="s">
        <v>129</v>
      </c>
    </row>
    <row r="2" spans="1:4" x14ac:dyDescent="0.25">
      <c r="A2" s="5" t="s">
        <v>130</v>
      </c>
      <c r="B2" s="5" t="s">
        <v>125</v>
      </c>
      <c r="C2" s="5" t="s">
        <v>125</v>
      </c>
      <c r="D2" s="5" t="s">
        <v>131</v>
      </c>
    </row>
    <row r="3" spans="1:4" x14ac:dyDescent="0.25">
      <c r="A3" s="5" t="s">
        <v>132</v>
      </c>
      <c r="B3" s="5" t="s">
        <v>133</v>
      </c>
      <c r="C3" s="5" t="s">
        <v>133</v>
      </c>
      <c r="D3" s="5" t="s">
        <v>134</v>
      </c>
    </row>
    <row r="4" spans="1:4" x14ac:dyDescent="0.25">
      <c r="A4" s="5" t="s">
        <v>124</v>
      </c>
      <c r="B4" s="5" t="s">
        <v>135</v>
      </c>
      <c r="D4" s="5" t="s">
        <v>136</v>
      </c>
    </row>
    <row r="5" spans="1:4" x14ac:dyDescent="0.25">
      <c r="A5" s="5" t="s">
        <v>135</v>
      </c>
    </row>
    <row r="6" spans="1:4" x14ac:dyDescent="0.25">
      <c r="A6" s="5" t="s">
        <v>137</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19"/>
  <sheetViews>
    <sheetView showGridLines="0" zoomScaleNormal="100" workbookViewId="0">
      <pane xSplit="4" ySplit="8" topLeftCell="J9" activePane="bottomRight" state="frozen"/>
      <selection pane="topRight" activeCell="E1" sqref="E1"/>
      <selection pane="bottomLeft" activeCell="A9" sqref="A9"/>
      <selection pane="bottomRight" activeCell="O9" sqref="O9"/>
    </sheetView>
  </sheetViews>
  <sheetFormatPr baseColWidth="10" defaultColWidth="8.7109375" defaultRowHeight="15" outlineLevelRow="1" x14ac:dyDescent="0.25"/>
  <cols>
    <col min="1" max="1" width="8" style="31" customWidth="1"/>
    <col min="2" max="2" width="26" style="31" customWidth="1"/>
    <col min="3" max="4" width="30" style="31" customWidth="1"/>
    <col min="5" max="5" width="38" style="31" customWidth="1"/>
    <col min="6" max="6" width="52" style="31" customWidth="1"/>
    <col min="7" max="7" width="10" style="44" customWidth="1"/>
    <col min="8" max="8" width="8" style="44" customWidth="1"/>
    <col min="9" max="9" width="38" style="31" customWidth="1"/>
    <col min="10" max="11" width="9" style="31" customWidth="1"/>
    <col min="12" max="12" width="11" style="31" customWidth="1"/>
    <col min="13" max="13" width="18" style="31" customWidth="1"/>
    <col min="14" max="14" width="60" style="31" customWidth="1"/>
    <col min="15" max="15" width="24" style="31" customWidth="1"/>
    <col min="16" max="16" width="46" style="31" customWidth="1"/>
    <col min="17" max="17" width="14" style="31" customWidth="1"/>
    <col min="18" max="18" width="20" style="31" customWidth="1"/>
    <col min="19" max="19" width="24" style="31" customWidth="1"/>
    <col min="20" max="20" width="19" style="31" customWidth="1"/>
    <col min="21" max="21" width="13" style="31" customWidth="1"/>
    <col min="22" max="22" width="16" style="31" customWidth="1"/>
    <col min="23" max="23" width="12" style="31" customWidth="1"/>
    <col min="24" max="24" width="40" style="31" customWidth="1"/>
    <col min="25" max="16384" width="8.7109375" style="31"/>
  </cols>
  <sheetData>
    <row r="1" spans="1:24" ht="18" x14ac:dyDescent="0.25">
      <c r="A1" s="30" t="s">
        <v>138</v>
      </c>
    </row>
    <row r="3" spans="1:24" x14ac:dyDescent="0.25">
      <c r="A3" s="32" t="s">
        <v>139</v>
      </c>
      <c r="B3" s="33"/>
      <c r="D3" s="32" t="s">
        <v>140</v>
      </c>
      <c r="E3" s="33"/>
    </row>
    <row r="4" spans="1:24" x14ac:dyDescent="0.25">
      <c r="A4" s="32" t="s">
        <v>141</v>
      </c>
      <c r="B4" s="33"/>
      <c r="D4" s="32" t="s">
        <v>142</v>
      </c>
      <c r="E4" s="33"/>
    </row>
    <row r="5" spans="1:24" x14ac:dyDescent="0.25">
      <c r="A5" s="32" t="s">
        <v>143</v>
      </c>
      <c r="B5" s="33" t="s">
        <v>144</v>
      </c>
      <c r="D5" s="32" t="s">
        <v>145</v>
      </c>
      <c r="E5" s="33"/>
    </row>
    <row r="6" spans="1:24" x14ac:dyDescent="0.25">
      <c r="A6" s="32" t="s">
        <v>146</v>
      </c>
      <c r="B6" s="33"/>
      <c r="D6" s="32" t="s">
        <v>147</v>
      </c>
      <c r="E6" s="33"/>
    </row>
    <row r="8" spans="1:24" ht="31.5" customHeight="1" x14ac:dyDescent="0.25">
      <c r="A8" s="11" t="s">
        <v>116</v>
      </c>
      <c r="B8" s="11" t="s">
        <v>148</v>
      </c>
      <c r="C8" s="11" t="s">
        <v>149</v>
      </c>
      <c r="D8" s="11" t="s">
        <v>150</v>
      </c>
      <c r="E8" s="11" t="s">
        <v>151</v>
      </c>
      <c r="F8" s="11" t="s">
        <v>152</v>
      </c>
      <c r="G8" s="11" t="s">
        <v>153</v>
      </c>
      <c r="H8" s="11" t="s">
        <v>154</v>
      </c>
      <c r="I8" s="11" t="s">
        <v>155</v>
      </c>
      <c r="J8" s="11" t="s">
        <v>156</v>
      </c>
      <c r="K8" s="11" t="s">
        <v>157</v>
      </c>
      <c r="L8" s="11" t="s">
        <v>128</v>
      </c>
      <c r="M8" s="11" t="s">
        <v>129</v>
      </c>
      <c r="N8" s="11" t="s">
        <v>158</v>
      </c>
      <c r="O8" s="11" t="s">
        <v>159</v>
      </c>
      <c r="P8" s="11" t="s">
        <v>160</v>
      </c>
      <c r="Q8" s="11" t="s">
        <v>161</v>
      </c>
      <c r="R8" s="11" t="s">
        <v>162</v>
      </c>
      <c r="S8" s="11" t="s">
        <v>163</v>
      </c>
      <c r="T8" s="11" t="s">
        <v>118</v>
      </c>
      <c r="U8" s="11" t="s">
        <v>119</v>
      </c>
      <c r="V8" s="11" t="s">
        <v>164</v>
      </c>
      <c r="W8" s="11" t="s">
        <v>127</v>
      </c>
      <c r="X8" s="11" t="s">
        <v>121</v>
      </c>
    </row>
    <row r="9" spans="1:24" ht="48" x14ac:dyDescent="0.25">
      <c r="A9" s="34" t="s">
        <v>165</v>
      </c>
      <c r="B9" s="34" t="s">
        <v>166</v>
      </c>
      <c r="C9" s="34" t="s">
        <v>167</v>
      </c>
      <c r="D9" s="34" t="s">
        <v>168</v>
      </c>
      <c r="E9" s="35" t="s">
        <v>169</v>
      </c>
      <c r="F9" s="35" t="s">
        <v>170</v>
      </c>
      <c r="G9" s="45" t="s">
        <v>171</v>
      </c>
      <c r="H9" s="45"/>
      <c r="I9" s="35" t="s">
        <v>172</v>
      </c>
      <c r="J9" s="34"/>
      <c r="K9" s="34"/>
      <c r="L9" s="34" t="s">
        <v>125</v>
      </c>
      <c r="M9" s="34" t="s">
        <v>136</v>
      </c>
      <c r="N9" s="35" t="s">
        <v>173</v>
      </c>
      <c r="O9" s="34" t="s">
        <v>174</v>
      </c>
      <c r="P9" s="35" t="s">
        <v>175</v>
      </c>
      <c r="Q9" s="34" t="s">
        <v>133</v>
      </c>
      <c r="R9" s="34"/>
      <c r="S9" s="34" t="s">
        <v>176</v>
      </c>
      <c r="T9" s="36" t="s">
        <v>137</v>
      </c>
      <c r="U9" s="36"/>
      <c r="V9" s="34" t="str">
        <f t="shared" ref="V9:V40" si="0">IF($G9&lt;&gt;"Numérico","",IF($U9="","Sin dato",IF(AND(OR(NOT(ISNUMBER($J9)),$U9&gt;=$J9),OR(NOT(ISNUMBER($K9)),$U9&lt;=$K9)),"Dentro de rango","Fuera de rango")))</f>
        <v/>
      </c>
      <c r="W9" s="36"/>
      <c r="X9" s="37"/>
    </row>
    <row r="10" spans="1:24" ht="36" outlineLevel="1" x14ac:dyDescent="0.25">
      <c r="A10" s="38" t="s">
        <v>177</v>
      </c>
      <c r="B10" s="38" t="s">
        <v>166</v>
      </c>
      <c r="C10" s="38" t="s">
        <v>167</v>
      </c>
      <c r="D10" s="38" t="s">
        <v>178</v>
      </c>
      <c r="E10" s="39" t="s">
        <v>179</v>
      </c>
      <c r="F10" s="39" t="s">
        <v>180</v>
      </c>
      <c r="G10" s="46" t="s">
        <v>171</v>
      </c>
      <c r="H10" s="46"/>
      <c r="I10" s="39" t="s">
        <v>181</v>
      </c>
      <c r="J10" s="38"/>
      <c r="K10" s="38"/>
      <c r="L10" s="38" t="s">
        <v>125</v>
      </c>
      <c r="M10" s="38" t="s">
        <v>136</v>
      </c>
      <c r="N10" s="39" t="s">
        <v>182</v>
      </c>
      <c r="O10" s="38" t="s">
        <v>165</v>
      </c>
      <c r="P10" s="39" t="s">
        <v>183</v>
      </c>
      <c r="Q10" s="38" t="s">
        <v>133</v>
      </c>
      <c r="R10" s="38"/>
      <c r="S10" s="38" t="s">
        <v>176</v>
      </c>
      <c r="T10" s="36" t="s">
        <v>137</v>
      </c>
      <c r="U10" s="36"/>
      <c r="V10" s="38" t="str">
        <f t="shared" si="0"/>
        <v/>
      </c>
      <c r="W10" s="36"/>
      <c r="X10" s="37"/>
    </row>
    <row r="11" spans="1:24" ht="48" outlineLevel="1" x14ac:dyDescent="0.25">
      <c r="A11" s="38" t="s">
        <v>184</v>
      </c>
      <c r="B11" s="38" t="s">
        <v>166</v>
      </c>
      <c r="C11" s="38" t="s">
        <v>167</v>
      </c>
      <c r="D11" s="38" t="s">
        <v>185</v>
      </c>
      <c r="E11" s="39" t="s">
        <v>186</v>
      </c>
      <c r="F11" s="39" t="s">
        <v>187</v>
      </c>
      <c r="G11" s="46" t="s">
        <v>188</v>
      </c>
      <c r="H11" s="46"/>
      <c r="I11" s="39" t="s">
        <v>189</v>
      </c>
      <c r="J11" s="38"/>
      <c r="K11" s="38"/>
      <c r="L11" s="38" t="s">
        <v>125</v>
      </c>
      <c r="M11" s="38" t="s">
        <v>131</v>
      </c>
      <c r="N11" s="39" t="s">
        <v>190</v>
      </c>
      <c r="O11" s="38" t="s">
        <v>191</v>
      </c>
      <c r="P11" s="39" t="s">
        <v>192</v>
      </c>
      <c r="Q11" s="38" t="s">
        <v>125</v>
      </c>
      <c r="R11" s="38"/>
      <c r="S11" s="38" t="s">
        <v>193</v>
      </c>
      <c r="T11" s="36" t="s">
        <v>137</v>
      </c>
      <c r="U11" s="36"/>
      <c r="V11" s="38" t="str">
        <f t="shared" si="0"/>
        <v/>
      </c>
      <c r="W11" s="36"/>
      <c r="X11" s="37"/>
    </row>
    <row r="12" spans="1:24" ht="36" outlineLevel="1" x14ac:dyDescent="0.25">
      <c r="A12" s="38" t="s">
        <v>194</v>
      </c>
      <c r="B12" s="38" t="s">
        <v>166</v>
      </c>
      <c r="C12" s="38" t="s">
        <v>195</v>
      </c>
      <c r="D12" s="38" t="s">
        <v>196</v>
      </c>
      <c r="E12" s="39" t="s">
        <v>197</v>
      </c>
      <c r="F12" s="39" t="s">
        <v>198</v>
      </c>
      <c r="G12" s="46" t="s">
        <v>171</v>
      </c>
      <c r="H12" s="46"/>
      <c r="I12" s="39" t="s">
        <v>199</v>
      </c>
      <c r="J12" s="38"/>
      <c r="K12" s="38"/>
      <c r="L12" s="38" t="s">
        <v>125</v>
      </c>
      <c r="M12" s="38" t="s">
        <v>136</v>
      </c>
      <c r="N12" s="39" t="s">
        <v>200</v>
      </c>
      <c r="O12" s="38"/>
      <c r="P12" s="39" t="s">
        <v>201</v>
      </c>
      <c r="Q12" s="38" t="s">
        <v>125</v>
      </c>
      <c r="R12" s="38"/>
      <c r="S12" s="38" t="s">
        <v>202</v>
      </c>
      <c r="T12" s="36" t="s">
        <v>137</v>
      </c>
      <c r="U12" s="36"/>
      <c r="V12" s="38" t="str">
        <f t="shared" si="0"/>
        <v/>
      </c>
      <c r="W12" s="36"/>
      <c r="X12" s="37"/>
    </row>
    <row r="13" spans="1:24" ht="36" outlineLevel="1" x14ac:dyDescent="0.25">
      <c r="A13" s="38" t="s">
        <v>203</v>
      </c>
      <c r="B13" s="38" t="s">
        <v>166</v>
      </c>
      <c r="C13" s="38" t="s">
        <v>195</v>
      </c>
      <c r="D13" s="38" t="s">
        <v>204</v>
      </c>
      <c r="E13" s="39" t="s">
        <v>205</v>
      </c>
      <c r="F13" s="39" t="s">
        <v>206</v>
      </c>
      <c r="G13" s="46" t="s">
        <v>171</v>
      </c>
      <c r="H13" s="46"/>
      <c r="I13" s="39" t="s">
        <v>207</v>
      </c>
      <c r="J13" s="38"/>
      <c r="K13" s="38"/>
      <c r="L13" s="38" t="s">
        <v>125</v>
      </c>
      <c r="M13" s="38" t="s">
        <v>136</v>
      </c>
      <c r="N13" s="39" t="s">
        <v>200</v>
      </c>
      <c r="O13" s="38"/>
      <c r="P13" s="39" t="s">
        <v>208</v>
      </c>
      <c r="Q13" s="38" t="s">
        <v>125</v>
      </c>
      <c r="R13" s="38"/>
      <c r="S13" s="38" t="s">
        <v>202</v>
      </c>
      <c r="T13" s="36" t="s">
        <v>137</v>
      </c>
      <c r="U13" s="36"/>
      <c r="V13" s="38" t="str">
        <f t="shared" si="0"/>
        <v/>
      </c>
      <c r="W13" s="36"/>
      <c r="X13" s="37"/>
    </row>
    <row r="14" spans="1:24" ht="36" outlineLevel="1" x14ac:dyDescent="0.25">
      <c r="A14" s="38" t="s">
        <v>209</v>
      </c>
      <c r="B14" s="38" t="s">
        <v>166</v>
      </c>
      <c r="C14" s="38" t="s">
        <v>195</v>
      </c>
      <c r="D14" s="38" t="s">
        <v>210</v>
      </c>
      <c r="E14" s="39" t="s">
        <v>211</v>
      </c>
      <c r="F14" s="39" t="s">
        <v>212</v>
      </c>
      <c r="G14" s="46" t="s">
        <v>188</v>
      </c>
      <c r="H14" s="46"/>
      <c r="I14" s="39" t="s">
        <v>213</v>
      </c>
      <c r="J14" s="38"/>
      <c r="K14" s="38"/>
      <c r="L14" s="38" t="s">
        <v>125</v>
      </c>
      <c r="M14" s="38" t="s">
        <v>134</v>
      </c>
      <c r="N14" s="39" t="s">
        <v>214</v>
      </c>
      <c r="O14" s="38"/>
      <c r="P14" s="39" t="s">
        <v>215</v>
      </c>
      <c r="Q14" s="38" t="s">
        <v>125</v>
      </c>
      <c r="R14" s="38"/>
      <c r="S14" s="38" t="s">
        <v>202</v>
      </c>
      <c r="T14" s="36" t="s">
        <v>137</v>
      </c>
      <c r="U14" s="36"/>
      <c r="V14" s="38" t="str">
        <f t="shared" si="0"/>
        <v/>
      </c>
      <c r="W14" s="36"/>
      <c r="X14" s="37"/>
    </row>
    <row r="15" spans="1:24" ht="36" outlineLevel="1" x14ac:dyDescent="0.25">
      <c r="A15" s="38" t="s">
        <v>216</v>
      </c>
      <c r="B15" s="38" t="s">
        <v>166</v>
      </c>
      <c r="C15" s="38" t="s">
        <v>195</v>
      </c>
      <c r="D15" s="38" t="s">
        <v>217</v>
      </c>
      <c r="E15" s="39" t="s">
        <v>218</v>
      </c>
      <c r="F15" s="39" t="s">
        <v>219</v>
      </c>
      <c r="G15" s="46" t="s">
        <v>220</v>
      </c>
      <c r="H15" s="46"/>
      <c r="I15" s="39" t="s">
        <v>221</v>
      </c>
      <c r="J15" s="38"/>
      <c r="K15" s="38"/>
      <c r="L15" s="38" t="s">
        <v>133</v>
      </c>
      <c r="M15" s="38" t="s">
        <v>131</v>
      </c>
      <c r="N15" s="39" t="s">
        <v>222</v>
      </c>
      <c r="O15" s="38"/>
      <c r="P15" s="39" t="s">
        <v>223</v>
      </c>
      <c r="Q15" s="38" t="s">
        <v>125</v>
      </c>
      <c r="R15" s="38"/>
      <c r="S15" s="38" t="s">
        <v>224</v>
      </c>
      <c r="T15" s="36" t="s">
        <v>137</v>
      </c>
      <c r="U15" s="36"/>
      <c r="V15" s="38" t="str">
        <f t="shared" si="0"/>
        <v/>
      </c>
      <c r="W15" s="36"/>
      <c r="X15" s="37"/>
    </row>
    <row r="16" spans="1:24" ht="36" outlineLevel="1" x14ac:dyDescent="0.25">
      <c r="A16" s="38" t="s">
        <v>225</v>
      </c>
      <c r="B16" s="38" t="s">
        <v>166</v>
      </c>
      <c r="C16" s="38" t="s">
        <v>226</v>
      </c>
      <c r="D16" s="38" t="s">
        <v>227</v>
      </c>
      <c r="E16" s="39" t="s">
        <v>228</v>
      </c>
      <c r="F16" s="39" t="s">
        <v>229</v>
      </c>
      <c r="G16" s="46" t="s">
        <v>230</v>
      </c>
      <c r="H16" s="46"/>
      <c r="I16" s="39" t="s">
        <v>231</v>
      </c>
      <c r="J16" s="38"/>
      <c r="K16" s="38"/>
      <c r="L16" s="38" t="s">
        <v>125</v>
      </c>
      <c r="M16" s="38" t="s">
        <v>136</v>
      </c>
      <c r="N16" s="39" t="s">
        <v>200</v>
      </c>
      <c r="O16" s="38"/>
      <c r="P16" s="39" t="s">
        <v>232</v>
      </c>
      <c r="Q16" s="38" t="s">
        <v>133</v>
      </c>
      <c r="R16" s="38" t="s">
        <v>233</v>
      </c>
      <c r="S16" s="38" t="s">
        <v>176</v>
      </c>
      <c r="T16" s="36" t="s">
        <v>137</v>
      </c>
      <c r="U16" s="36"/>
      <c r="V16" s="38" t="str">
        <f t="shared" si="0"/>
        <v/>
      </c>
      <c r="W16" s="36"/>
      <c r="X16" s="37"/>
    </row>
    <row r="17" spans="1:24" ht="24" outlineLevel="1" x14ac:dyDescent="0.25">
      <c r="A17" s="38" t="s">
        <v>234</v>
      </c>
      <c r="B17" s="38" t="s">
        <v>166</v>
      </c>
      <c r="C17" s="38" t="s">
        <v>226</v>
      </c>
      <c r="D17" s="38" t="s">
        <v>235</v>
      </c>
      <c r="E17" s="39" t="s">
        <v>236</v>
      </c>
      <c r="F17" s="39" t="s">
        <v>237</v>
      </c>
      <c r="G17" s="46" t="s">
        <v>171</v>
      </c>
      <c r="H17" s="46"/>
      <c r="I17" s="39" t="s">
        <v>238</v>
      </c>
      <c r="J17" s="38"/>
      <c r="K17" s="38"/>
      <c r="L17" s="38" t="s">
        <v>133</v>
      </c>
      <c r="M17" s="38" t="s">
        <v>131</v>
      </c>
      <c r="N17" s="39" t="s">
        <v>222</v>
      </c>
      <c r="O17" s="38"/>
      <c r="P17" s="39" t="s">
        <v>239</v>
      </c>
      <c r="Q17" s="38" t="s">
        <v>133</v>
      </c>
      <c r="R17" s="38"/>
      <c r="S17" s="38" t="s">
        <v>202</v>
      </c>
      <c r="T17" s="36" t="s">
        <v>137</v>
      </c>
      <c r="U17" s="36"/>
      <c r="V17" s="38" t="str">
        <f t="shared" si="0"/>
        <v/>
      </c>
      <c r="W17" s="36"/>
      <c r="X17" s="37"/>
    </row>
    <row r="18" spans="1:24" ht="48" outlineLevel="1" x14ac:dyDescent="0.25">
      <c r="A18" s="38" t="s">
        <v>240</v>
      </c>
      <c r="B18" s="38" t="s">
        <v>166</v>
      </c>
      <c r="C18" s="38" t="s">
        <v>226</v>
      </c>
      <c r="D18" s="38" t="s">
        <v>241</v>
      </c>
      <c r="E18" s="39" t="s">
        <v>242</v>
      </c>
      <c r="F18" s="39" t="s">
        <v>243</v>
      </c>
      <c r="G18" s="46" t="s">
        <v>244</v>
      </c>
      <c r="H18" s="46" t="s">
        <v>245</v>
      </c>
      <c r="I18" s="39" t="s">
        <v>246</v>
      </c>
      <c r="J18" s="38">
        <v>-5</v>
      </c>
      <c r="K18" s="38">
        <v>5</v>
      </c>
      <c r="L18" s="38" t="s">
        <v>125</v>
      </c>
      <c r="M18" s="38" t="s">
        <v>136</v>
      </c>
      <c r="N18" s="39" t="s">
        <v>247</v>
      </c>
      <c r="O18" s="38" t="s">
        <v>248</v>
      </c>
      <c r="P18" s="39" t="s">
        <v>249</v>
      </c>
      <c r="Q18" s="38" t="s">
        <v>125</v>
      </c>
      <c r="R18" s="38"/>
      <c r="S18" s="38" t="s">
        <v>250</v>
      </c>
      <c r="T18" s="36" t="s">
        <v>137</v>
      </c>
      <c r="U18" s="36"/>
      <c r="V18" s="38" t="str">
        <f t="shared" si="0"/>
        <v>Sin dato</v>
      </c>
      <c r="W18" s="36"/>
      <c r="X18" s="37"/>
    </row>
    <row r="19" spans="1:24" ht="24" x14ac:dyDescent="0.25">
      <c r="A19" s="34" t="s">
        <v>251</v>
      </c>
      <c r="B19" s="34" t="s">
        <v>252</v>
      </c>
      <c r="C19" s="34" t="s">
        <v>253</v>
      </c>
      <c r="D19" s="34" t="s">
        <v>254</v>
      </c>
      <c r="E19" s="35" t="s">
        <v>255</v>
      </c>
      <c r="F19" s="35" t="s">
        <v>256</v>
      </c>
      <c r="G19" s="45" t="s">
        <v>220</v>
      </c>
      <c r="H19" s="45"/>
      <c r="I19" s="35" t="s">
        <v>257</v>
      </c>
      <c r="J19" s="34"/>
      <c r="K19" s="34"/>
      <c r="L19" s="34" t="s">
        <v>125</v>
      </c>
      <c r="M19" s="34" t="s">
        <v>134</v>
      </c>
      <c r="N19" s="35" t="s">
        <v>214</v>
      </c>
      <c r="O19" s="34"/>
      <c r="P19" s="35" t="s">
        <v>258</v>
      </c>
      <c r="Q19" s="34" t="s">
        <v>125</v>
      </c>
      <c r="R19" s="34" t="s">
        <v>259</v>
      </c>
      <c r="S19" s="34" t="s">
        <v>260</v>
      </c>
      <c r="T19" s="36" t="s">
        <v>137</v>
      </c>
      <c r="U19" s="36"/>
      <c r="V19" s="34" t="str">
        <f t="shared" si="0"/>
        <v/>
      </c>
      <c r="W19" s="36"/>
      <c r="X19" s="37"/>
    </row>
    <row r="20" spans="1:24" ht="24" outlineLevel="1" x14ac:dyDescent="0.25">
      <c r="A20" s="38" t="s">
        <v>261</v>
      </c>
      <c r="B20" s="38" t="s">
        <v>252</v>
      </c>
      <c r="C20" s="38" t="s">
        <v>253</v>
      </c>
      <c r="D20" s="38" t="s">
        <v>262</v>
      </c>
      <c r="E20" s="39" t="s">
        <v>263</v>
      </c>
      <c r="F20" s="39" t="s">
        <v>264</v>
      </c>
      <c r="G20" s="46" t="s">
        <v>265</v>
      </c>
      <c r="H20" s="46"/>
      <c r="I20" s="39" t="s">
        <v>266</v>
      </c>
      <c r="J20" s="38"/>
      <c r="K20" s="38"/>
      <c r="L20" s="38" t="s">
        <v>125</v>
      </c>
      <c r="M20" s="38" t="s">
        <v>134</v>
      </c>
      <c r="N20" s="39" t="s">
        <v>214</v>
      </c>
      <c r="O20" s="38"/>
      <c r="P20" s="39" t="s">
        <v>267</v>
      </c>
      <c r="Q20" s="38" t="s">
        <v>125</v>
      </c>
      <c r="R20" s="38" t="s">
        <v>268</v>
      </c>
      <c r="S20" s="38" t="s">
        <v>260</v>
      </c>
      <c r="T20" s="36" t="s">
        <v>137</v>
      </c>
      <c r="U20" s="36"/>
      <c r="V20" s="38" t="str">
        <f t="shared" si="0"/>
        <v/>
      </c>
      <c r="W20" s="36"/>
      <c r="X20" s="37"/>
    </row>
    <row r="21" spans="1:24" ht="36" outlineLevel="1" x14ac:dyDescent="0.25">
      <c r="A21" s="38" t="s">
        <v>269</v>
      </c>
      <c r="B21" s="38" t="s">
        <v>252</v>
      </c>
      <c r="C21" s="38" t="s">
        <v>253</v>
      </c>
      <c r="D21" s="38" t="s">
        <v>270</v>
      </c>
      <c r="E21" s="39" t="s">
        <v>271</v>
      </c>
      <c r="F21" s="39" t="s">
        <v>272</v>
      </c>
      <c r="G21" s="46" t="s">
        <v>220</v>
      </c>
      <c r="H21" s="46"/>
      <c r="I21" s="39" t="s">
        <v>273</v>
      </c>
      <c r="J21" s="38"/>
      <c r="K21" s="38"/>
      <c r="L21" s="38" t="s">
        <v>125</v>
      </c>
      <c r="M21" s="38" t="s">
        <v>134</v>
      </c>
      <c r="N21" s="39" t="s">
        <v>214</v>
      </c>
      <c r="O21" s="38"/>
      <c r="P21" s="39" t="s">
        <v>274</v>
      </c>
      <c r="Q21" s="38" t="s">
        <v>133</v>
      </c>
      <c r="R21" s="38"/>
      <c r="S21" s="38" t="s">
        <v>260</v>
      </c>
      <c r="T21" s="36" t="s">
        <v>137</v>
      </c>
      <c r="U21" s="36"/>
      <c r="V21" s="38" t="str">
        <f t="shared" si="0"/>
        <v/>
      </c>
      <c r="W21" s="36"/>
      <c r="X21" s="37"/>
    </row>
    <row r="22" spans="1:24" ht="24" outlineLevel="1" x14ac:dyDescent="0.25">
      <c r="A22" s="38" t="s">
        <v>275</v>
      </c>
      <c r="B22" s="38" t="s">
        <v>252</v>
      </c>
      <c r="C22" s="38" t="s">
        <v>253</v>
      </c>
      <c r="D22" s="38" t="s">
        <v>276</v>
      </c>
      <c r="E22" s="39" t="s">
        <v>277</v>
      </c>
      <c r="F22" s="39" t="s">
        <v>278</v>
      </c>
      <c r="G22" s="46" t="s">
        <v>220</v>
      </c>
      <c r="H22" s="46"/>
      <c r="I22" s="39" t="s">
        <v>279</v>
      </c>
      <c r="J22" s="38"/>
      <c r="K22" s="38"/>
      <c r="L22" s="38" t="s">
        <v>133</v>
      </c>
      <c r="M22" s="38" t="s">
        <v>134</v>
      </c>
      <c r="N22" s="39" t="s">
        <v>214</v>
      </c>
      <c r="O22" s="38"/>
      <c r="P22" s="39" t="s">
        <v>280</v>
      </c>
      <c r="Q22" s="38" t="s">
        <v>133</v>
      </c>
      <c r="R22" s="38" t="s">
        <v>281</v>
      </c>
      <c r="S22" s="38" t="s">
        <v>282</v>
      </c>
      <c r="T22" s="36" t="s">
        <v>137</v>
      </c>
      <c r="U22" s="36"/>
      <c r="V22" s="38" t="str">
        <f t="shared" si="0"/>
        <v/>
      </c>
      <c r="W22" s="36"/>
      <c r="X22" s="37"/>
    </row>
    <row r="23" spans="1:24" ht="36" outlineLevel="1" x14ac:dyDescent="0.25">
      <c r="A23" s="38" t="s">
        <v>283</v>
      </c>
      <c r="B23" s="38" t="s">
        <v>252</v>
      </c>
      <c r="C23" s="38" t="s">
        <v>253</v>
      </c>
      <c r="D23" s="38" t="s">
        <v>284</v>
      </c>
      <c r="E23" s="39" t="s">
        <v>285</v>
      </c>
      <c r="F23" s="39" t="s">
        <v>286</v>
      </c>
      <c r="G23" s="46" t="s">
        <v>265</v>
      </c>
      <c r="H23" s="46"/>
      <c r="I23" s="39" t="s">
        <v>287</v>
      </c>
      <c r="J23" s="38"/>
      <c r="K23" s="38"/>
      <c r="L23" s="38" t="s">
        <v>133</v>
      </c>
      <c r="M23" s="38" t="s">
        <v>131</v>
      </c>
      <c r="N23" s="39" t="s">
        <v>222</v>
      </c>
      <c r="O23" s="38"/>
      <c r="P23" s="39" t="s">
        <v>288</v>
      </c>
      <c r="Q23" s="38" t="s">
        <v>133</v>
      </c>
      <c r="R23" s="38"/>
      <c r="S23" s="38" t="s">
        <v>224</v>
      </c>
      <c r="T23" s="36" t="s">
        <v>137</v>
      </c>
      <c r="U23" s="36"/>
      <c r="V23" s="38" t="str">
        <f t="shared" si="0"/>
        <v/>
      </c>
      <c r="W23" s="36"/>
      <c r="X23" s="37"/>
    </row>
    <row r="24" spans="1:24" ht="24" outlineLevel="1" x14ac:dyDescent="0.25">
      <c r="A24" s="38" t="s">
        <v>289</v>
      </c>
      <c r="B24" s="38" t="s">
        <v>252</v>
      </c>
      <c r="C24" s="38" t="s">
        <v>290</v>
      </c>
      <c r="D24" s="38" t="s">
        <v>291</v>
      </c>
      <c r="E24" s="39" t="s">
        <v>292</v>
      </c>
      <c r="F24" s="39" t="s">
        <v>293</v>
      </c>
      <c r="G24" s="46" t="s">
        <v>220</v>
      </c>
      <c r="H24" s="46"/>
      <c r="I24" s="39" t="s">
        <v>294</v>
      </c>
      <c r="J24" s="38"/>
      <c r="K24" s="38"/>
      <c r="L24" s="38" t="s">
        <v>125</v>
      </c>
      <c r="M24" s="38" t="s">
        <v>134</v>
      </c>
      <c r="N24" s="39" t="s">
        <v>214</v>
      </c>
      <c r="O24" s="38"/>
      <c r="P24" s="39" t="s">
        <v>295</v>
      </c>
      <c r="Q24" s="38" t="s">
        <v>125</v>
      </c>
      <c r="R24" s="38" t="s">
        <v>296</v>
      </c>
      <c r="S24" s="38" t="s">
        <v>176</v>
      </c>
      <c r="T24" s="36" t="s">
        <v>137</v>
      </c>
      <c r="U24" s="36"/>
      <c r="V24" s="38" t="str">
        <f t="shared" si="0"/>
        <v/>
      </c>
      <c r="W24" s="36"/>
      <c r="X24" s="37"/>
    </row>
    <row r="25" spans="1:24" ht="36" outlineLevel="1" x14ac:dyDescent="0.25">
      <c r="A25" s="38" t="s">
        <v>297</v>
      </c>
      <c r="B25" s="38" t="s">
        <v>252</v>
      </c>
      <c r="C25" s="38" t="s">
        <v>290</v>
      </c>
      <c r="D25" s="38" t="s">
        <v>298</v>
      </c>
      <c r="E25" s="39" t="s">
        <v>299</v>
      </c>
      <c r="F25" s="39" t="s">
        <v>300</v>
      </c>
      <c r="G25" s="46" t="s">
        <v>220</v>
      </c>
      <c r="H25" s="46"/>
      <c r="I25" s="39" t="s">
        <v>301</v>
      </c>
      <c r="J25" s="38"/>
      <c r="K25" s="38"/>
      <c r="L25" s="38" t="s">
        <v>125</v>
      </c>
      <c r="M25" s="38" t="s">
        <v>134</v>
      </c>
      <c r="N25" s="39" t="s">
        <v>214</v>
      </c>
      <c r="O25" s="38"/>
      <c r="P25" s="39" t="s">
        <v>302</v>
      </c>
      <c r="Q25" s="38" t="s">
        <v>133</v>
      </c>
      <c r="R25" s="38"/>
      <c r="S25" s="38" t="s">
        <v>176</v>
      </c>
      <c r="T25" s="36" t="s">
        <v>137</v>
      </c>
      <c r="U25" s="36"/>
      <c r="V25" s="38" t="str">
        <f t="shared" si="0"/>
        <v/>
      </c>
      <c r="W25" s="36"/>
      <c r="X25" s="37"/>
    </row>
    <row r="26" spans="1:24" ht="24" outlineLevel="1" x14ac:dyDescent="0.25">
      <c r="A26" s="38" t="s">
        <v>303</v>
      </c>
      <c r="B26" s="38" t="s">
        <v>252</v>
      </c>
      <c r="C26" s="38" t="s">
        <v>290</v>
      </c>
      <c r="D26" s="38" t="s">
        <v>304</v>
      </c>
      <c r="E26" s="39" t="s">
        <v>305</v>
      </c>
      <c r="F26" s="39" t="s">
        <v>306</v>
      </c>
      <c r="G26" s="46" t="s">
        <v>220</v>
      </c>
      <c r="H26" s="46"/>
      <c r="I26" s="39" t="s">
        <v>307</v>
      </c>
      <c r="J26" s="38"/>
      <c r="K26" s="38"/>
      <c r="L26" s="38" t="s">
        <v>125</v>
      </c>
      <c r="M26" s="38" t="s">
        <v>134</v>
      </c>
      <c r="N26" s="39" t="s">
        <v>214</v>
      </c>
      <c r="O26" s="38"/>
      <c r="P26" s="39" t="s">
        <v>308</v>
      </c>
      <c r="Q26" s="38" t="s">
        <v>125</v>
      </c>
      <c r="R26" s="38" t="s">
        <v>309</v>
      </c>
      <c r="S26" s="38" t="s">
        <v>176</v>
      </c>
      <c r="T26" s="36" t="s">
        <v>137</v>
      </c>
      <c r="U26" s="36"/>
      <c r="V26" s="38" t="str">
        <f t="shared" si="0"/>
        <v/>
      </c>
      <c r="W26" s="36"/>
      <c r="X26" s="37"/>
    </row>
    <row r="27" spans="1:24" ht="24" outlineLevel="1" x14ac:dyDescent="0.25">
      <c r="A27" s="38" t="s">
        <v>310</v>
      </c>
      <c r="B27" s="38" t="s">
        <v>252</v>
      </c>
      <c r="C27" s="38" t="s">
        <v>290</v>
      </c>
      <c r="D27" s="38" t="s">
        <v>311</v>
      </c>
      <c r="E27" s="39" t="s">
        <v>312</v>
      </c>
      <c r="F27" s="39" t="s">
        <v>313</v>
      </c>
      <c r="G27" s="46" t="s">
        <v>220</v>
      </c>
      <c r="H27" s="46"/>
      <c r="I27" s="39" t="s">
        <v>314</v>
      </c>
      <c r="J27" s="38"/>
      <c r="K27" s="38"/>
      <c r="L27" s="38" t="s">
        <v>125</v>
      </c>
      <c r="M27" s="38" t="s">
        <v>134</v>
      </c>
      <c r="N27" s="39" t="s">
        <v>214</v>
      </c>
      <c r="O27" s="38"/>
      <c r="P27" s="39" t="s">
        <v>315</v>
      </c>
      <c r="Q27" s="38" t="s">
        <v>125</v>
      </c>
      <c r="R27" s="38" t="s">
        <v>316</v>
      </c>
      <c r="S27" s="38" t="s">
        <v>260</v>
      </c>
      <c r="T27" s="36" t="s">
        <v>137</v>
      </c>
      <c r="U27" s="36"/>
      <c r="V27" s="38" t="str">
        <f t="shared" si="0"/>
        <v/>
      </c>
      <c r="W27" s="36"/>
      <c r="X27" s="37"/>
    </row>
    <row r="28" spans="1:24" ht="24" outlineLevel="1" x14ac:dyDescent="0.25">
      <c r="A28" s="38" t="s">
        <v>317</v>
      </c>
      <c r="B28" s="38" t="s">
        <v>252</v>
      </c>
      <c r="C28" s="38" t="s">
        <v>290</v>
      </c>
      <c r="D28" s="38" t="s">
        <v>318</v>
      </c>
      <c r="E28" s="39" t="s">
        <v>319</v>
      </c>
      <c r="F28" s="39" t="s">
        <v>320</v>
      </c>
      <c r="G28" s="46" t="s">
        <v>220</v>
      </c>
      <c r="H28" s="46"/>
      <c r="I28" s="39" t="s">
        <v>321</v>
      </c>
      <c r="J28" s="38"/>
      <c r="K28" s="38"/>
      <c r="L28" s="38" t="s">
        <v>125</v>
      </c>
      <c r="M28" s="38" t="s">
        <v>134</v>
      </c>
      <c r="N28" s="39" t="s">
        <v>322</v>
      </c>
      <c r="O28" s="38" t="s">
        <v>323</v>
      </c>
      <c r="P28" s="39" t="s">
        <v>324</v>
      </c>
      <c r="Q28" s="38" t="s">
        <v>125</v>
      </c>
      <c r="R28" s="38" t="s">
        <v>325</v>
      </c>
      <c r="S28" s="38" t="s">
        <v>193</v>
      </c>
      <c r="T28" s="36" t="s">
        <v>137</v>
      </c>
      <c r="U28" s="36"/>
      <c r="V28" s="38" t="str">
        <f t="shared" si="0"/>
        <v/>
      </c>
      <c r="W28" s="36"/>
      <c r="X28" s="37"/>
    </row>
    <row r="29" spans="1:24" ht="36" outlineLevel="1" x14ac:dyDescent="0.25">
      <c r="A29" s="38" t="s">
        <v>326</v>
      </c>
      <c r="B29" s="38" t="s">
        <v>252</v>
      </c>
      <c r="C29" s="38" t="s">
        <v>290</v>
      </c>
      <c r="D29" s="38" t="s">
        <v>327</v>
      </c>
      <c r="E29" s="39" t="s">
        <v>328</v>
      </c>
      <c r="F29" s="39" t="s">
        <v>329</v>
      </c>
      <c r="G29" s="46" t="s">
        <v>220</v>
      </c>
      <c r="H29" s="46"/>
      <c r="I29" s="39" t="s">
        <v>330</v>
      </c>
      <c r="J29" s="38"/>
      <c r="K29" s="38"/>
      <c r="L29" s="38" t="s">
        <v>125</v>
      </c>
      <c r="M29" s="38" t="s">
        <v>134</v>
      </c>
      <c r="N29" s="39" t="s">
        <v>331</v>
      </c>
      <c r="O29" s="38" t="s">
        <v>332</v>
      </c>
      <c r="P29" s="39" t="s">
        <v>333</v>
      </c>
      <c r="Q29" s="38" t="s">
        <v>125</v>
      </c>
      <c r="R29" s="38" t="s">
        <v>334</v>
      </c>
      <c r="S29" s="38" t="s">
        <v>224</v>
      </c>
      <c r="T29" s="36" t="s">
        <v>137</v>
      </c>
      <c r="U29" s="36"/>
      <c r="V29" s="38" t="str">
        <f t="shared" si="0"/>
        <v/>
      </c>
      <c r="W29" s="36"/>
      <c r="X29" s="37"/>
    </row>
    <row r="30" spans="1:24" ht="24" outlineLevel="1" x14ac:dyDescent="0.25">
      <c r="A30" s="38" t="s">
        <v>335</v>
      </c>
      <c r="B30" s="38" t="s">
        <v>252</v>
      </c>
      <c r="C30" s="38" t="s">
        <v>336</v>
      </c>
      <c r="D30" s="38" t="s">
        <v>337</v>
      </c>
      <c r="E30" s="39" t="s">
        <v>338</v>
      </c>
      <c r="F30" s="39" t="s">
        <v>339</v>
      </c>
      <c r="G30" s="46" t="s">
        <v>265</v>
      </c>
      <c r="H30" s="46"/>
      <c r="I30" s="39" t="s">
        <v>340</v>
      </c>
      <c r="J30" s="38"/>
      <c r="K30" s="38"/>
      <c r="L30" s="38" t="s">
        <v>125</v>
      </c>
      <c r="M30" s="38" t="s">
        <v>134</v>
      </c>
      <c r="N30" s="39" t="s">
        <v>214</v>
      </c>
      <c r="O30" s="38"/>
      <c r="P30" s="39" t="s">
        <v>341</v>
      </c>
      <c r="Q30" s="38" t="s">
        <v>125</v>
      </c>
      <c r="R30" s="38" t="s">
        <v>342</v>
      </c>
      <c r="S30" s="38" t="s">
        <v>260</v>
      </c>
      <c r="T30" s="36" t="s">
        <v>137</v>
      </c>
      <c r="U30" s="36"/>
      <c r="V30" s="38" t="str">
        <f t="shared" si="0"/>
        <v/>
      </c>
      <c r="W30" s="36"/>
      <c r="X30" s="37"/>
    </row>
    <row r="31" spans="1:24" ht="36" outlineLevel="1" x14ac:dyDescent="0.25">
      <c r="A31" s="38" t="s">
        <v>343</v>
      </c>
      <c r="B31" s="38" t="s">
        <v>252</v>
      </c>
      <c r="C31" s="38" t="s">
        <v>336</v>
      </c>
      <c r="D31" s="38" t="s">
        <v>344</v>
      </c>
      <c r="E31" s="39" t="s">
        <v>345</v>
      </c>
      <c r="F31" s="39" t="s">
        <v>346</v>
      </c>
      <c r="G31" s="46" t="s">
        <v>220</v>
      </c>
      <c r="H31" s="46"/>
      <c r="I31" s="39" t="s">
        <v>347</v>
      </c>
      <c r="J31" s="38"/>
      <c r="K31" s="38"/>
      <c r="L31" s="38" t="s">
        <v>125</v>
      </c>
      <c r="M31" s="38" t="s">
        <v>131</v>
      </c>
      <c r="N31" s="39" t="s">
        <v>222</v>
      </c>
      <c r="O31" s="38"/>
      <c r="P31" s="39" t="s">
        <v>348</v>
      </c>
      <c r="Q31" s="38" t="s">
        <v>125</v>
      </c>
      <c r="R31" s="38"/>
      <c r="S31" s="38" t="s">
        <v>260</v>
      </c>
      <c r="T31" s="36" t="s">
        <v>137</v>
      </c>
      <c r="U31" s="36"/>
      <c r="V31" s="38" t="str">
        <f t="shared" si="0"/>
        <v/>
      </c>
      <c r="W31" s="36"/>
      <c r="X31" s="37"/>
    </row>
    <row r="32" spans="1:24" ht="24" outlineLevel="1" x14ac:dyDescent="0.25">
      <c r="A32" s="38" t="s">
        <v>349</v>
      </c>
      <c r="B32" s="38" t="s">
        <v>252</v>
      </c>
      <c r="C32" s="38" t="s">
        <v>336</v>
      </c>
      <c r="D32" s="38" t="s">
        <v>350</v>
      </c>
      <c r="E32" s="39" t="s">
        <v>351</v>
      </c>
      <c r="F32" s="39" t="s">
        <v>352</v>
      </c>
      <c r="G32" s="46" t="s">
        <v>171</v>
      </c>
      <c r="H32" s="46"/>
      <c r="I32" s="39" t="s">
        <v>353</v>
      </c>
      <c r="J32" s="38"/>
      <c r="K32" s="38"/>
      <c r="L32" s="38" t="s">
        <v>125</v>
      </c>
      <c r="M32" s="38" t="s">
        <v>131</v>
      </c>
      <c r="N32" s="39" t="s">
        <v>222</v>
      </c>
      <c r="O32" s="38"/>
      <c r="P32" s="39" t="s">
        <v>354</v>
      </c>
      <c r="Q32" s="38" t="s">
        <v>125</v>
      </c>
      <c r="R32" s="38"/>
      <c r="S32" s="38" t="s">
        <v>260</v>
      </c>
      <c r="T32" s="36" t="s">
        <v>137</v>
      </c>
      <c r="U32" s="36"/>
      <c r="V32" s="38" t="str">
        <f t="shared" si="0"/>
        <v/>
      </c>
      <c r="W32" s="36"/>
      <c r="X32" s="37"/>
    </row>
    <row r="33" spans="1:24" ht="24" outlineLevel="1" x14ac:dyDescent="0.25">
      <c r="A33" s="38" t="s">
        <v>355</v>
      </c>
      <c r="B33" s="38" t="s">
        <v>252</v>
      </c>
      <c r="C33" s="38" t="s">
        <v>336</v>
      </c>
      <c r="D33" s="38" t="s">
        <v>356</v>
      </c>
      <c r="E33" s="39" t="s">
        <v>357</v>
      </c>
      <c r="F33" s="39" t="s">
        <v>358</v>
      </c>
      <c r="G33" s="46" t="s">
        <v>220</v>
      </c>
      <c r="H33" s="46"/>
      <c r="I33" s="39" t="s">
        <v>359</v>
      </c>
      <c r="J33" s="38"/>
      <c r="K33" s="38"/>
      <c r="L33" s="38" t="s">
        <v>125</v>
      </c>
      <c r="M33" s="38" t="s">
        <v>131</v>
      </c>
      <c r="N33" s="39" t="s">
        <v>222</v>
      </c>
      <c r="O33" s="38"/>
      <c r="P33" s="39" t="s">
        <v>360</v>
      </c>
      <c r="Q33" s="38" t="s">
        <v>125</v>
      </c>
      <c r="R33" s="38"/>
      <c r="S33" s="38" t="s">
        <v>224</v>
      </c>
      <c r="T33" s="36" t="s">
        <v>137</v>
      </c>
      <c r="U33" s="36"/>
      <c r="V33" s="38" t="str">
        <f t="shared" si="0"/>
        <v/>
      </c>
      <c r="W33" s="36"/>
      <c r="X33" s="37"/>
    </row>
    <row r="34" spans="1:24" ht="24" outlineLevel="1" x14ac:dyDescent="0.25">
      <c r="A34" s="38" t="s">
        <v>361</v>
      </c>
      <c r="B34" s="38" t="s">
        <v>252</v>
      </c>
      <c r="C34" s="38" t="s">
        <v>362</v>
      </c>
      <c r="D34" s="38" t="s">
        <v>363</v>
      </c>
      <c r="E34" s="39" t="s">
        <v>364</v>
      </c>
      <c r="F34" s="39" t="s">
        <v>365</v>
      </c>
      <c r="G34" s="46" t="s">
        <v>220</v>
      </c>
      <c r="H34" s="46"/>
      <c r="I34" s="39" t="s">
        <v>366</v>
      </c>
      <c r="J34" s="38"/>
      <c r="K34" s="38"/>
      <c r="L34" s="38" t="s">
        <v>125</v>
      </c>
      <c r="M34" s="38" t="s">
        <v>134</v>
      </c>
      <c r="N34" s="39" t="s">
        <v>367</v>
      </c>
      <c r="O34" s="38" t="s">
        <v>368</v>
      </c>
      <c r="P34" s="39" t="s">
        <v>369</v>
      </c>
      <c r="Q34" s="38" t="s">
        <v>125</v>
      </c>
      <c r="R34" s="38" t="s">
        <v>370</v>
      </c>
      <c r="S34" s="38" t="s">
        <v>176</v>
      </c>
      <c r="T34" s="36" t="s">
        <v>137</v>
      </c>
      <c r="U34" s="36"/>
      <c r="V34" s="38" t="str">
        <f t="shared" si="0"/>
        <v/>
      </c>
      <c r="W34" s="36"/>
      <c r="X34" s="37"/>
    </row>
    <row r="35" spans="1:24" ht="24" outlineLevel="1" x14ac:dyDescent="0.25">
      <c r="A35" s="38" t="s">
        <v>371</v>
      </c>
      <c r="B35" s="38" t="s">
        <v>252</v>
      </c>
      <c r="C35" s="38" t="s">
        <v>362</v>
      </c>
      <c r="D35" s="38" t="s">
        <v>372</v>
      </c>
      <c r="E35" s="39" t="s">
        <v>373</v>
      </c>
      <c r="F35" s="39" t="s">
        <v>374</v>
      </c>
      <c r="G35" s="46" t="s">
        <v>220</v>
      </c>
      <c r="H35" s="46"/>
      <c r="I35" s="39" t="s">
        <v>375</v>
      </c>
      <c r="J35" s="38"/>
      <c r="K35" s="38"/>
      <c r="L35" s="38" t="s">
        <v>125</v>
      </c>
      <c r="M35" s="38" t="s">
        <v>134</v>
      </c>
      <c r="N35" s="39" t="s">
        <v>376</v>
      </c>
      <c r="O35" s="38" t="s">
        <v>377</v>
      </c>
      <c r="P35" s="39" t="s">
        <v>378</v>
      </c>
      <c r="Q35" s="38" t="s">
        <v>133</v>
      </c>
      <c r="R35" s="38" t="s">
        <v>379</v>
      </c>
      <c r="S35" s="38" t="s">
        <v>176</v>
      </c>
      <c r="T35" s="36" t="s">
        <v>137</v>
      </c>
      <c r="U35" s="36"/>
      <c r="V35" s="38" t="str">
        <f t="shared" si="0"/>
        <v/>
      </c>
      <c r="W35" s="36"/>
      <c r="X35" s="37"/>
    </row>
    <row r="36" spans="1:24" ht="36" outlineLevel="1" x14ac:dyDescent="0.25">
      <c r="A36" s="38" t="s">
        <v>380</v>
      </c>
      <c r="B36" s="38" t="s">
        <v>252</v>
      </c>
      <c r="C36" s="38" t="s">
        <v>362</v>
      </c>
      <c r="D36" s="38" t="s">
        <v>381</v>
      </c>
      <c r="E36" s="39" t="s">
        <v>382</v>
      </c>
      <c r="F36" s="39" t="s">
        <v>383</v>
      </c>
      <c r="G36" s="46" t="s">
        <v>220</v>
      </c>
      <c r="H36" s="46"/>
      <c r="I36" s="39" t="s">
        <v>384</v>
      </c>
      <c r="J36" s="38"/>
      <c r="K36" s="38"/>
      <c r="L36" s="38" t="s">
        <v>125</v>
      </c>
      <c r="M36" s="38" t="s">
        <v>134</v>
      </c>
      <c r="N36" s="39" t="s">
        <v>385</v>
      </c>
      <c r="O36" s="38" t="s">
        <v>386</v>
      </c>
      <c r="P36" s="39" t="s">
        <v>387</v>
      </c>
      <c r="Q36" s="38" t="s">
        <v>125</v>
      </c>
      <c r="R36" s="38" t="s">
        <v>388</v>
      </c>
      <c r="S36" s="38" t="s">
        <v>176</v>
      </c>
      <c r="T36" s="36" t="s">
        <v>137</v>
      </c>
      <c r="U36" s="36"/>
      <c r="V36" s="38" t="str">
        <f t="shared" si="0"/>
        <v/>
      </c>
      <c r="W36" s="36"/>
      <c r="X36" s="37"/>
    </row>
    <row r="37" spans="1:24" ht="48" outlineLevel="1" x14ac:dyDescent="0.25">
      <c r="A37" s="38" t="s">
        <v>389</v>
      </c>
      <c r="B37" s="38" t="s">
        <v>252</v>
      </c>
      <c r="C37" s="38" t="s">
        <v>362</v>
      </c>
      <c r="D37" s="38" t="s">
        <v>390</v>
      </c>
      <c r="E37" s="39" t="s">
        <v>391</v>
      </c>
      <c r="F37" s="39" t="s">
        <v>392</v>
      </c>
      <c r="G37" s="46" t="s">
        <v>220</v>
      </c>
      <c r="H37" s="46"/>
      <c r="I37" s="39" t="s">
        <v>393</v>
      </c>
      <c r="J37" s="38"/>
      <c r="K37" s="38"/>
      <c r="L37" s="38" t="s">
        <v>133</v>
      </c>
      <c r="M37" s="38" t="s">
        <v>131</v>
      </c>
      <c r="N37" s="39" t="s">
        <v>222</v>
      </c>
      <c r="O37" s="38"/>
      <c r="P37" s="39" t="s">
        <v>394</v>
      </c>
      <c r="Q37" s="38" t="s">
        <v>125</v>
      </c>
      <c r="R37" s="38"/>
      <c r="S37" s="38" t="s">
        <v>395</v>
      </c>
      <c r="T37" s="36" t="s">
        <v>137</v>
      </c>
      <c r="U37" s="36"/>
      <c r="V37" s="38" t="str">
        <f t="shared" si="0"/>
        <v/>
      </c>
      <c r="W37" s="36"/>
      <c r="X37" s="37"/>
    </row>
    <row r="38" spans="1:24" ht="36" outlineLevel="1" x14ac:dyDescent="0.25">
      <c r="A38" s="38" t="s">
        <v>396</v>
      </c>
      <c r="B38" s="38" t="s">
        <v>252</v>
      </c>
      <c r="C38" s="38" t="s">
        <v>362</v>
      </c>
      <c r="D38" s="38" t="s">
        <v>397</v>
      </c>
      <c r="E38" s="39" t="s">
        <v>398</v>
      </c>
      <c r="F38" s="39" t="s">
        <v>399</v>
      </c>
      <c r="G38" s="46" t="s">
        <v>220</v>
      </c>
      <c r="H38" s="46"/>
      <c r="I38" s="39" t="s">
        <v>400</v>
      </c>
      <c r="J38" s="38"/>
      <c r="K38" s="38"/>
      <c r="L38" s="38" t="s">
        <v>133</v>
      </c>
      <c r="M38" s="38" t="s">
        <v>134</v>
      </c>
      <c r="N38" s="39" t="s">
        <v>214</v>
      </c>
      <c r="O38" s="38"/>
      <c r="P38" s="39" t="s">
        <v>401</v>
      </c>
      <c r="Q38" s="38" t="s">
        <v>133</v>
      </c>
      <c r="R38" s="38" t="s">
        <v>402</v>
      </c>
      <c r="S38" s="38" t="s">
        <v>224</v>
      </c>
      <c r="T38" s="36" t="s">
        <v>137</v>
      </c>
      <c r="U38" s="36"/>
      <c r="V38" s="38" t="str">
        <f t="shared" si="0"/>
        <v/>
      </c>
      <c r="W38" s="36"/>
      <c r="X38" s="37"/>
    </row>
    <row r="39" spans="1:24" ht="60" x14ac:dyDescent="0.25">
      <c r="A39" s="34" t="s">
        <v>122</v>
      </c>
      <c r="B39" s="34" t="s">
        <v>403</v>
      </c>
      <c r="C39" s="34" t="s">
        <v>404</v>
      </c>
      <c r="D39" s="34" t="s">
        <v>405</v>
      </c>
      <c r="E39" s="35" t="s">
        <v>406</v>
      </c>
      <c r="F39" s="35" t="s">
        <v>407</v>
      </c>
      <c r="G39" s="45" t="s">
        <v>244</v>
      </c>
      <c r="H39" s="45" t="s">
        <v>408</v>
      </c>
      <c r="I39" s="35" t="s">
        <v>409</v>
      </c>
      <c r="J39" s="34">
        <v>1.8</v>
      </c>
      <c r="K39" s="34">
        <v>2.2999999999999998</v>
      </c>
      <c r="L39" s="34" t="s">
        <v>125</v>
      </c>
      <c r="M39" s="34" t="s">
        <v>136</v>
      </c>
      <c r="N39" s="35" t="s">
        <v>410</v>
      </c>
      <c r="O39" s="34" t="s">
        <v>411</v>
      </c>
      <c r="P39" s="35" t="s">
        <v>412</v>
      </c>
      <c r="Q39" s="34" t="s">
        <v>133</v>
      </c>
      <c r="R39" s="34" t="s">
        <v>413</v>
      </c>
      <c r="S39" s="34" t="s">
        <v>414</v>
      </c>
      <c r="T39" s="36" t="s">
        <v>124</v>
      </c>
      <c r="U39" s="36">
        <v>2.4500000000000002</v>
      </c>
      <c r="V39" s="34" t="str">
        <f t="shared" si="0"/>
        <v>Fuera de rango</v>
      </c>
      <c r="W39" s="36" t="s">
        <v>125</v>
      </c>
      <c r="X39" s="37" t="s">
        <v>415</v>
      </c>
    </row>
    <row r="40" spans="1:24" ht="36" outlineLevel="1" x14ac:dyDescent="0.25">
      <c r="A40" s="38" t="s">
        <v>416</v>
      </c>
      <c r="B40" s="38" t="s">
        <v>403</v>
      </c>
      <c r="C40" s="38" t="s">
        <v>404</v>
      </c>
      <c r="D40" s="38" t="s">
        <v>417</v>
      </c>
      <c r="E40" s="39" t="s">
        <v>418</v>
      </c>
      <c r="F40" s="39" t="s">
        <v>419</v>
      </c>
      <c r="G40" s="46" t="s">
        <v>220</v>
      </c>
      <c r="H40" s="46"/>
      <c r="I40" s="39" t="s">
        <v>420</v>
      </c>
      <c r="J40" s="38"/>
      <c r="K40" s="38"/>
      <c r="L40" s="38" t="s">
        <v>125</v>
      </c>
      <c r="M40" s="38" t="s">
        <v>134</v>
      </c>
      <c r="N40" s="39" t="s">
        <v>421</v>
      </c>
      <c r="O40" s="38" t="s">
        <v>422</v>
      </c>
      <c r="P40" s="39" t="s">
        <v>423</v>
      </c>
      <c r="Q40" s="38" t="s">
        <v>125</v>
      </c>
      <c r="R40" s="38" t="s">
        <v>424</v>
      </c>
      <c r="S40" s="38" t="s">
        <v>260</v>
      </c>
      <c r="T40" s="36" t="s">
        <v>137</v>
      </c>
      <c r="U40" s="36"/>
      <c r="V40" s="38" t="str">
        <f t="shared" si="0"/>
        <v/>
      </c>
      <c r="W40" s="36"/>
      <c r="X40" s="37"/>
    </row>
    <row r="41" spans="1:24" ht="24" outlineLevel="1" x14ac:dyDescent="0.25">
      <c r="A41" s="38" t="s">
        <v>425</v>
      </c>
      <c r="B41" s="38" t="s">
        <v>403</v>
      </c>
      <c r="C41" s="38" t="s">
        <v>404</v>
      </c>
      <c r="D41" s="38" t="s">
        <v>426</v>
      </c>
      <c r="E41" s="39" t="s">
        <v>427</v>
      </c>
      <c r="F41" s="39" t="s">
        <v>428</v>
      </c>
      <c r="G41" s="46" t="s">
        <v>220</v>
      </c>
      <c r="H41" s="46"/>
      <c r="I41" s="39" t="s">
        <v>429</v>
      </c>
      <c r="J41" s="38"/>
      <c r="K41" s="38"/>
      <c r="L41" s="38" t="s">
        <v>125</v>
      </c>
      <c r="M41" s="38" t="s">
        <v>134</v>
      </c>
      <c r="N41" s="39" t="s">
        <v>214</v>
      </c>
      <c r="O41" s="38"/>
      <c r="P41" s="39" t="s">
        <v>430</v>
      </c>
      <c r="Q41" s="38" t="s">
        <v>125</v>
      </c>
      <c r="R41" s="38" t="s">
        <v>431</v>
      </c>
      <c r="S41" s="38" t="s">
        <v>432</v>
      </c>
      <c r="T41" s="36" t="s">
        <v>137</v>
      </c>
      <c r="U41" s="36"/>
      <c r="V41" s="38" t="str">
        <f t="shared" ref="V41:V72" si="1">IF($G41&lt;&gt;"Numérico","",IF($U41="","Sin dato",IF(AND(OR(NOT(ISNUMBER($J41)),$U41&gt;=$J41),OR(NOT(ISNUMBER($K41)),$U41&lt;=$K41)),"Dentro de rango","Fuera de rango")))</f>
        <v/>
      </c>
      <c r="W41" s="36"/>
      <c r="X41" s="37"/>
    </row>
    <row r="42" spans="1:24" ht="24" outlineLevel="1" x14ac:dyDescent="0.25">
      <c r="A42" s="38" t="s">
        <v>433</v>
      </c>
      <c r="B42" s="38" t="s">
        <v>403</v>
      </c>
      <c r="C42" s="38" t="s">
        <v>404</v>
      </c>
      <c r="D42" s="38" t="s">
        <v>434</v>
      </c>
      <c r="E42" s="39" t="s">
        <v>435</v>
      </c>
      <c r="F42" s="39" t="s">
        <v>436</v>
      </c>
      <c r="G42" s="46" t="s">
        <v>220</v>
      </c>
      <c r="H42" s="46"/>
      <c r="I42" s="39" t="s">
        <v>437</v>
      </c>
      <c r="J42" s="38"/>
      <c r="K42" s="38"/>
      <c r="L42" s="38" t="s">
        <v>133</v>
      </c>
      <c r="M42" s="38" t="s">
        <v>131</v>
      </c>
      <c r="N42" s="39" t="s">
        <v>222</v>
      </c>
      <c r="O42" s="38"/>
      <c r="P42" s="39" t="s">
        <v>438</v>
      </c>
      <c r="Q42" s="38" t="s">
        <v>133</v>
      </c>
      <c r="R42" s="38" t="s">
        <v>439</v>
      </c>
      <c r="S42" s="38" t="s">
        <v>440</v>
      </c>
      <c r="T42" s="36" t="s">
        <v>137</v>
      </c>
      <c r="U42" s="36"/>
      <c r="V42" s="38" t="str">
        <f t="shared" si="1"/>
        <v/>
      </c>
      <c r="W42" s="36"/>
      <c r="X42" s="37"/>
    </row>
    <row r="43" spans="1:24" ht="48" outlineLevel="1" x14ac:dyDescent="0.25">
      <c r="A43" s="38" t="s">
        <v>441</v>
      </c>
      <c r="B43" s="38" t="s">
        <v>403</v>
      </c>
      <c r="C43" s="38" t="s">
        <v>404</v>
      </c>
      <c r="D43" s="38" t="s">
        <v>442</v>
      </c>
      <c r="E43" s="39" t="s">
        <v>443</v>
      </c>
      <c r="F43" s="39" t="s">
        <v>444</v>
      </c>
      <c r="G43" s="46" t="s">
        <v>220</v>
      </c>
      <c r="H43" s="46"/>
      <c r="I43" s="39" t="s">
        <v>445</v>
      </c>
      <c r="J43" s="38"/>
      <c r="K43" s="38"/>
      <c r="L43" s="38" t="s">
        <v>125</v>
      </c>
      <c r="M43" s="38" t="s">
        <v>136</v>
      </c>
      <c r="N43" s="39" t="s">
        <v>200</v>
      </c>
      <c r="O43" s="38"/>
      <c r="P43" s="39" t="s">
        <v>446</v>
      </c>
      <c r="Q43" s="38" t="s">
        <v>125</v>
      </c>
      <c r="R43" s="38" t="s">
        <v>447</v>
      </c>
      <c r="S43" s="38" t="s">
        <v>224</v>
      </c>
      <c r="T43" s="36" t="s">
        <v>137</v>
      </c>
      <c r="U43" s="36"/>
      <c r="V43" s="38" t="str">
        <f t="shared" si="1"/>
        <v/>
      </c>
      <c r="W43" s="36"/>
      <c r="X43" s="37"/>
    </row>
    <row r="44" spans="1:24" ht="36" outlineLevel="1" x14ac:dyDescent="0.25">
      <c r="A44" s="38" t="s">
        <v>448</v>
      </c>
      <c r="B44" s="38" t="s">
        <v>403</v>
      </c>
      <c r="C44" s="38" t="s">
        <v>404</v>
      </c>
      <c r="D44" s="38" t="s">
        <v>449</v>
      </c>
      <c r="E44" s="39" t="s">
        <v>450</v>
      </c>
      <c r="F44" s="39" t="s">
        <v>451</v>
      </c>
      <c r="G44" s="46" t="s">
        <v>265</v>
      </c>
      <c r="H44" s="46"/>
      <c r="I44" s="39" t="s">
        <v>452</v>
      </c>
      <c r="J44" s="38"/>
      <c r="K44" s="38"/>
      <c r="L44" s="38" t="s">
        <v>133</v>
      </c>
      <c r="M44" s="38" t="s">
        <v>134</v>
      </c>
      <c r="N44" s="39" t="s">
        <v>214</v>
      </c>
      <c r="O44" s="38"/>
      <c r="P44" s="39" t="s">
        <v>453</v>
      </c>
      <c r="Q44" s="38" t="s">
        <v>133</v>
      </c>
      <c r="R44" s="38" t="s">
        <v>454</v>
      </c>
      <c r="S44" s="38" t="s">
        <v>224</v>
      </c>
      <c r="T44" s="36" t="s">
        <v>137</v>
      </c>
      <c r="U44" s="36"/>
      <c r="V44" s="38" t="str">
        <f t="shared" si="1"/>
        <v/>
      </c>
      <c r="W44" s="36"/>
      <c r="X44" s="37"/>
    </row>
    <row r="45" spans="1:24" ht="36" outlineLevel="1" x14ac:dyDescent="0.25">
      <c r="A45" s="38" t="s">
        <v>455</v>
      </c>
      <c r="B45" s="38" t="s">
        <v>403</v>
      </c>
      <c r="C45" s="38" t="s">
        <v>456</v>
      </c>
      <c r="D45" s="38" t="s">
        <v>457</v>
      </c>
      <c r="E45" s="39" t="s">
        <v>458</v>
      </c>
      <c r="F45" s="39" t="s">
        <v>459</v>
      </c>
      <c r="G45" s="46" t="s">
        <v>220</v>
      </c>
      <c r="H45" s="46"/>
      <c r="I45" s="39" t="s">
        <v>460</v>
      </c>
      <c r="J45" s="38"/>
      <c r="K45" s="38"/>
      <c r="L45" s="38" t="s">
        <v>125</v>
      </c>
      <c r="M45" s="38" t="s">
        <v>134</v>
      </c>
      <c r="N45" s="39" t="s">
        <v>461</v>
      </c>
      <c r="O45" s="38" t="s">
        <v>462</v>
      </c>
      <c r="P45" s="39" t="s">
        <v>463</v>
      </c>
      <c r="Q45" s="38" t="s">
        <v>125</v>
      </c>
      <c r="R45" s="38" t="s">
        <v>464</v>
      </c>
      <c r="S45" s="38" t="s">
        <v>202</v>
      </c>
      <c r="T45" s="36" t="s">
        <v>137</v>
      </c>
      <c r="U45" s="36"/>
      <c r="V45" s="38" t="str">
        <f t="shared" si="1"/>
        <v/>
      </c>
      <c r="W45" s="36"/>
      <c r="X45" s="37"/>
    </row>
    <row r="46" spans="1:24" ht="36" outlineLevel="1" x14ac:dyDescent="0.25">
      <c r="A46" s="38" t="s">
        <v>465</v>
      </c>
      <c r="B46" s="38" t="s">
        <v>403</v>
      </c>
      <c r="C46" s="38" t="s">
        <v>456</v>
      </c>
      <c r="D46" s="38" t="s">
        <v>466</v>
      </c>
      <c r="E46" s="39" t="s">
        <v>467</v>
      </c>
      <c r="F46" s="39" t="s">
        <v>468</v>
      </c>
      <c r="G46" s="46" t="s">
        <v>244</v>
      </c>
      <c r="H46" s="46" t="s">
        <v>469</v>
      </c>
      <c r="I46" s="39" t="s">
        <v>470</v>
      </c>
      <c r="J46" s="38">
        <v>-70</v>
      </c>
      <c r="K46" s="38">
        <v>-50</v>
      </c>
      <c r="L46" s="38" t="s">
        <v>125</v>
      </c>
      <c r="M46" s="38" t="s">
        <v>136</v>
      </c>
      <c r="N46" s="39" t="s">
        <v>471</v>
      </c>
      <c r="O46" s="38" t="s">
        <v>472</v>
      </c>
      <c r="P46" s="39" t="s">
        <v>473</v>
      </c>
      <c r="Q46" s="38" t="s">
        <v>133</v>
      </c>
      <c r="R46" s="38" t="s">
        <v>474</v>
      </c>
      <c r="S46" s="38" t="s">
        <v>282</v>
      </c>
      <c r="T46" s="36" t="s">
        <v>137</v>
      </c>
      <c r="U46" s="36"/>
      <c r="V46" s="38" t="str">
        <f t="shared" si="1"/>
        <v>Sin dato</v>
      </c>
      <c r="W46" s="36"/>
      <c r="X46" s="37"/>
    </row>
    <row r="47" spans="1:24" ht="36" outlineLevel="1" x14ac:dyDescent="0.25">
      <c r="A47" s="38" t="s">
        <v>475</v>
      </c>
      <c r="B47" s="38" t="s">
        <v>403</v>
      </c>
      <c r="C47" s="38" t="s">
        <v>456</v>
      </c>
      <c r="D47" s="38" t="s">
        <v>476</v>
      </c>
      <c r="E47" s="39" t="s">
        <v>477</v>
      </c>
      <c r="F47" s="39" t="s">
        <v>478</v>
      </c>
      <c r="G47" s="46" t="s">
        <v>220</v>
      </c>
      <c r="H47" s="46"/>
      <c r="I47" s="39" t="s">
        <v>479</v>
      </c>
      <c r="J47" s="38"/>
      <c r="K47" s="38"/>
      <c r="L47" s="38" t="s">
        <v>133</v>
      </c>
      <c r="M47" s="38" t="s">
        <v>134</v>
      </c>
      <c r="N47" s="39" t="s">
        <v>214</v>
      </c>
      <c r="O47" s="38"/>
      <c r="P47" s="39" t="s">
        <v>480</v>
      </c>
      <c r="Q47" s="38" t="s">
        <v>133</v>
      </c>
      <c r="R47" s="38" t="s">
        <v>481</v>
      </c>
      <c r="S47" s="38" t="s">
        <v>224</v>
      </c>
      <c r="T47" s="36" t="s">
        <v>137</v>
      </c>
      <c r="U47" s="36"/>
      <c r="V47" s="38" t="str">
        <f t="shared" si="1"/>
        <v/>
      </c>
      <c r="W47" s="36"/>
      <c r="X47" s="37"/>
    </row>
    <row r="48" spans="1:24" ht="48" outlineLevel="1" x14ac:dyDescent="0.25">
      <c r="A48" s="38" t="s">
        <v>323</v>
      </c>
      <c r="B48" s="38" t="s">
        <v>403</v>
      </c>
      <c r="C48" s="38" t="s">
        <v>482</v>
      </c>
      <c r="D48" s="38" t="s">
        <v>483</v>
      </c>
      <c r="E48" s="39" t="s">
        <v>484</v>
      </c>
      <c r="F48" s="39" t="s">
        <v>485</v>
      </c>
      <c r="G48" s="46" t="s">
        <v>244</v>
      </c>
      <c r="H48" s="46" t="s">
        <v>486</v>
      </c>
      <c r="I48" s="39" t="s">
        <v>487</v>
      </c>
      <c r="J48" s="38">
        <v>60</v>
      </c>
      <c r="K48" s="38">
        <v>80</v>
      </c>
      <c r="L48" s="38" t="s">
        <v>125</v>
      </c>
      <c r="M48" s="38" t="s">
        <v>136</v>
      </c>
      <c r="N48" s="39" t="s">
        <v>488</v>
      </c>
      <c r="O48" s="38" t="s">
        <v>489</v>
      </c>
      <c r="P48" s="39" t="s">
        <v>490</v>
      </c>
      <c r="Q48" s="38" t="s">
        <v>133</v>
      </c>
      <c r="R48" s="38" t="s">
        <v>491</v>
      </c>
      <c r="S48" s="38" t="s">
        <v>492</v>
      </c>
      <c r="T48" s="36" t="s">
        <v>137</v>
      </c>
      <c r="U48" s="36"/>
      <c r="V48" s="38" t="str">
        <f t="shared" si="1"/>
        <v>Sin dato</v>
      </c>
      <c r="W48" s="36"/>
      <c r="X48" s="37"/>
    </row>
    <row r="49" spans="1:24" ht="24" outlineLevel="1" x14ac:dyDescent="0.25">
      <c r="A49" s="38" t="s">
        <v>493</v>
      </c>
      <c r="B49" s="38" t="s">
        <v>403</v>
      </c>
      <c r="C49" s="38" t="s">
        <v>482</v>
      </c>
      <c r="D49" s="38" t="s">
        <v>494</v>
      </c>
      <c r="E49" s="39" t="s">
        <v>495</v>
      </c>
      <c r="F49" s="39" t="s">
        <v>496</v>
      </c>
      <c r="G49" s="46" t="s">
        <v>220</v>
      </c>
      <c r="H49" s="46"/>
      <c r="I49" s="39" t="s">
        <v>429</v>
      </c>
      <c r="J49" s="38"/>
      <c r="K49" s="38"/>
      <c r="L49" s="38" t="s">
        <v>125</v>
      </c>
      <c r="M49" s="38" t="s">
        <v>134</v>
      </c>
      <c r="N49" s="39" t="s">
        <v>322</v>
      </c>
      <c r="O49" s="38" t="s">
        <v>323</v>
      </c>
      <c r="P49" s="39" t="s">
        <v>497</v>
      </c>
      <c r="Q49" s="38" t="s">
        <v>125</v>
      </c>
      <c r="R49" s="38" t="s">
        <v>498</v>
      </c>
      <c r="S49" s="38" t="s">
        <v>176</v>
      </c>
      <c r="T49" s="36" t="s">
        <v>137</v>
      </c>
      <c r="U49" s="36"/>
      <c r="V49" s="38" t="str">
        <f t="shared" si="1"/>
        <v/>
      </c>
      <c r="W49" s="36"/>
      <c r="X49" s="37"/>
    </row>
    <row r="50" spans="1:24" ht="48" outlineLevel="1" x14ac:dyDescent="0.25">
      <c r="A50" s="38" t="s">
        <v>499</v>
      </c>
      <c r="B50" s="38" t="s">
        <v>403</v>
      </c>
      <c r="C50" s="38" t="s">
        <v>482</v>
      </c>
      <c r="D50" s="38" t="s">
        <v>500</v>
      </c>
      <c r="E50" s="39" t="s">
        <v>501</v>
      </c>
      <c r="F50" s="39" t="s">
        <v>502</v>
      </c>
      <c r="G50" s="46" t="s">
        <v>171</v>
      </c>
      <c r="H50" s="46"/>
      <c r="I50" s="39" t="s">
        <v>503</v>
      </c>
      <c r="J50" s="38"/>
      <c r="K50" s="38"/>
      <c r="L50" s="38" t="s">
        <v>125</v>
      </c>
      <c r="M50" s="38" t="s">
        <v>136</v>
      </c>
      <c r="N50" s="39" t="s">
        <v>504</v>
      </c>
      <c r="O50" s="38" t="s">
        <v>505</v>
      </c>
      <c r="P50" s="39" t="s">
        <v>506</v>
      </c>
      <c r="Q50" s="38" t="s">
        <v>125</v>
      </c>
      <c r="R50" s="38"/>
      <c r="S50" s="38" t="s">
        <v>193</v>
      </c>
      <c r="T50" s="36" t="s">
        <v>137</v>
      </c>
      <c r="U50" s="36"/>
      <c r="V50" s="38" t="str">
        <f t="shared" si="1"/>
        <v/>
      </c>
      <c r="W50" s="36"/>
      <c r="X50" s="37"/>
    </row>
    <row r="51" spans="1:24" ht="48" outlineLevel="1" x14ac:dyDescent="0.25">
      <c r="A51" s="38" t="s">
        <v>507</v>
      </c>
      <c r="B51" s="38" t="s">
        <v>403</v>
      </c>
      <c r="C51" s="38" t="s">
        <v>508</v>
      </c>
      <c r="D51" s="38" t="s">
        <v>509</v>
      </c>
      <c r="E51" s="39" t="s">
        <v>510</v>
      </c>
      <c r="F51" s="39" t="s">
        <v>511</v>
      </c>
      <c r="G51" s="46" t="s">
        <v>244</v>
      </c>
      <c r="H51" s="46" t="s">
        <v>408</v>
      </c>
      <c r="I51" s="39" t="s">
        <v>512</v>
      </c>
      <c r="J51" s="38">
        <v>1.1599999999999999</v>
      </c>
      <c r="K51" s="38">
        <v>1.24</v>
      </c>
      <c r="L51" s="38" t="s">
        <v>125</v>
      </c>
      <c r="M51" s="38" t="s">
        <v>136</v>
      </c>
      <c r="N51" s="39" t="s">
        <v>513</v>
      </c>
      <c r="O51" s="38" t="s">
        <v>514</v>
      </c>
      <c r="P51" s="39" t="s">
        <v>515</v>
      </c>
      <c r="Q51" s="38" t="s">
        <v>133</v>
      </c>
      <c r="R51" s="38"/>
      <c r="S51" s="38" t="s">
        <v>516</v>
      </c>
      <c r="T51" s="36" t="s">
        <v>137</v>
      </c>
      <c r="U51" s="36"/>
      <c r="V51" s="38" t="str">
        <f t="shared" si="1"/>
        <v>Sin dato</v>
      </c>
      <c r="W51" s="36"/>
      <c r="X51" s="37"/>
    </row>
    <row r="52" spans="1:24" ht="48" outlineLevel="1" x14ac:dyDescent="0.25">
      <c r="A52" s="38" t="s">
        <v>517</v>
      </c>
      <c r="B52" s="38" t="s">
        <v>403</v>
      </c>
      <c r="C52" s="38" t="s">
        <v>508</v>
      </c>
      <c r="D52" s="38" t="s">
        <v>518</v>
      </c>
      <c r="E52" s="39" t="s">
        <v>519</v>
      </c>
      <c r="F52" s="39" t="s">
        <v>520</v>
      </c>
      <c r="G52" s="46" t="s">
        <v>244</v>
      </c>
      <c r="H52" s="46" t="s">
        <v>521</v>
      </c>
      <c r="I52" s="39" t="s">
        <v>522</v>
      </c>
      <c r="J52" s="38">
        <v>3.3</v>
      </c>
      <c r="K52" s="38">
        <v>7</v>
      </c>
      <c r="L52" s="38" t="s">
        <v>133</v>
      </c>
      <c r="M52" s="38" t="s">
        <v>134</v>
      </c>
      <c r="N52" s="39" t="s">
        <v>523</v>
      </c>
      <c r="O52" s="38" t="s">
        <v>524</v>
      </c>
      <c r="P52" s="39" t="s">
        <v>525</v>
      </c>
      <c r="Q52" s="38" t="s">
        <v>133</v>
      </c>
      <c r="R52" s="38" t="s">
        <v>526</v>
      </c>
      <c r="S52" s="38" t="s">
        <v>516</v>
      </c>
      <c r="T52" s="36" t="s">
        <v>137</v>
      </c>
      <c r="U52" s="36"/>
      <c r="V52" s="38" t="str">
        <f t="shared" si="1"/>
        <v>Sin dato</v>
      </c>
      <c r="W52" s="36"/>
      <c r="X52" s="37"/>
    </row>
    <row r="53" spans="1:24" ht="36" outlineLevel="1" x14ac:dyDescent="0.25">
      <c r="A53" s="38" t="s">
        <v>527</v>
      </c>
      <c r="B53" s="38" t="s">
        <v>403</v>
      </c>
      <c r="C53" s="38" t="s">
        <v>508</v>
      </c>
      <c r="D53" s="38" t="s">
        <v>528</v>
      </c>
      <c r="E53" s="39" t="s">
        <v>529</v>
      </c>
      <c r="F53" s="39" t="s">
        <v>530</v>
      </c>
      <c r="G53" s="46" t="s">
        <v>244</v>
      </c>
      <c r="H53" s="46" t="s">
        <v>408</v>
      </c>
      <c r="I53" s="39" t="s">
        <v>531</v>
      </c>
      <c r="J53" s="38">
        <v>0.3</v>
      </c>
      <c r="K53" s="38">
        <v>0.5</v>
      </c>
      <c r="L53" s="38" t="s">
        <v>133</v>
      </c>
      <c r="M53" s="38" t="s">
        <v>134</v>
      </c>
      <c r="N53" s="39" t="s">
        <v>532</v>
      </c>
      <c r="O53" s="38" t="s">
        <v>533</v>
      </c>
      <c r="P53" s="39" t="s">
        <v>534</v>
      </c>
      <c r="Q53" s="38" t="s">
        <v>133</v>
      </c>
      <c r="R53" s="38" t="s">
        <v>535</v>
      </c>
      <c r="S53" s="38" t="s">
        <v>492</v>
      </c>
      <c r="T53" s="36" t="s">
        <v>137</v>
      </c>
      <c r="U53" s="36"/>
      <c r="V53" s="38" t="str">
        <f t="shared" si="1"/>
        <v>Sin dato</v>
      </c>
      <c r="W53" s="36"/>
      <c r="X53" s="37"/>
    </row>
    <row r="54" spans="1:24" ht="36" outlineLevel="1" x14ac:dyDescent="0.25">
      <c r="A54" s="38" t="s">
        <v>536</v>
      </c>
      <c r="B54" s="38" t="s">
        <v>403</v>
      </c>
      <c r="C54" s="38" t="s">
        <v>508</v>
      </c>
      <c r="D54" s="38" t="s">
        <v>537</v>
      </c>
      <c r="E54" s="39" t="s">
        <v>538</v>
      </c>
      <c r="F54" s="39" t="s">
        <v>539</v>
      </c>
      <c r="G54" s="46" t="s">
        <v>244</v>
      </c>
      <c r="H54" s="46" t="s">
        <v>408</v>
      </c>
      <c r="I54" s="39" t="s">
        <v>540</v>
      </c>
      <c r="J54" s="38">
        <v>0</v>
      </c>
      <c r="K54" s="38">
        <v>0.3</v>
      </c>
      <c r="L54" s="38" t="s">
        <v>133</v>
      </c>
      <c r="M54" s="38" t="s">
        <v>131</v>
      </c>
      <c r="N54" s="39" t="s">
        <v>222</v>
      </c>
      <c r="O54" s="38"/>
      <c r="P54" s="39" t="s">
        <v>541</v>
      </c>
      <c r="Q54" s="38" t="s">
        <v>125</v>
      </c>
      <c r="R54" s="38"/>
      <c r="S54" s="38" t="s">
        <v>542</v>
      </c>
      <c r="T54" s="36" t="s">
        <v>137</v>
      </c>
      <c r="U54" s="36"/>
      <c r="V54" s="38" t="str">
        <f t="shared" si="1"/>
        <v>Sin dato</v>
      </c>
      <c r="W54" s="36"/>
      <c r="X54" s="37"/>
    </row>
    <row r="55" spans="1:24" ht="36" outlineLevel="1" x14ac:dyDescent="0.25">
      <c r="A55" s="38" t="s">
        <v>543</v>
      </c>
      <c r="B55" s="38" t="s">
        <v>403</v>
      </c>
      <c r="C55" s="38" t="s">
        <v>508</v>
      </c>
      <c r="D55" s="38" t="s">
        <v>544</v>
      </c>
      <c r="E55" s="39" t="s">
        <v>545</v>
      </c>
      <c r="F55" s="39" t="s">
        <v>546</v>
      </c>
      <c r="G55" s="46" t="s">
        <v>220</v>
      </c>
      <c r="H55" s="46"/>
      <c r="I55" s="39" t="s">
        <v>547</v>
      </c>
      <c r="J55" s="38"/>
      <c r="K55" s="38"/>
      <c r="L55" s="38" t="s">
        <v>133</v>
      </c>
      <c r="M55" s="38" t="s">
        <v>134</v>
      </c>
      <c r="N55" s="39" t="s">
        <v>214</v>
      </c>
      <c r="O55" s="38"/>
      <c r="P55" s="39" t="s">
        <v>548</v>
      </c>
      <c r="Q55" s="38" t="s">
        <v>133</v>
      </c>
      <c r="R55" s="38" t="s">
        <v>549</v>
      </c>
      <c r="S55" s="38" t="s">
        <v>224</v>
      </c>
      <c r="T55" s="36" t="s">
        <v>137</v>
      </c>
      <c r="U55" s="36"/>
      <c r="V55" s="38" t="str">
        <f t="shared" si="1"/>
        <v/>
      </c>
      <c r="W55" s="36"/>
      <c r="X55" s="37"/>
    </row>
    <row r="56" spans="1:24" ht="24" outlineLevel="1" x14ac:dyDescent="0.25">
      <c r="A56" s="38" t="s">
        <v>533</v>
      </c>
      <c r="B56" s="38" t="s">
        <v>403</v>
      </c>
      <c r="C56" s="38" t="s">
        <v>508</v>
      </c>
      <c r="D56" s="38" t="s">
        <v>550</v>
      </c>
      <c r="E56" s="39" t="s">
        <v>551</v>
      </c>
      <c r="F56" s="39" t="s">
        <v>552</v>
      </c>
      <c r="G56" s="46" t="s">
        <v>220</v>
      </c>
      <c r="H56" s="46"/>
      <c r="I56" s="39" t="s">
        <v>553</v>
      </c>
      <c r="J56" s="38"/>
      <c r="K56" s="38"/>
      <c r="L56" s="38" t="s">
        <v>133</v>
      </c>
      <c r="M56" s="38" t="s">
        <v>134</v>
      </c>
      <c r="N56" s="39" t="s">
        <v>554</v>
      </c>
      <c r="O56" s="38" t="s">
        <v>527</v>
      </c>
      <c r="P56" s="39" t="s">
        <v>555</v>
      </c>
      <c r="Q56" s="38" t="s">
        <v>133</v>
      </c>
      <c r="R56" s="38" t="s">
        <v>556</v>
      </c>
      <c r="S56" s="38" t="s">
        <v>224</v>
      </c>
      <c r="T56" s="36" t="s">
        <v>137</v>
      </c>
      <c r="U56" s="36"/>
      <c r="V56" s="38" t="str">
        <f t="shared" si="1"/>
        <v/>
      </c>
      <c r="W56" s="36"/>
      <c r="X56" s="37"/>
    </row>
    <row r="57" spans="1:24" ht="24" x14ac:dyDescent="0.25">
      <c r="A57" s="34" t="s">
        <v>557</v>
      </c>
      <c r="B57" s="34" t="s">
        <v>558</v>
      </c>
      <c r="C57" s="34" t="s">
        <v>559</v>
      </c>
      <c r="D57" s="34" t="s">
        <v>560</v>
      </c>
      <c r="E57" s="35" t="s">
        <v>561</v>
      </c>
      <c r="F57" s="35" t="s">
        <v>562</v>
      </c>
      <c r="G57" s="45" t="s">
        <v>171</v>
      </c>
      <c r="H57" s="45"/>
      <c r="I57" s="35" t="s">
        <v>563</v>
      </c>
      <c r="J57" s="34"/>
      <c r="K57" s="34"/>
      <c r="L57" s="34" t="s">
        <v>125</v>
      </c>
      <c r="M57" s="34" t="s">
        <v>131</v>
      </c>
      <c r="N57" s="35" t="s">
        <v>222</v>
      </c>
      <c r="O57" s="34"/>
      <c r="P57" s="35" t="s">
        <v>564</v>
      </c>
      <c r="Q57" s="34" t="s">
        <v>125</v>
      </c>
      <c r="R57" s="34"/>
      <c r="S57" s="34" t="s">
        <v>565</v>
      </c>
      <c r="T57" s="36" t="s">
        <v>137</v>
      </c>
      <c r="U57" s="36"/>
      <c r="V57" s="34" t="str">
        <f t="shared" si="1"/>
        <v/>
      </c>
      <c r="W57" s="36"/>
      <c r="X57" s="37"/>
    </row>
    <row r="58" spans="1:24" ht="24" outlineLevel="1" x14ac:dyDescent="0.25">
      <c r="A58" s="38" t="s">
        <v>566</v>
      </c>
      <c r="B58" s="38" t="s">
        <v>558</v>
      </c>
      <c r="C58" s="38" t="s">
        <v>559</v>
      </c>
      <c r="D58" s="38" t="s">
        <v>567</v>
      </c>
      <c r="E58" s="39" t="s">
        <v>568</v>
      </c>
      <c r="F58" s="39" t="s">
        <v>569</v>
      </c>
      <c r="G58" s="46" t="s">
        <v>171</v>
      </c>
      <c r="H58" s="46"/>
      <c r="I58" s="39" t="s">
        <v>570</v>
      </c>
      <c r="J58" s="38"/>
      <c r="K58" s="38"/>
      <c r="L58" s="38" t="s">
        <v>125</v>
      </c>
      <c r="M58" s="38" t="s">
        <v>134</v>
      </c>
      <c r="N58" s="39" t="s">
        <v>214</v>
      </c>
      <c r="O58" s="38"/>
      <c r="P58" s="39" t="s">
        <v>571</v>
      </c>
      <c r="Q58" s="38" t="s">
        <v>125</v>
      </c>
      <c r="R58" s="38"/>
      <c r="S58" s="38" t="s">
        <v>565</v>
      </c>
      <c r="T58" s="36" t="s">
        <v>137</v>
      </c>
      <c r="U58" s="36"/>
      <c r="V58" s="38" t="str">
        <f t="shared" si="1"/>
        <v/>
      </c>
      <c r="W58" s="36"/>
      <c r="X58" s="37"/>
    </row>
    <row r="59" spans="1:24" ht="24" outlineLevel="1" x14ac:dyDescent="0.25">
      <c r="A59" s="38" t="s">
        <v>572</v>
      </c>
      <c r="B59" s="38" t="s">
        <v>558</v>
      </c>
      <c r="C59" s="38" t="s">
        <v>559</v>
      </c>
      <c r="D59" s="38" t="s">
        <v>573</v>
      </c>
      <c r="E59" s="39" t="s">
        <v>574</v>
      </c>
      <c r="F59" s="39" t="s">
        <v>575</v>
      </c>
      <c r="G59" s="46" t="s">
        <v>220</v>
      </c>
      <c r="H59" s="46"/>
      <c r="I59" s="39" t="s">
        <v>576</v>
      </c>
      <c r="J59" s="38"/>
      <c r="K59" s="38"/>
      <c r="L59" s="38" t="s">
        <v>125</v>
      </c>
      <c r="M59" s="38" t="s">
        <v>134</v>
      </c>
      <c r="N59" s="39" t="s">
        <v>214</v>
      </c>
      <c r="O59" s="38"/>
      <c r="P59" s="39" t="s">
        <v>577</v>
      </c>
      <c r="Q59" s="38" t="s">
        <v>125</v>
      </c>
      <c r="R59" s="38" t="s">
        <v>578</v>
      </c>
      <c r="S59" s="38" t="s">
        <v>432</v>
      </c>
      <c r="T59" s="36" t="s">
        <v>137</v>
      </c>
      <c r="U59" s="36"/>
      <c r="V59" s="38" t="str">
        <f t="shared" si="1"/>
        <v/>
      </c>
      <c r="W59" s="36"/>
      <c r="X59" s="37"/>
    </row>
    <row r="60" spans="1:24" ht="24" outlineLevel="1" x14ac:dyDescent="0.25">
      <c r="A60" s="38" t="s">
        <v>579</v>
      </c>
      <c r="B60" s="38" t="s">
        <v>558</v>
      </c>
      <c r="C60" s="38" t="s">
        <v>580</v>
      </c>
      <c r="D60" s="38" t="s">
        <v>581</v>
      </c>
      <c r="E60" s="39" t="s">
        <v>582</v>
      </c>
      <c r="F60" s="39" t="s">
        <v>583</v>
      </c>
      <c r="G60" s="46" t="s">
        <v>220</v>
      </c>
      <c r="H60" s="46"/>
      <c r="I60" s="39" t="s">
        <v>584</v>
      </c>
      <c r="J60" s="38"/>
      <c r="K60" s="38"/>
      <c r="L60" s="38" t="s">
        <v>125</v>
      </c>
      <c r="M60" s="38" t="s">
        <v>134</v>
      </c>
      <c r="N60" s="39" t="s">
        <v>214</v>
      </c>
      <c r="O60" s="38"/>
      <c r="P60" s="39" t="s">
        <v>585</v>
      </c>
      <c r="Q60" s="38" t="s">
        <v>125</v>
      </c>
      <c r="R60" s="38" t="s">
        <v>586</v>
      </c>
      <c r="S60" s="38" t="s">
        <v>260</v>
      </c>
      <c r="T60" s="36" t="s">
        <v>137</v>
      </c>
      <c r="U60" s="36"/>
      <c r="V60" s="38" t="str">
        <f t="shared" si="1"/>
        <v/>
      </c>
      <c r="W60" s="36"/>
      <c r="X60" s="37"/>
    </row>
    <row r="61" spans="1:24" ht="36" outlineLevel="1" x14ac:dyDescent="0.25">
      <c r="A61" s="38" t="s">
        <v>587</v>
      </c>
      <c r="B61" s="38" t="s">
        <v>558</v>
      </c>
      <c r="C61" s="38" t="s">
        <v>580</v>
      </c>
      <c r="D61" s="38" t="s">
        <v>588</v>
      </c>
      <c r="E61" s="39" t="s">
        <v>589</v>
      </c>
      <c r="F61" s="39" t="s">
        <v>590</v>
      </c>
      <c r="G61" s="46" t="s">
        <v>171</v>
      </c>
      <c r="H61" s="46"/>
      <c r="I61" s="39" t="s">
        <v>591</v>
      </c>
      <c r="J61" s="38"/>
      <c r="K61" s="38"/>
      <c r="L61" s="38" t="s">
        <v>125</v>
      </c>
      <c r="M61" s="38" t="s">
        <v>134</v>
      </c>
      <c r="N61" s="39" t="s">
        <v>592</v>
      </c>
      <c r="O61" s="38" t="s">
        <v>593</v>
      </c>
      <c r="P61" s="39" t="s">
        <v>594</v>
      </c>
      <c r="Q61" s="38" t="s">
        <v>125</v>
      </c>
      <c r="R61" s="38"/>
      <c r="S61" s="38" t="s">
        <v>595</v>
      </c>
      <c r="T61" s="36" t="s">
        <v>137</v>
      </c>
      <c r="U61" s="36"/>
      <c r="V61" s="38" t="str">
        <f t="shared" si="1"/>
        <v/>
      </c>
      <c r="W61" s="36"/>
      <c r="X61" s="37"/>
    </row>
    <row r="62" spans="1:24" ht="24" outlineLevel="1" x14ac:dyDescent="0.25">
      <c r="A62" s="38" t="s">
        <v>596</v>
      </c>
      <c r="B62" s="38" t="s">
        <v>558</v>
      </c>
      <c r="C62" s="38" t="s">
        <v>580</v>
      </c>
      <c r="D62" s="38" t="s">
        <v>597</v>
      </c>
      <c r="E62" s="39" t="s">
        <v>598</v>
      </c>
      <c r="F62" s="39" t="s">
        <v>599</v>
      </c>
      <c r="G62" s="46" t="s">
        <v>220</v>
      </c>
      <c r="H62" s="46"/>
      <c r="I62" s="39" t="s">
        <v>600</v>
      </c>
      <c r="J62" s="38"/>
      <c r="K62" s="38"/>
      <c r="L62" s="38" t="s">
        <v>125</v>
      </c>
      <c r="M62" s="38" t="s">
        <v>134</v>
      </c>
      <c r="N62" s="39" t="s">
        <v>214</v>
      </c>
      <c r="O62" s="38"/>
      <c r="P62" s="39" t="s">
        <v>601</v>
      </c>
      <c r="Q62" s="38" t="s">
        <v>125</v>
      </c>
      <c r="R62" s="38" t="s">
        <v>602</v>
      </c>
      <c r="S62" s="38" t="s">
        <v>565</v>
      </c>
      <c r="T62" s="36" t="s">
        <v>137</v>
      </c>
      <c r="U62" s="36"/>
      <c r="V62" s="38" t="str">
        <f t="shared" si="1"/>
        <v/>
      </c>
      <c r="W62" s="36"/>
      <c r="X62" s="37"/>
    </row>
    <row r="63" spans="1:24" ht="48" outlineLevel="1" x14ac:dyDescent="0.25">
      <c r="A63" s="38" t="s">
        <v>603</v>
      </c>
      <c r="B63" s="38" t="s">
        <v>558</v>
      </c>
      <c r="C63" s="38" t="s">
        <v>604</v>
      </c>
      <c r="D63" s="38" t="s">
        <v>605</v>
      </c>
      <c r="E63" s="39" t="s">
        <v>606</v>
      </c>
      <c r="F63" s="39" t="s">
        <v>607</v>
      </c>
      <c r="G63" s="46" t="s">
        <v>244</v>
      </c>
      <c r="H63" s="46" t="s">
        <v>608</v>
      </c>
      <c r="I63" s="39" t="s">
        <v>609</v>
      </c>
      <c r="J63" s="40" t="s">
        <v>610</v>
      </c>
      <c r="K63" s="40" t="s">
        <v>610</v>
      </c>
      <c r="L63" s="38" t="s">
        <v>125</v>
      </c>
      <c r="M63" s="38" t="s">
        <v>136</v>
      </c>
      <c r="N63" s="39" t="s">
        <v>611</v>
      </c>
      <c r="O63" s="38" t="s">
        <v>612</v>
      </c>
      <c r="P63" s="39" t="s">
        <v>613</v>
      </c>
      <c r="Q63" s="38" t="s">
        <v>125</v>
      </c>
      <c r="R63" s="38" t="s">
        <v>614</v>
      </c>
      <c r="S63" s="38" t="s">
        <v>615</v>
      </c>
      <c r="T63" s="36" t="s">
        <v>137</v>
      </c>
      <c r="U63" s="36"/>
      <c r="V63" s="38" t="str">
        <f t="shared" si="1"/>
        <v>Sin dato</v>
      </c>
      <c r="W63" s="36"/>
      <c r="X63" s="37"/>
    </row>
    <row r="64" spans="1:24" ht="36" outlineLevel="1" x14ac:dyDescent="0.25">
      <c r="A64" s="38" t="s">
        <v>616</v>
      </c>
      <c r="B64" s="38" t="s">
        <v>558</v>
      </c>
      <c r="C64" s="38" t="s">
        <v>604</v>
      </c>
      <c r="D64" s="38" t="s">
        <v>617</v>
      </c>
      <c r="E64" s="39" t="s">
        <v>618</v>
      </c>
      <c r="F64" s="39" t="s">
        <v>619</v>
      </c>
      <c r="G64" s="46" t="s">
        <v>244</v>
      </c>
      <c r="H64" s="46" t="s">
        <v>620</v>
      </c>
      <c r="I64" s="39" t="s">
        <v>621</v>
      </c>
      <c r="J64" s="38"/>
      <c r="K64" s="38">
        <v>500</v>
      </c>
      <c r="L64" s="38" t="s">
        <v>125</v>
      </c>
      <c r="M64" s="38" t="s">
        <v>136</v>
      </c>
      <c r="N64" s="39" t="s">
        <v>622</v>
      </c>
      <c r="O64" s="38" t="s">
        <v>623</v>
      </c>
      <c r="P64" s="39" t="s">
        <v>624</v>
      </c>
      <c r="Q64" s="38" t="s">
        <v>125</v>
      </c>
      <c r="R64" s="38" t="s">
        <v>625</v>
      </c>
      <c r="S64" s="38" t="s">
        <v>282</v>
      </c>
      <c r="T64" s="36" t="s">
        <v>137</v>
      </c>
      <c r="U64" s="36"/>
      <c r="V64" s="38" t="str">
        <f t="shared" si="1"/>
        <v>Sin dato</v>
      </c>
      <c r="W64" s="36"/>
      <c r="X64" s="37"/>
    </row>
    <row r="65" spans="1:24" ht="48" outlineLevel="1" x14ac:dyDescent="0.25">
      <c r="A65" s="38" t="s">
        <v>626</v>
      </c>
      <c r="B65" s="38" t="s">
        <v>558</v>
      </c>
      <c r="C65" s="38" t="s">
        <v>604</v>
      </c>
      <c r="D65" s="38" t="s">
        <v>627</v>
      </c>
      <c r="E65" s="39" t="s">
        <v>628</v>
      </c>
      <c r="F65" s="39" t="s">
        <v>629</v>
      </c>
      <c r="G65" s="46" t="s">
        <v>244</v>
      </c>
      <c r="H65" s="46" t="s">
        <v>630</v>
      </c>
      <c r="I65" s="39" t="s">
        <v>631</v>
      </c>
      <c r="J65" s="38">
        <v>20</v>
      </c>
      <c r="K65" s="38">
        <v>40</v>
      </c>
      <c r="L65" s="38" t="s">
        <v>133</v>
      </c>
      <c r="M65" s="38" t="s">
        <v>134</v>
      </c>
      <c r="N65" s="39" t="s">
        <v>632</v>
      </c>
      <c r="O65" s="38" t="s">
        <v>633</v>
      </c>
      <c r="P65" s="39" t="s">
        <v>634</v>
      </c>
      <c r="Q65" s="38" t="s">
        <v>125</v>
      </c>
      <c r="R65" s="38" t="s">
        <v>635</v>
      </c>
      <c r="S65" s="38" t="s">
        <v>282</v>
      </c>
      <c r="T65" s="36" t="s">
        <v>137</v>
      </c>
      <c r="U65" s="36"/>
      <c r="V65" s="38" t="str">
        <f t="shared" si="1"/>
        <v>Sin dato</v>
      </c>
      <c r="W65" s="36"/>
      <c r="X65" s="37"/>
    </row>
    <row r="66" spans="1:24" ht="36" outlineLevel="1" x14ac:dyDescent="0.25">
      <c r="A66" s="38" t="s">
        <v>636</v>
      </c>
      <c r="B66" s="38" t="s">
        <v>558</v>
      </c>
      <c r="C66" s="38" t="s">
        <v>604</v>
      </c>
      <c r="D66" s="38" t="s">
        <v>637</v>
      </c>
      <c r="E66" s="39" t="s">
        <v>638</v>
      </c>
      <c r="F66" s="39" t="s">
        <v>639</v>
      </c>
      <c r="G66" s="46" t="s">
        <v>220</v>
      </c>
      <c r="H66" s="46"/>
      <c r="I66" s="39" t="s">
        <v>640</v>
      </c>
      <c r="J66" s="38"/>
      <c r="K66" s="38"/>
      <c r="L66" s="38" t="s">
        <v>125</v>
      </c>
      <c r="M66" s="38" t="s">
        <v>136</v>
      </c>
      <c r="N66" s="39" t="s">
        <v>641</v>
      </c>
      <c r="O66" s="38" t="s">
        <v>642</v>
      </c>
      <c r="P66" s="39" t="s">
        <v>643</v>
      </c>
      <c r="Q66" s="38" t="s">
        <v>133</v>
      </c>
      <c r="R66" s="38" t="s">
        <v>635</v>
      </c>
      <c r="S66" s="38" t="s">
        <v>260</v>
      </c>
      <c r="T66" s="36" t="s">
        <v>137</v>
      </c>
      <c r="U66" s="36"/>
      <c r="V66" s="38" t="str">
        <f t="shared" si="1"/>
        <v/>
      </c>
      <c r="W66" s="36"/>
      <c r="X66" s="37"/>
    </row>
    <row r="67" spans="1:24" ht="36" outlineLevel="1" x14ac:dyDescent="0.25">
      <c r="A67" s="38" t="s">
        <v>644</v>
      </c>
      <c r="B67" s="38" t="s">
        <v>558</v>
      </c>
      <c r="C67" s="38" t="s">
        <v>604</v>
      </c>
      <c r="D67" s="38" t="s">
        <v>645</v>
      </c>
      <c r="E67" s="39" t="s">
        <v>646</v>
      </c>
      <c r="F67" s="39" t="s">
        <v>647</v>
      </c>
      <c r="G67" s="46" t="s">
        <v>171</v>
      </c>
      <c r="H67" s="46"/>
      <c r="I67" s="39" t="s">
        <v>648</v>
      </c>
      <c r="J67" s="38"/>
      <c r="K67" s="38"/>
      <c r="L67" s="38" t="s">
        <v>125</v>
      </c>
      <c r="M67" s="38" t="s">
        <v>134</v>
      </c>
      <c r="N67" s="39" t="s">
        <v>214</v>
      </c>
      <c r="O67" s="38"/>
      <c r="P67" s="39" t="s">
        <v>649</v>
      </c>
      <c r="Q67" s="38" t="s">
        <v>125</v>
      </c>
      <c r="R67" s="38" t="s">
        <v>650</v>
      </c>
      <c r="S67" s="38" t="s">
        <v>260</v>
      </c>
      <c r="T67" s="36" t="s">
        <v>137</v>
      </c>
      <c r="U67" s="36"/>
      <c r="V67" s="38" t="str">
        <f t="shared" si="1"/>
        <v/>
      </c>
      <c r="W67" s="36"/>
      <c r="X67" s="37"/>
    </row>
    <row r="68" spans="1:24" ht="48" outlineLevel="1" x14ac:dyDescent="0.25">
      <c r="A68" s="38" t="s">
        <v>651</v>
      </c>
      <c r="B68" s="38" t="s">
        <v>558</v>
      </c>
      <c r="C68" s="38" t="s">
        <v>652</v>
      </c>
      <c r="D68" s="38" t="s">
        <v>653</v>
      </c>
      <c r="E68" s="39" t="s">
        <v>654</v>
      </c>
      <c r="F68" s="39" t="s">
        <v>655</v>
      </c>
      <c r="G68" s="46" t="s">
        <v>220</v>
      </c>
      <c r="H68" s="46"/>
      <c r="I68" s="39" t="s">
        <v>656</v>
      </c>
      <c r="J68" s="38"/>
      <c r="K68" s="38"/>
      <c r="L68" s="38" t="s">
        <v>125</v>
      </c>
      <c r="M68" s="38" t="s">
        <v>136</v>
      </c>
      <c r="N68" s="39" t="s">
        <v>657</v>
      </c>
      <c r="O68" s="38" t="s">
        <v>658</v>
      </c>
      <c r="P68" s="39" t="s">
        <v>659</v>
      </c>
      <c r="Q68" s="38" t="s">
        <v>125</v>
      </c>
      <c r="R68" s="38"/>
      <c r="S68" s="38" t="s">
        <v>660</v>
      </c>
      <c r="T68" s="36" t="s">
        <v>137</v>
      </c>
      <c r="U68" s="36"/>
      <c r="V68" s="38" t="str">
        <f t="shared" si="1"/>
        <v/>
      </c>
      <c r="W68" s="36"/>
      <c r="X68" s="37"/>
    </row>
    <row r="69" spans="1:24" ht="36" outlineLevel="1" x14ac:dyDescent="0.25">
      <c r="A69" s="38" t="s">
        <v>661</v>
      </c>
      <c r="B69" s="38" t="s">
        <v>558</v>
      </c>
      <c r="C69" s="38" t="s">
        <v>652</v>
      </c>
      <c r="D69" s="38" t="s">
        <v>662</v>
      </c>
      <c r="E69" s="39" t="s">
        <v>663</v>
      </c>
      <c r="F69" s="39" t="s">
        <v>664</v>
      </c>
      <c r="G69" s="46" t="s">
        <v>220</v>
      </c>
      <c r="H69" s="46"/>
      <c r="I69" s="39" t="s">
        <v>665</v>
      </c>
      <c r="J69" s="38"/>
      <c r="K69" s="38"/>
      <c r="L69" s="38" t="s">
        <v>133</v>
      </c>
      <c r="M69" s="38" t="s">
        <v>134</v>
      </c>
      <c r="N69" s="39" t="s">
        <v>214</v>
      </c>
      <c r="O69" s="38"/>
      <c r="P69" s="39" t="s">
        <v>666</v>
      </c>
      <c r="Q69" s="38" t="s">
        <v>125</v>
      </c>
      <c r="R69" s="38" t="s">
        <v>667</v>
      </c>
      <c r="S69" s="38" t="s">
        <v>668</v>
      </c>
      <c r="T69" s="36" t="s">
        <v>137</v>
      </c>
      <c r="U69" s="36"/>
      <c r="V69" s="38" t="str">
        <f t="shared" si="1"/>
        <v/>
      </c>
      <c r="W69" s="36"/>
      <c r="X69" s="37"/>
    </row>
    <row r="70" spans="1:24" ht="48" outlineLevel="1" x14ac:dyDescent="0.25">
      <c r="A70" s="38" t="s">
        <v>669</v>
      </c>
      <c r="B70" s="38" t="s">
        <v>558</v>
      </c>
      <c r="C70" s="38" t="s">
        <v>652</v>
      </c>
      <c r="D70" s="38" t="s">
        <v>670</v>
      </c>
      <c r="E70" s="39" t="s">
        <v>671</v>
      </c>
      <c r="F70" s="39" t="s">
        <v>672</v>
      </c>
      <c r="G70" s="46" t="s">
        <v>220</v>
      </c>
      <c r="H70" s="46"/>
      <c r="I70" s="39" t="s">
        <v>673</v>
      </c>
      <c r="J70" s="38"/>
      <c r="K70" s="38"/>
      <c r="L70" s="38" t="s">
        <v>133</v>
      </c>
      <c r="M70" s="38" t="s">
        <v>136</v>
      </c>
      <c r="N70" s="39" t="s">
        <v>674</v>
      </c>
      <c r="O70" s="38" t="s">
        <v>651</v>
      </c>
      <c r="P70" s="39" t="s">
        <v>675</v>
      </c>
      <c r="Q70" s="38" t="s">
        <v>125</v>
      </c>
      <c r="R70" s="38" t="s">
        <v>676</v>
      </c>
      <c r="S70" s="38" t="s">
        <v>677</v>
      </c>
      <c r="T70" s="36" t="s">
        <v>137</v>
      </c>
      <c r="U70" s="36"/>
      <c r="V70" s="38" t="str">
        <f t="shared" si="1"/>
        <v/>
      </c>
      <c r="W70" s="36"/>
      <c r="X70" s="37"/>
    </row>
    <row r="71" spans="1:24" ht="36" x14ac:dyDescent="0.25">
      <c r="A71" s="34" t="s">
        <v>678</v>
      </c>
      <c r="B71" s="34" t="s">
        <v>679</v>
      </c>
      <c r="C71" s="34" t="s">
        <v>680</v>
      </c>
      <c r="D71" s="34" t="s">
        <v>681</v>
      </c>
      <c r="E71" s="35" t="s">
        <v>682</v>
      </c>
      <c r="F71" s="35" t="s">
        <v>683</v>
      </c>
      <c r="G71" s="45" t="s">
        <v>220</v>
      </c>
      <c r="H71" s="45"/>
      <c r="I71" s="35" t="s">
        <v>684</v>
      </c>
      <c r="J71" s="34"/>
      <c r="K71" s="34"/>
      <c r="L71" s="34" t="s">
        <v>125</v>
      </c>
      <c r="M71" s="34" t="s">
        <v>136</v>
      </c>
      <c r="N71" s="35" t="s">
        <v>685</v>
      </c>
      <c r="O71" s="34" t="s">
        <v>507</v>
      </c>
      <c r="P71" s="35" t="s">
        <v>686</v>
      </c>
      <c r="Q71" s="34" t="s">
        <v>125</v>
      </c>
      <c r="R71" s="34" t="s">
        <v>687</v>
      </c>
      <c r="S71" s="34" t="s">
        <v>202</v>
      </c>
      <c r="T71" s="36" t="s">
        <v>137</v>
      </c>
      <c r="U71" s="36"/>
      <c r="V71" s="34" t="str">
        <f t="shared" si="1"/>
        <v/>
      </c>
      <c r="W71" s="36"/>
      <c r="X71" s="37"/>
    </row>
    <row r="72" spans="1:24" ht="48" outlineLevel="1" x14ac:dyDescent="0.25">
      <c r="A72" s="38" t="s">
        <v>688</v>
      </c>
      <c r="B72" s="38" t="s">
        <v>679</v>
      </c>
      <c r="C72" s="38" t="s">
        <v>680</v>
      </c>
      <c r="D72" s="38" t="s">
        <v>689</v>
      </c>
      <c r="E72" s="39" t="s">
        <v>690</v>
      </c>
      <c r="F72" s="39" t="s">
        <v>691</v>
      </c>
      <c r="G72" s="46" t="s">
        <v>220</v>
      </c>
      <c r="H72" s="46"/>
      <c r="I72" s="39" t="s">
        <v>692</v>
      </c>
      <c r="J72" s="38"/>
      <c r="K72" s="38"/>
      <c r="L72" s="38" t="s">
        <v>125</v>
      </c>
      <c r="M72" s="38" t="s">
        <v>134</v>
      </c>
      <c r="N72" s="39" t="s">
        <v>693</v>
      </c>
      <c r="O72" s="38" t="s">
        <v>694</v>
      </c>
      <c r="P72" s="39" t="s">
        <v>695</v>
      </c>
      <c r="Q72" s="38" t="s">
        <v>125</v>
      </c>
      <c r="R72" s="38" t="s">
        <v>696</v>
      </c>
      <c r="S72" s="38" t="s">
        <v>202</v>
      </c>
      <c r="T72" s="36" t="s">
        <v>137</v>
      </c>
      <c r="U72" s="36"/>
      <c r="V72" s="38" t="str">
        <f t="shared" si="1"/>
        <v/>
      </c>
      <c r="W72" s="36"/>
      <c r="X72" s="37"/>
    </row>
    <row r="73" spans="1:24" ht="24" outlineLevel="1" x14ac:dyDescent="0.25">
      <c r="A73" s="38" t="s">
        <v>697</v>
      </c>
      <c r="B73" s="38" t="s">
        <v>679</v>
      </c>
      <c r="C73" s="38" t="s">
        <v>680</v>
      </c>
      <c r="D73" s="38" t="s">
        <v>698</v>
      </c>
      <c r="E73" s="39" t="s">
        <v>699</v>
      </c>
      <c r="F73" s="39" t="s">
        <v>700</v>
      </c>
      <c r="G73" s="46" t="s">
        <v>265</v>
      </c>
      <c r="H73" s="46"/>
      <c r="I73" s="39" t="s">
        <v>701</v>
      </c>
      <c r="J73" s="38"/>
      <c r="K73" s="38"/>
      <c r="L73" s="38" t="s">
        <v>125</v>
      </c>
      <c r="M73" s="38" t="s">
        <v>134</v>
      </c>
      <c r="N73" s="39" t="s">
        <v>214</v>
      </c>
      <c r="O73" s="38"/>
      <c r="P73" s="39" t="s">
        <v>702</v>
      </c>
      <c r="Q73" s="38" t="s">
        <v>125</v>
      </c>
      <c r="R73" s="38"/>
      <c r="S73" s="38" t="s">
        <v>202</v>
      </c>
      <c r="T73" s="36" t="s">
        <v>137</v>
      </c>
      <c r="U73" s="36"/>
      <c r="V73" s="38" t="str">
        <f t="shared" ref="V73:V104" si="2">IF($G73&lt;&gt;"Numérico","",IF($U73="","Sin dato",IF(AND(OR(NOT(ISNUMBER($J73)),$U73&gt;=$J73),OR(NOT(ISNUMBER($K73)),$U73&lt;=$K73)),"Dentro de rango","Fuera de rango")))</f>
        <v/>
      </c>
      <c r="W73" s="36"/>
      <c r="X73" s="37"/>
    </row>
    <row r="74" spans="1:24" ht="36" outlineLevel="1" x14ac:dyDescent="0.25">
      <c r="A74" s="38" t="s">
        <v>703</v>
      </c>
      <c r="B74" s="38" t="s">
        <v>679</v>
      </c>
      <c r="C74" s="38" t="s">
        <v>680</v>
      </c>
      <c r="D74" s="38" t="s">
        <v>704</v>
      </c>
      <c r="E74" s="39" t="s">
        <v>705</v>
      </c>
      <c r="F74" s="39" t="s">
        <v>706</v>
      </c>
      <c r="G74" s="46" t="s">
        <v>220</v>
      </c>
      <c r="H74" s="46"/>
      <c r="I74" s="39" t="s">
        <v>692</v>
      </c>
      <c r="J74" s="38"/>
      <c r="K74" s="38"/>
      <c r="L74" s="38" t="s">
        <v>125</v>
      </c>
      <c r="M74" s="38" t="s">
        <v>136</v>
      </c>
      <c r="N74" s="39" t="s">
        <v>707</v>
      </c>
      <c r="O74" s="38" t="s">
        <v>603</v>
      </c>
      <c r="P74" s="39" t="s">
        <v>708</v>
      </c>
      <c r="Q74" s="38" t="s">
        <v>125</v>
      </c>
      <c r="R74" s="38" t="s">
        <v>709</v>
      </c>
      <c r="S74" s="38" t="s">
        <v>224</v>
      </c>
      <c r="T74" s="36" t="s">
        <v>137</v>
      </c>
      <c r="U74" s="36"/>
      <c r="V74" s="38" t="str">
        <f t="shared" si="2"/>
        <v/>
      </c>
      <c r="W74" s="36"/>
      <c r="X74" s="37"/>
    </row>
    <row r="75" spans="1:24" ht="24" outlineLevel="1" x14ac:dyDescent="0.25">
      <c r="A75" s="38" t="s">
        <v>710</v>
      </c>
      <c r="B75" s="38" t="s">
        <v>679</v>
      </c>
      <c r="C75" s="38" t="s">
        <v>680</v>
      </c>
      <c r="D75" s="38" t="s">
        <v>711</v>
      </c>
      <c r="E75" s="39" t="s">
        <v>712</v>
      </c>
      <c r="F75" s="39" t="s">
        <v>713</v>
      </c>
      <c r="G75" s="46" t="s">
        <v>220</v>
      </c>
      <c r="H75" s="46"/>
      <c r="I75" s="39" t="s">
        <v>692</v>
      </c>
      <c r="J75" s="38"/>
      <c r="K75" s="38"/>
      <c r="L75" s="38" t="s">
        <v>133</v>
      </c>
      <c r="M75" s="38" t="s">
        <v>131</v>
      </c>
      <c r="N75" s="39" t="s">
        <v>222</v>
      </c>
      <c r="O75" s="38"/>
      <c r="P75" s="39" t="s">
        <v>714</v>
      </c>
      <c r="Q75" s="38" t="s">
        <v>133</v>
      </c>
      <c r="R75" s="38" t="s">
        <v>715</v>
      </c>
      <c r="S75" s="38" t="s">
        <v>224</v>
      </c>
      <c r="T75" s="36" t="s">
        <v>137</v>
      </c>
      <c r="U75" s="36"/>
      <c r="V75" s="38" t="str">
        <f t="shared" si="2"/>
        <v/>
      </c>
      <c r="W75" s="36"/>
      <c r="X75" s="37"/>
    </row>
    <row r="76" spans="1:24" ht="48" outlineLevel="1" x14ac:dyDescent="0.25">
      <c r="A76" s="38" t="s">
        <v>716</v>
      </c>
      <c r="B76" s="38" t="s">
        <v>679</v>
      </c>
      <c r="C76" s="38" t="s">
        <v>717</v>
      </c>
      <c r="D76" s="38" t="s">
        <v>718</v>
      </c>
      <c r="E76" s="39" t="s">
        <v>719</v>
      </c>
      <c r="F76" s="39" t="s">
        <v>720</v>
      </c>
      <c r="G76" s="46" t="s">
        <v>244</v>
      </c>
      <c r="H76" s="46" t="s">
        <v>721</v>
      </c>
      <c r="I76" s="39" t="s">
        <v>722</v>
      </c>
      <c r="J76" s="38">
        <v>-2</v>
      </c>
      <c r="K76" s="38">
        <v>5</v>
      </c>
      <c r="L76" s="38" t="s">
        <v>125</v>
      </c>
      <c r="M76" s="38" t="s">
        <v>136</v>
      </c>
      <c r="N76" s="39" t="s">
        <v>723</v>
      </c>
      <c r="O76" s="38" t="s">
        <v>724</v>
      </c>
      <c r="P76" s="39" t="s">
        <v>725</v>
      </c>
      <c r="Q76" s="38" t="s">
        <v>125</v>
      </c>
      <c r="R76" s="38"/>
      <c r="S76" s="38" t="s">
        <v>432</v>
      </c>
      <c r="T76" s="36" t="s">
        <v>137</v>
      </c>
      <c r="U76" s="36"/>
      <c r="V76" s="38" t="str">
        <f t="shared" si="2"/>
        <v>Sin dato</v>
      </c>
      <c r="W76" s="36"/>
      <c r="X76" s="37"/>
    </row>
    <row r="77" spans="1:24" ht="36" outlineLevel="1" x14ac:dyDescent="0.25">
      <c r="A77" s="38" t="s">
        <v>726</v>
      </c>
      <c r="B77" s="38" t="s">
        <v>679</v>
      </c>
      <c r="C77" s="38" t="s">
        <v>717</v>
      </c>
      <c r="D77" s="38" t="s">
        <v>727</v>
      </c>
      <c r="E77" s="39" t="s">
        <v>728</v>
      </c>
      <c r="F77" s="39" t="s">
        <v>729</v>
      </c>
      <c r="G77" s="46" t="s">
        <v>244</v>
      </c>
      <c r="H77" s="46" t="s">
        <v>721</v>
      </c>
      <c r="I77" s="39" t="s">
        <v>722</v>
      </c>
      <c r="J77" s="38">
        <v>-2</v>
      </c>
      <c r="K77" s="38">
        <v>5</v>
      </c>
      <c r="L77" s="38" t="s">
        <v>125</v>
      </c>
      <c r="M77" s="38" t="s">
        <v>136</v>
      </c>
      <c r="N77" s="39" t="s">
        <v>730</v>
      </c>
      <c r="O77" s="38" t="s">
        <v>731</v>
      </c>
      <c r="P77" s="39" t="s">
        <v>732</v>
      </c>
      <c r="Q77" s="38" t="s">
        <v>125</v>
      </c>
      <c r="R77" s="38"/>
      <c r="S77" s="38" t="s">
        <v>432</v>
      </c>
      <c r="T77" s="36" t="s">
        <v>137</v>
      </c>
      <c r="U77" s="36"/>
      <c r="V77" s="38" t="str">
        <f t="shared" si="2"/>
        <v>Sin dato</v>
      </c>
      <c r="W77" s="36"/>
      <c r="X77" s="37"/>
    </row>
    <row r="78" spans="1:24" ht="36" outlineLevel="1" x14ac:dyDescent="0.25">
      <c r="A78" s="38" t="s">
        <v>733</v>
      </c>
      <c r="B78" s="38" t="s">
        <v>679</v>
      </c>
      <c r="C78" s="38" t="s">
        <v>717</v>
      </c>
      <c r="D78" s="38" t="s">
        <v>734</v>
      </c>
      <c r="E78" s="39" t="s">
        <v>735</v>
      </c>
      <c r="F78" s="39" t="s">
        <v>736</v>
      </c>
      <c r="G78" s="46" t="s">
        <v>244</v>
      </c>
      <c r="H78" s="46" t="s">
        <v>721</v>
      </c>
      <c r="I78" s="39" t="s">
        <v>737</v>
      </c>
      <c r="J78" s="38">
        <v>-2</v>
      </c>
      <c r="K78" s="38">
        <v>2</v>
      </c>
      <c r="L78" s="38" t="s">
        <v>133</v>
      </c>
      <c r="M78" s="38" t="s">
        <v>136</v>
      </c>
      <c r="N78" s="39" t="s">
        <v>730</v>
      </c>
      <c r="O78" s="38" t="s">
        <v>738</v>
      </c>
      <c r="P78" s="39" t="s">
        <v>739</v>
      </c>
      <c r="Q78" s="38" t="s">
        <v>125</v>
      </c>
      <c r="R78" s="38"/>
      <c r="S78" s="38" t="s">
        <v>250</v>
      </c>
      <c r="T78" s="36" t="s">
        <v>137</v>
      </c>
      <c r="U78" s="36"/>
      <c r="V78" s="38" t="str">
        <f t="shared" si="2"/>
        <v>Sin dato</v>
      </c>
      <c r="W78" s="36"/>
      <c r="X78" s="37"/>
    </row>
    <row r="79" spans="1:24" ht="36" outlineLevel="1" x14ac:dyDescent="0.25">
      <c r="A79" s="38" t="s">
        <v>740</v>
      </c>
      <c r="B79" s="38" t="s">
        <v>679</v>
      </c>
      <c r="C79" s="38" t="s">
        <v>741</v>
      </c>
      <c r="D79" s="38" t="s">
        <v>742</v>
      </c>
      <c r="E79" s="39" t="s">
        <v>743</v>
      </c>
      <c r="F79" s="39" t="s">
        <v>744</v>
      </c>
      <c r="G79" s="46" t="s">
        <v>244</v>
      </c>
      <c r="H79" s="46" t="s">
        <v>521</v>
      </c>
      <c r="I79" s="39" t="s">
        <v>745</v>
      </c>
      <c r="J79" s="38">
        <v>2.8</v>
      </c>
      <c r="K79" s="38">
        <v>3.3</v>
      </c>
      <c r="L79" s="38" t="s">
        <v>125</v>
      </c>
      <c r="M79" s="38" t="s">
        <v>134</v>
      </c>
      <c r="N79" s="39" t="s">
        <v>746</v>
      </c>
      <c r="O79" s="38" t="s">
        <v>747</v>
      </c>
      <c r="P79" s="39" t="s">
        <v>748</v>
      </c>
      <c r="Q79" s="38" t="s">
        <v>133</v>
      </c>
      <c r="R79" s="38" t="s">
        <v>749</v>
      </c>
      <c r="S79" s="38" t="s">
        <v>260</v>
      </c>
      <c r="T79" s="36" t="s">
        <v>137</v>
      </c>
      <c r="U79" s="36"/>
      <c r="V79" s="38" t="str">
        <f t="shared" si="2"/>
        <v>Sin dato</v>
      </c>
      <c r="W79" s="36"/>
      <c r="X79" s="37"/>
    </row>
    <row r="80" spans="1:24" ht="60" outlineLevel="1" x14ac:dyDescent="0.25">
      <c r="A80" s="38" t="s">
        <v>747</v>
      </c>
      <c r="B80" s="38" t="s">
        <v>679</v>
      </c>
      <c r="C80" s="38" t="s">
        <v>741</v>
      </c>
      <c r="D80" s="38" t="s">
        <v>750</v>
      </c>
      <c r="E80" s="39" t="s">
        <v>751</v>
      </c>
      <c r="F80" s="39" t="s">
        <v>752</v>
      </c>
      <c r="G80" s="46" t="s">
        <v>220</v>
      </c>
      <c r="H80" s="46"/>
      <c r="I80" s="39" t="s">
        <v>753</v>
      </c>
      <c r="J80" s="38"/>
      <c r="K80" s="38"/>
      <c r="L80" s="38" t="s">
        <v>125</v>
      </c>
      <c r="M80" s="38" t="s">
        <v>136</v>
      </c>
      <c r="N80" s="39" t="s">
        <v>754</v>
      </c>
      <c r="O80" s="38" t="s">
        <v>740</v>
      </c>
      <c r="P80" s="39" t="s">
        <v>755</v>
      </c>
      <c r="Q80" s="38" t="s">
        <v>133</v>
      </c>
      <c r="R80" s="38" t="s">
        <v>756</v>
      </c>
      <c r="S80" s="38" t="s">
        <v>260</v>
      </c>
      <c r="T80" s="36" t="s">
        <v>137</v>
      </c>
      <c r="U80" s="36"/>
      <c r="V80" s="38" t="str">
        <f t="shared" si="2"/>
        <v/>
      </c>
      <c r="W80" s="36"/>
      <c r="X80" s="37"/>
    </row>
    <row r="81" spans="1:24" ht="24" outlineLevel="1" x14ac:dyDescent="0.25">
      <c r="A81" s="38" t="s">
        <v>757</v>
      </c>
      <c r="B81" s="38" t="s">
        <v>679</v>
      </c>
      <c r="C81" s="38" t="s">
        <v>741</v>
      </c>
      <c r="D81" s="38" t="s">
        <v>758</v>
      </c>
      <c r="E81" s="39" t="s">
        <v>759</v>
      </c>
      <c r="F81" s="39" t="s">
        <v>760</v>
      </c>
      <c r="G81" s="46" t="s">
        <v>220</v>
      </c>
      <c r="H81" s="46"/>
      <c r="I81" s="39" t="s">
        <v>761</v>
      </c>
      <c r="J81" s="38"/>
      <c r="K81" s="38"/>
      <c r="L81" s="38" t="s">
        <v>125</v>
      </c>
      <c r="M81" s="38" t="s">
        <v>134</v>
      </c>
      <c r="N81" s="39" t="s">
        <v>762</v>
      </c>
      <c r="O81" s="38" t="s">
        <v>332</v>
      </c>
      <c r="P81" s="39" t="s">
        <v>763</v>
      </c>
      <c r="Q81" s="38" t="s">
        <v>125</v>
      </c>
      <c r="R81" s="38" t="s">
        <v>764</v>
      </c>
      <c r="S81" s="38" t="s">
        <v>440</v>
      </c>
      <c r="T81" s="36" t="s">
        <v>137</v>
      </c>
      <c r="U81" s="36"/>
      <c r="V81" s="38" t="str">
        <f t="shared" si="2"/>
        <v/>
      </c>
      <c r="W81" s="36"/>
      <c r="X81" s="37"/>
    </row>
    <row r="82" spans="1:24" ht="24" outlineLevel="1" x14ac:dyDescent="0.25">
      <c r="A82" s="38" t="s">
        <v>765</v>
      </c>
      <c r="B82" s="38" t="s">
        <v>679</v>
      </c>
      <c r="C82" s="38" t="s">
        <v>766</v>
      </c>
      <c r="D82" s="38" t="s">
        <v>767</v>
      </c>
      <c r="E82" s="39" t="s">
        <v>768</v>
      </c>
      <c r="F82" s="39" t="s">
        <v>769</v>
      </c>
      <c r="G82" s="46" t="s">
        <v>220</v>
      </c>
      <c r="H82" s="46"/>
      <c r="I82" s="39" t="s">
        <v>770</v>
      </c>
      <c r="J82" s="38"/>
      <c r="K82" s="38"/>
      <c r="L82" s="38" t="s">
        <v>125</v>
      </c>
      <c r="M82" s="38" t="s">
        <v>131</v>
      </c>
      <c r="N82" s="39" t="s">
        <v>222</v>
      </c>
      <c r="O82" s="38"/>
      <c r="P82" s="39" t="s">
        <v>771</v>
      </c>
      <c r="Q82" s="38" t="s">
        <v>125</v>
      </c>
      <c r="R82" s="38"/>
      <c r="S82" s="38" t="s">
        <v>565</v>
      </c>
      <c r="T82" s="36" t="s">
        <v>137</v>
      </c>
      <c r="U82" s="36"/>
      <c r="V82" s="38" t="str">
        <f t="shared" si="2"/>
        <v/>
      </c>
      <c r="W82" s="36"/>
      <c r="X82" s="37"/>
    </row>
    <row r="83" spans="1:24" ht="24" outlineLevel="1" x14ac:dyDescent="0.25">
      <c r="A83" s="38" t="s">
        <v>772</v>
      </c>
      <c r="B83" s="38" t="s">
        <v>679</v>
      </c>
      <c r="C83" s="38" t="s">
        <v>766</v>
      </c>
      <c r="D83" s="38" t="s">
        <v>773</v>
      </c>
      <c r="E83" s="39" t="s">
        <v>774</v>
      </c>
      <c r="F83" s="39" t="s">
        <v>775</v>
      </c>
      <c r="G83" s="46" t="s">
        <v>171</v>
      </c>
      <c r="H83" s="46"/>
      <c r="I83" s="39" t="s">
        <v>776</v>
      </c>
      <c r="J83" s="38"/>
      <c r="K83" s="38"/>
      <c r="L83" s="38" t="s">
        <v>125</v>
      </c>
      <c r="M83" s="38" t="s">
        <v>131</v>
      </c>
      <c r="N83" s="39" t="s">
        <v>222</v>
      </c>
      <c r="O83" s="38"/>
      <c r="P83" s="39" t="s">
        <v>777</v>
      </c>
      <c r="Q83" s="38" t="s">
        <v>125</v>
      </c>
      <c r="R83" s="38"/>
      <c r="S83" s="38" t="s">
        <v>193</v>
      </c>
      <c r="T83" s="36" t="s">
        <v>137</v>
      </c>
      <c r="U83" s="36"/>
      <c r="V83" s="38" t="str">
        <f t="shared" si="2"/>
        <v/>
      </c>
      <c r="W83" s="36"/>
      <c r="X83" s="37"/>
    </row>
    <row r="84" spans="1:24" ht="60" outlineLevel="1" x14ac:dyDescent="0.25">
      <c r="A84" s="38" t="s">
        <v>778</v>
      </c>
      <c r="B84" s="38" t="s">
        <v>679</v>
      </c>
      <c r="C84" s="38" t="s">
        <v>779</v>
      </c>
      <c r="D84" s="38" t="s">
        <v>780</v>
      </c>
      <c r="E84" s="39" t="s">
        <v>781</v>
      </c>
      <c r="F84" s="39" t="s">
        <v>782</v>
      </c>
      <c r="G84" s="46" t="s">
        <v>220</v>
      </c>
      <c r="H84" s="46"/>
      <c r="I84" s="39" t="s">
        <v>783</v>
      </c>
      <c r="J84" s="38"/>
      <c r="K84" s="38"/>
      <c r="L84" s="38" t="s">
        <v>133</v>
      </c>
      <c r="M84" s="38" t="s">
        <v>134</v>
      </c>
      <c r="N84" s="39" t="s">
        <v>784</v>
      </c>
      <c r="O84" s="38" t="s">
        <v>785</v>
      </c>
      <c r="P84" s="39" t="s">
        <v>786</v>
      </c>
      <c r="Q84" s="38" t="s">
        <v>133</v>
      </c>
      <c r="R84" s="38" t="s">
        <v>787</v>
      </c>
      <c r="S84" s="38" t="s">
        <v>788</v>
      </c>
      <c r="T84" s="36" t="s">
        <v>137</v>
      </c>
      <c r="U84" s="36"/>
      <c r="V84" s="38" t="str">
        <f t="shared" si="2"/>
        <v/>
      </c>
      <c r="W84" s="36"/>
      <c r="X84" s="37"/>
    </row>
    <row r="85" spans="1:24" ht="36" outlineLevel="1" x14ac:dyDescent="0.25">
      <c r="A85" s="38" t="s">
        <v>785</v>
      </c>
      <c r="B85" s="38" t="s">
        <v>679</v>
      </c>
      <c r="C85" s="38" t="s">
        <v>779</v>
      </c>
      <c r="D85" s="38" t="s">
        <v>789</v>
      </c>
      <c r="E85" s="39" t="s">
        <v>790</v>
      </c>
      <c r="F85" s="39" t="s">
        <v>791</v>
      </c>
      <c r="G85" s="46" t="s">
        <v>220</v>
      </c>
      <c r="H85" s="46" t="s">
        <v>521</v>
      </c>
      <c r="I85" s="39" t="s">
        <v>792</v>
      </c>
      <c r="J85" s="38">
        <v>3.2</v>
      </c>
      <c r="K85" s="38">
        <v>3.8</v>
      </c>
      <c r="L85" s="38" t="s">
        <v>133</v>
      </c>
      <c r="M85" s="38" t="s">
        <v>134</v>
      </c>
      <c r="N85" s="39" t="s">
        <v>214</v>
      </c>
      <c r="O85" s="38"/>
      <c r="P85" s="39" t="s">
        <v>793</v>
      </c>
      <c r="Q85" s="38" t="s">
        <v>133</v>
      </c>
      <c r="R85" s="38" t="s">
        <v>794</v>
      </c>
      <c r="S85" s="38" t="s">
        <v>668</v>
      </c>
      <c r="T85" s="36" t="s">
        <v>137</v>
      </c>
      <c r="U85" s="36"/>
      <c r="V85" s="38" t="str">
        <f t="shared" si="2"/>
        <v/>
      </c>
      <c r="W85" s="36"/>
      <c r="X85" s="37"/>
    </row>
    <row r="86" spans="1:24" ht="24" x14ac:dyDescent="0.25">
      <c r="A86" s="34" t="s">
        <v>795</v>
      </c>
      <c r="B86" s="34" t="s">
        <v>796</v>
      </c>
      <c r="C86" s="34" t="s">
        <v>797</v>
      </c>
      <c r="D86" s="34" t="s">
        <v>798</v>
      </c>
      <c r="E86" s="35" t="s">
        <v>799</v>
      </c>
      <c r="F86" s="35" t="s">
        <v>800</v>
      </c>
      <c r="G86" s="45" t="s">
        <v>220</v>
      </c>
      <c r="H86" s="45"/>
      <c r="I86" s="35" t="s">
        <v>553</v>
      </c>
      <c r="J86" s="34"/>
      <c r="K86" s="34"/>
      <c r="L86" s="34" t="s">
        <v>125</v>
      </c>
      <c r="M86" s="34" t="s">
        <v>134</v>
      </c>
      <c r="N86" s="35" t="s">
        <v>801</v>
      </c>
      <c r="O86" s="34" t="s">
        <v>802</v>
      </c>
      <c r="P86" s="35" t="s">
        <v>803</v>
      </c>
      <c r="Q86" s="34" t="s">
        <v>125</v>
      </c>
      <c r="R86" s="34" t="s">
        <v>804</v>
      </c>
      <c r="S86" s="34" t="s">
        <v>260</v>
      </c>
      <c r="T86" s="36" t="s">
        <v>137</v>
      </c>
      <c r="U86" s="36"/>
      <c r="V86" s="34" t="str">
        <f t="shared" si="2"/>
        <v/>
      </c>
      <c r="W86" s="36"/>
      <c r="X86" s="37"/>
    </row>
    <row r="87" spans="1:24" ht="36" outlineLevel="1" x14ac:dyDescent="0.25">
      <c r="A87" s="38" t="s">
        <v>805</v>
      </c>
      <c r="B87" s="38" t="s">
        <v>796</v>
      </c>
      <c r="C87" s="38" t="s">
        <v>797</v>
      </c>
      <c r="D87" s="38" t="s">
        <v>806</v>
      </c>
      <c r="E87" s="39" t="s">
        <v>807</v>
      </c>
      <c r="F87" s="39" t="s">
        <v>808</v>
      </c>
      <c r="G87" s="46" t="s">
        <v>230</v>
      </c>
      <c r="H87" s="46"/>
      <c r="I87" s="39" t="s">
        <v>809</v>
      </c>
      <c r="J87" s="38"/>
      <c r="K87" s="38"/>
      <c r="L87" s="38" t="s">
        <v>133</v>
      </c>
      <c r="M87" s="38" t="s">
        <v>131</v>
      </c>
      <c r="N87" s="39" t="s">
        <v>222</v>
      </c>
      <c r="O87" s="38"/>
      <c r="P87" s="39" t="s">
        <v>810</v>
      </c>
      <c r="Q87" s="38" t="s">
        <v>133</v>
      </c>
      <c r="R87" s="38" t="s">
        <v>804</v>
      </c>
      <c r="S87" s="38" t="s">
        <v>440</v>
      </c>
      <c r="T87" s="36" t="s">
        <v>137</v>
      </c>
      <c r="U87" s="36"/>
      <c r="V87" s="38" t="str">
        <f t="shared" si="2"/>
        <v/>
      </c>
      <c r="W87" s="36"/>
      <c r="X87" s="37"/>
    </row>
    <row r="88" spans="1:24" ht="48" outlineLevel="1" x14ac:dyDescent="0.25">
      <c r="A88" s="38" t="s">
        <v>802</v>
      </c>
      <c r="B88" s="38" t="s">
        <v>796</v>
      </c>
      <c r="C88" s="38" t="s">
        <v>797</v>
      </c>
      <c r="D88" s="38" t="s">
        <v>811</v>
      </c>
      <c r="E88" s="39" t="s">
        <v>812</v>
      </c>
      <c r="F88" s="39" t="s">
        <v>813</v>
      </c>
      <c r="G88" s="46" t="s">
        <v>220</v>
      </c>
      <c r="H88" s="46"/>
      <c r="I88" s="39" t="s">
        <v>814</v>
      </c>
      <c r="J88" s="38"/>
      <c r="K88" s="38"/>
      <c r="L88" s="38" t="s">
        <v>133</v>
      </c>
      <c r="M88" s="38" t="s">
        <v>134</v>
      </c>
      <c r="N88" s="39" t="s">
        <v>815</v>
      </c>
      <c r="O88" s="38" t="s">
        <v>795</v>
      </c>
      <c r="P88" s="39" t="s">
        <v>816</v>
      </c>
      <c r="Q88" s="38" t="s">
        <v>133</v>
      </c>
      <c r="R88" s="38"/>
      <c r="S88" s="38" t="s">
        <v>282</v>
      </c>
      <c r="T88" s="36" t="s">
        <v>137</v>
      </c>
      <c r="U88" s="36"/>
      <c r="V88" s="38" t="str">
        <f t="shared" si="2"/>
        <v/>
      </c>
      <c r="W88" s="36"/>
      <c r="X88" s="37"/>
    </row>
    <row r="89" spans="1:24" ht="24" outlineLevel="1" x14ac:dyDescent="0.25">
      <c r="A89" s="38" t="s">
        <v>817</v>
      </c>
      <c r="B89" s="38" t="s">
        <v>796</v>
      </c>
      <c r="C89" s="38" t="s">
        <v>797</v>
      </c>
      <c r="D89" s="38" t="s">
        <v>818</v>
      </c>
      <c r="E89" s="39" t="s">
        <v>819</v>
      </c>
      <c r="F89" s="39" t="s">
        <v>820</v>
      </c>
      <c r="G89" s="46" t="s">
        <v>220</v>
      </c>
      <c r="H89" s="46"/>
      <c r="I89" s="39" t="s">
        <v>553</v>
      </c>
      <c r="J89" s="38"/>
      <c r="K89" s="38"/>
      <c r="L89" s="38" t="s">
        <v>133</v>
      </c>
      <c r="M89" s="38" t="s">
        <v>134</v>
      </c>
      <c r="N89" s="39" t="s">
        <v>214</v>
      </c>
      <c r="O89" s="38"/>
      <c r="P89" s="39" t="s">
        <v>821</v>
      </c>
      <c r="Q89" s="38" t="s">
        <v>133</v>
      </c>
      <c r="R89" s="38" t="s">
        <v>822</v>
      </c>
      <c r="S89" s="38" t="s">
        <v>224</v>
      </c>
      <c r="T89" s="36" t="s">
        <v>137</v>
      </c>
      <c r="U89" s="36"/>
      <c r="V89" s="38" t="str">
        <f t="shared" si="2"/>
        <v/>
      </c>
      <c r="W89" s="36"/>
      <c r="X89" s="37"/>
    </row>
    <row r="90" spans="1:24" ht="24" outlineLevel="1" x14ac:dyDescent="0.25">
      <c r="A90" s="38" t="s">
        <v>823</v>
      </c>
      <c r="B90" s="38" t="s">
        <v>796</v>
      </c>
      <c r="C90" s="38" t="s">
        <v>797</v>
      </c>
      <c r="D90" s="38" t="s">
        <v>824</v>
      </c>
      <c r="E90" s="39" t="s">
        <v>825</v>
      </c>
      <c r="F90" s="39" t="s">
        <v>826</v>
      </c>
      <c r="G90" s="46" t="s">
        <v>220</v>
      </c>
      <c r="H90" s="46"/>
      <c r="I90" s="39" t="s">
        <v>553</v>
      </c>
      <c r="J90" s="38"/>
      <c r="K90" s="38"/>
      <c r="L90" s="38" t="s">
        <v>133</v>
      </c>
      <c r="M90" s="38" t="s">
        <v>134</v>
      </c>
      <c r="N90" s="39" t="s">
        <v>214</v>
      </c>
      <c r="O90" s="38"/>
      <c r="P90" s="39" t="s">
        <v>827</v>
      </c>
      <c r="Q90" s="38" t="s">
        <v>133</v>
      </c>
      <c r="R90" s="38" t="s">
        <v>828</v>
      </c>
      <c r="S90" s="38" t="s">
        <v>224</v>
      </c>
      <c r="T90" s="36" t="s">
        <v>137</v>
      </c>
      <c r="U90" s="36"/>
      <c r="V90" s="38" t="str">
        <f t="shared" si="2"/>
        <v/>
      </c>
      <c r="W90" s="36"/>
      <c r="X90" s="37"/>
    </row>
    <row r="91" spans="1:24" ht="48" outlineLevel="1" x14ac:dyDescent="0.25">
      <c r="A91" s="38" t="s">
        <v>829</v>
      </c>
      <c r="B91" s="38" t="s">
        <v>796</v>
      </c>
      <c r="C91" s="38" t="s">
        <v>797</v>
      </c>
      <c r="D91" s="38" t="s">
        <v>830</v>
      </c>
      <c r="E91" s="39" t="s">
        <v>831</v>
      </c>
      <c r="F91" s="39" t="s">
        <v>832</v>
      </c>
      <c r="G91" s="46" t="s">
        <v>171</v>
      </c>
      <c r="H91" s="46"/>
      <c r="I91" s="39" t="s">
        <v>833</v>
      </c>
      <c r="J91" s="38"/>
      <c r="K91" s="38"/>
      <c r="L91" s="38" t="s">
        <v>133</v>
      </c>
      <c r="M91" s="38" t="s">
        <v>131</v>
      </c>
      <c r="N91" s="39" t="s">
        <v>222</v>
      </c>
      <c r="O91" s="38"/>
      <c r="P91" s="39" t="s">
        <v>834</v>
      </c>
      <c r="Q91" s="38" t="s">
        <v>133</v>
      </c>
      <c r="R91" s="38"/>
      <c r="S91" s="38" t="s">
        <v>835</v>
      </c>
      <c r="T91" s="36" t="s">
        <v>137</v>
      </c>
      <c r="U91" s="36"/>
      <c r="V91" s="38" t="str">
        <f t="shared" si="2"/>
        <v/>
      </c>
      <c r="W91" s="36"/>
      <c r="X91" s="37"/>
    </row>
    <row r="92" spans="1:24" ht="24" outlineLevel="1" x14ac:dyDescent="0.25">
      <c r="A92" s="38" t="s">
        <v>836</v>
      </c>
      <c r="B92" s="38" t="s">
        <v>796</v>
      </c>
      <c r="C92" s="38" t="s">
        <v>837</v>
      </c>
      <c r="D92" s="38" t="s">
        <v>838</v>
      </c>
      <c r="E92" s="39" t="s">
        <v>839</v>
      </c>
      <c r="F92" s="39" t="s">
        <v>840</v>
      </c>
      <c r="G92" s="46" t="s">
        <v>220</v>
      </c>
      <c r="H92" s="46"/>
      <c r="I92" s="39" t="s">
        <v>429</v>
      </c>
      <c r="J92" s="38"/>
      <c r="K92" s="38"/>
      <c r="L92" s="38" t="s">
        <v>125</v>
      </c>
      <c r="M92" s="38" t="s">
        <v>134</v>
      </c>
      <c r="N92" s="39" t="s">
        <v>214</v>
      </c>
      <c r="O92" s="38"/>
      <c r="P92" s="39" t="s">
        <v>841</v>
      </c>
      <c r="Q92" s="38" t="s">
        <v>125</v>
      </c>
      <c r="R92" s="38" t="s">
        <v>325</v>
      </c>
      <c r="S92" s="38" t="s">
        <v>565</v>
      </c>
      <c r="T92" s="36" t="s">
        <v>137</v>
      </c>
      <c r="U92" s="36"/>
      <c r="V92" s="38" t="str">
        <f t="shared" si="2"/>
        <v/>
      </c>
      <c r="W92" s="36"/>
      <c r="X92" s="37"/>
    </row>
    <row r="93" spans="1:24" ht="24" outlineLevel="1" x14ac:dyDescent="0.25">
      <c r="A93" s="38" t="s">
        <v>842</v>
      </c>
      <c r="B93" s="38" t="s">
        <v>796</v>
      </c>
      <c r="C93" s="38" t="s">
        <v>837</v>
      </c>
      <c r="D93" s="38" t="s">
        <v>843</v>
      </c>
      <c r="E93" s="39" t="s">
        <v>844</v>
      </c>
      <c r="F93" s="39" t="s">
        <v>845</v>
      </c>
      <c r="G93" s="46" t="s">
        <v>220</v>
      </c>
      <c r="H93" s="46"/>
      <c r="I93" s="39" t="s">
        <v>429</v>
      </c>
      <c r="J93" s="38"/>
      <c r="K93" s="38"/>
      <c r="L93" s="38" t="s">
        <v>133</v>
      </c>
      <c r="M93" s="38" t="s">
        <v>134</v>
      </c>
      <c r="N93" s="39" t="s">
        <v>214</v>
      </c>
      <c r="O93" s="38"/>
      <c r="P93" s="39" t="s">
        <v>846</v>
      </c>
      <c r="Q93" s="38" t="s">
        <v>133</v>
      </c>
      <c r="R93" s="38" t="s">
        <v>847</v>
      </c>
      <c r="S93" s="38" t="s">
        <v>260</v>
      </c>
      <c r="T93" s="36" t="s">
        <v>137</v>
      </c>
      <c r="U93" s="36"/>
      <c r="V93" s="38" t="str">
        <f t="shared" si="2"/>
        <v/>
      </c>
      <c r="W93" s="36"/>
      <c r="X93" s="37"/>
    </row>
    <row r="94" spans="1:24" ht="24" outlineLevel="1" x14ac:dyDescent="0.25">
      <c r="A94" s="38" t="s">
        <v>848</v>
      </c>
      <c r="B94" s="38" t="s">
        <v>796</v>
      </c>
      <c r="C94" s="38" t="s">
        <v>837</v>
      </c>
      <c r="D94" s="38" t="s">
        <v>849</v>
      </c>
      <c r="E94" s="39" t="s">
        <v>850</v>
      </c>
      <c r="F94" s="39" t="s">
        <v>851</v>
      </c>
      <c r="G94" s="46" t="s">
        <v>220</v>
      </c>
      <c r="H94" s="46"/>
      <c r="I94" s="39" t="s">
        <v>852</v>
      </c>
      <c r="J94" s="38"/>
      <c r="K94" s="38"/>
      <c r="L94" s="38" t="s">
        <v>133</v>
      </c>
      <c r="M94" s="38" t="s">
        <v>134</v>
      </c>
      <c r="N94" s="39" t="s">
        <v>214</v>
      </c>
      <c r="O94" s="38"/>
      <c r="P94" s="39" t="s">
        <v>853</v>
      </c>
      <c r="Q94" s="38" t="s">
        <v>133</v>
      </c>
      <c r="R94" s="38" t="s">
        <v>854</v>
      </c>
      <c r="S94" s="38" t="s">
        <v>260</v>
      </c>
      <c r="T94" s="36" t="s">
        <v>137</v>
      </c>
      <c r="U94" s="36"/>
      <c r="V94" s="38" t="str">
        <f t="shared" si="2"/>
        <v/>
      </c>
      <c r="W94" s="36"/>
      <c r="X94" s="37"/>
    </row>
    <row r="95" spans="1:24" ht="36" x14ac:dyDescent="0.25">
      <c r="A95" s="34" t="s">
        <v>855</v>
      </c>
      <c r="B95" s="34" t="s">
        <v>856</v>
      </c>
      <c r="C95" s="34" t="s">
        <v>857</v>
      </c>
      <c r="D95" s="34" t="s">
        <v>858</v>
      </c>
      <c r="E95" s="35" t="s">
        <v>859</v>
      </c>
      <c r="F95" s="35" t="s">
        <v>860</v>
      </c>
      <c r="G95" s="45" t="s">
        <v>265</v>
      </c>
      <c r="H95" s="45"/>
      <c r="I95" s="35" t="s">
        <v>861</v>
      </c>
      <c r="J95" s="34"/>
      <c r="K95" s="34"/>
      <c r="L95" s="34" t="s">
        <v>125</v>
      </c>
      <c r="M95" s="34" t="s">
        <v>134</v>
      </c>
      <c r="N95" s="35" t="s">
        <v>862</v>
      </c>
      <c r="O95" s="34"/>
      <c r="P95" s="35" t="s">
        <v>863</v>
      </c>
      <c r="Q95" s="34" t="s">
        <v>133</v>
      </c>
      <c r="R95" s="34" t="s">
        <v>864</v>
      </c>
      <c r="S95" s="34" t="s">
        <v>202</v>
      </c>
      <c r="T95" s="36" t="s">
        <v>137</v>
      </c>
      <c r="U95" s="36"/>
      <c r="V95" s="34" t="str">
        <f t="shared" si="2"/>
        <v/>
      </c>
      <c r="W95" s="36"/>
      <c r="X95" s="37"/>
    </row>
    <row r="96" spans="1:24" ht="24" outlineLevel="1" x14ac:dyDescent="0.25">
      <c r="A96" s="38" t="s">
        <v>865</v>
      </c>
      <c r="B96" s="38" t="s">
        <v>856</v>
      </c>
      <c r="C96" s="38" t="s">
        <v>857</v>
      </c>
      <c r="D96" s="38" t="s">
        <v>866</v>
      </c>
      <c r="E96" s="39" t="s">
        <v>867</v>
      </c>
      <c r="F96" s="39" t="s">
        <v>868</v>
      </c>
      <c r="G96" s="46" t="s">
        <v>244</v>
      </c>
      <c r="H96" s="46" t="s">
        <v>869</v>
      </c>
      <c r="I96" s="39" t="s">
        <v>870</v>
      </c>
      <c r="J96" s="40" t="s">
        <v>610</v>
      </c>
      <c r="K96" s="40" t="s">
        <v>610</v>
      </c>
      <c r="L96" s="38" t="s">
        <v>125</v>
      </c>
      <c r="M96" s="38" t="s">
        <v>134</v>
      </c>
      <c r="N96" s="39" t="s">
        <v>214</v>
      </c>
      <c r="O96" s="38"/>
      <c r="P96" s="39" t="s">
        <v>871</v>
      </c>
      <c r="Q96" s="38" t="s">
        <v>133</v>
      </c>
      <c r="R96" s="38" t="s">
        <v>872</v>
      </c>
      <c r="S96" s="38" t="s">
        <v>202</v>
      </c>
      <c r="T96" s="36" t="s">
        <v>137</v>
      </c>
      <c r="U96" s="36"/>
      <c r="V96" s="38" t="str">
        <f t="shared" si="2"/>
        <v>Sin dato</v>
      </c>
      <c r="W96" s="36"/>
      <c r="X96" s="37"/>
    </row>
    <row r="97" spans="1:24" ht="24" outlineLevel="1" x14ac:dyDescent="0.25">
      <c r="A97" s="38" t="s">
        <v>873</v>
      </c>
      <c r="B97" s="38" t="s">
        <v>856</v>
      </c>
      <c r="C97" s="38" t="s">
        <v>857</v>
      </c>
      <c r="D97" s="38" t="s">
        <v>874</v>
      </c>
      <c r="E97" s="39" t="s">
        <v>875</v>
      </c>
      <c r="F97" s="39" t="s">
        <v>876</v>
      </c>
      <c r="G97" s="46" t="s">
        <v>244</v>
      </c>
      <c r="H97" s="46" t="s">
        <v>877</v>
      </c>
      <c r="I97" s="39" t="s">
        <v>870</v>
      </c>
      <c r="J97" s="38">
        <v>0</v>
      </c>
      <c r="K97" s="38">
        <v>100</v>
      </c>
      <c r="L97" s="38" t="s">
        <v>125</v>
      </c>
      <c r="M97" s="38" t="s">
        <v>134</v>
      </c>
      <c r="N97" s="39" t="s">
        <v>214</v>
      </c>
      <c r="O97" s="38"/>
      <c r="P97" s="39" t="s">
        <v>878</v>
      </c>
      <c r="Q97" s="38" t="s">
        <v>133</v>
      </c>
      <c r="R97" s="38" t="s">
        <v>872</v>
      </c>
      <c r="S97" s="38" t="s">
        <v>202</v>
      </c>
      <c r="T97" s="36" t="s">
        <v>137</v>
      </c>
      <c r="U97" s="36"/>
      <c r="V97" s="38" t="str">
        <f t="shared" si="2"/>
        <v>Sin dato</v>
      </c>
      <c r="W97" s="36"/>
      <c r="X97" s="37"/>
    </row>
    <row r="98" spans="1:24" ht="72" outlineLevel="1" x14ac:dyDescent="0.25">
      <c r="A98" s="38" t="s">
        <v>879</v>
      </c>
      <c r="B98" s="38" t="s">
        <v>856</v>
      </c>
      <c r="C98" s="38" t="s">
        <v>857</v>
      </c>
      <c r="D98" s="38" t="s">
        <v>880</v>
      </c>
      <c r="E98" s="39" t="s">
        <v>881</v>
      </c>
      <c r="F98" s="39" t="s">
        <v>882</v>
      </c>
      <c r="G98" s="46" t="s">
        <v>244</v>
      </c>
      <c r="H98" s="46" t="s">
        <v>883</v>
      </c>
      <c r="I98" s="39" t="s">
        <v>884</v>
      </c>
      <c r="J98" s="40" t="s">
        <v>610</v>
      </c>
      <c r="K98" s="40" t="s">
        <v>610</v>
      </c>
      <c r="L98" s="38" t="s">
        <v>133</v>
      </c>
      <c r="M98" s="38" t="s">
        <v>134</v>
      </c>
      <c r="N98" s="39" t="s">
        <v>885</v>
      </c>
      <c r="O98" s="38" t="s">
        <v>694</v>
      </c>
      <c r="P98" s="39" t="s">
        <v>886</v>
      </c>
      <c r="Q98" s="38" t="s">
        <v>133</v>
      </c>
      <c r="R98" s="38" t="s">
        <v>887</v>
      </c>
      <c r="S98" s="38" t="s">
        <v>888</v>
      </c>
      <c r="T98" s="36" t="s">
        <v>137</v>
      </c>
      <c r="U98" s="36"/>
      <c r="V98" s="38" t="str">
        <f t="shared" si="2"/>
        <v>Sin dato</v>
      </c>
      <c r="W98" s="36"/>
      <c r="X98" s="37"/>
    </row>
    <row r="99" spans="1:24" ht="24" outlineLevel="1" x14ac:dyDescent="0.25">
      <c r="A99" s="38" t="s">
        <v>889</v>
      </c>
      <c r="B99" s="38" t="s">
        <v>856</v>
      </c>
      <c r="C99" s="38" t="s">
        <v>890</v>
      </c>
      <c r="D99" s="38" t="s">
        <v>891</v>
      </c>
      <c r="E99" s="39" t="s">
        <v>892</v>
      </c>
      <c r="F99" s="39" t="s">
        <v>893</v>
      </c>
      <c r="G99" s="46" t="s">
        <v>244</v>
      </c>
      <c r="H99" s="46" t="s">
        <v>869</v>
      </c>
      <c r="I99" s="39" t="s">
        <v>894</v>
      </c>
      <c r="J99" s="40" t="s">
        <v>610</v>
      </c>
      <c r="K99" s="40" t="s">
        <v>610</v>
      </c>
      <c r="L99" s="38" t="s">
        <v>133</v>
      </c>
      <c r="M99" s="38" t="s">
        <v>131</v>
      </c>
      <c r="N99" s="39" t="s">
        <v>222</v>
      </c>
      <c r="O99" s="38"/>
      <c r="P99" s="39" t="s">
        <v>895</v>
      </c>
      <c r="Q99" s="38" t="s">
        <v>133</v>
      </c>
      <c r="R99" s="38" t="s">
        <v>896</v>
      </c>
      <c r="S99" s="38" t="s">
        <v>440</v>
      </c>
      <c r="T99" s="36" t="s">
        <v>137</v>
      </c>
      <c r="U99" s="36"/>
      <c r="V99" s="38" t="str">
        <f t="shared" si="2"/>
        <v>Sin dato</v>
      </c>
      <c r="W99" s="36"/>
      <c r="X99" s="37"/>
    </row>
    <row r="100" spans="1:24" ht="24" outlineLevel="1" x14ac:dyDescent="0.25">
      <c r="A100" s="38" t="s">
        <v>897</v>
      </c>
      <c r="B100" s="38" t="s">
        <v>856</v>
      </c>
      <c r="C100" s="38" t="s">
        <v>890</v>
      </c>
      <c r="D100" s="38" t="s">
        <v>898</v>
      </c>
      <c r="E100" s="39" t="s">
        <v>899</v>
      </c>
      <c r="F100" s="39" t="s">
        <v>900</v>
      </c>
      <c r="G100" s="46" t="s">
        <v>220</v>
      </c>
      <c r="H100" s="46"/>
      <c r="I100" s="39" t="s">
        <v>901</v>
      </c>
      <c r="J100" s="38"/>
      <c r="K100" s="38"/>
      <c r="L100" s="38" t="s">
        <v>125</v>
      </c>
      <c r="M100" s="38" t="s">
        <v>131</v>
      </c>
      <c r="N100" s="39" t="s">
        <v>222</v>
      </c>
      <c r="O100" s="38"/>
      <c r="P100" s="39" t="s">
        <v>902</v>
      </c>
      <c r="Q100" s="38" t="s">
        <v>133</v>
      </c>
      <c r="R100" s="38"/>
      <c r="S100" s="38" t="s">
        <v>440</v>
      </c>
      <c r="T100" s="36" t="s">
        <v>137</v>
      </c>
      <c r="U100" s="36"/>
      <c r="V100" s="38" t="str">
        <f t="shared" si="2"/>
        <v/>
      </c>
      <c r="W100" s="36"/>
      <c r="X100" s="37"/>
    </row>
    <row r="101" spans="1:24" ht="24" x14ac:dyDescent="0.25">
      <c r="A101" s="34" t="s">
        <v>903</v>
      </c>
      <c r="B101" s="34" t="s">
        <v>904</v>
      </c>
      <c r="C101" s="34" t="s">
        <v>905</v>
      </c>
      <c r="D101" s="34" t="s">
        <v>906</v>
      </c>
      <c r="E101" s="35" t="s">
        <v>907</v>
      </c>
      <c r="F101" s="35" t="s">
        <v>908</v>
      </c>
      <c r="G101" s="45" t="s">
        <v>220</v>
      </c>
      <c r="H101" s="45"/>
      <c r="I101" s="35" t="s">
        <v>909</v>
      </c>
      <c r="J101" s="34"/>
      <c r="K101" s="34"/>
      <c r="L101" s="34" t="s">
        <v>125</v>
      </c>
      <c r="M101" s="34" t="s">
        <v>131</v>
      </c>
      <c r="N101" s="35" t="s">
        <v>222</v>
      </c>
      <c r="O101" s="34"/>
      <c r="P101" s="35" t="s">
        <v>910</v>
      </c>
      <c r="Q101" s="34" t="s">
        <v>125</v>
      </c>
      <c r="R101" s="34"/>
      <c r="S101" s="34" t="s">
        <v>565</v>
      </c>
      <c r="T101" s="36" t="s">
        <v>137</v>
      </c>
      <c r="U101" s="36"/>
      <c r="V101" s="34" t="str">
        <f t="shared" si="2"/>
        <v/>
      </c>
      <c r="W101" s="36"/>
      <c r="X101" s="37"/>
    </row>
    <row r="102" spans="1:24" ht="24" outlineLevel="1" x14ac:dyDescent="0.25">
      <c r="A102" s="38" t="s">
        <v>911</v>
      </c>
      <c r="B102" s="38" t="s">
        <v>904</v>
      </c>
      <c r="C102" s="38" t="s">
        <v>905</v>
      </c>
      <c r="D102" s="38" t="s">
        <v>912</v>
      </c>
      <c r="E102" s="39" t="s">
        <v>913</v>
      </c>
      <c r="F102" s="39" t="s">
        <v>914</v>
      </c>
      <c r="G102" s="46" t="s">
        <v>220</v>
      </c>
      <c r="H102" s="46"/>
      <c r="I102" s="39" t="s">
        <v>915</v>
      </c>
      <c r="J102" s="38"/>
      <c r="K102" s="38"/>
      <c r="L102" s="38" t="s">
        <v>125</v>
      </c>
      <c r="M102" s="38" t="s">
        <v>134</v>
      </c>
      <c r="N102" s="39" t="s">
        <v>214</v>
      </c>
      <c r="O102" s="38"/>
      <c r="P102" s="39" t="s">
        <v>916</v>
      </c>
      <c r="Q102" s="38" t="s">
        <v>125</v>
      </c>
      <c r="R102" s="38"/>
      <c r="S102" s="38" t="s">
        <v>565</v>
      </c>
      <c r="T102" s="36" t="s">
        <v>137</v>
      </c>
      <c r="U102" s="36"/>
      <c r="V102" s="38" t="str">
        <f t="shared" si="2"/>
        <v/>
      </c>
      <c r="W102" s="36"/>
      <c r="X102" s="37"/>
    </row>
    <row r="103" spans="1:24" ht="36" outlineLevel="1" x14ac:dyDescent="0.25">
      <c r="A103" s="38" t="s">
        <v>917</v>
      </c>
      <c r="B103" s="38" t="s">
        <v>904</v>
      </c>
      <c r="C103" s="38" t="s">
        <v>905</v>
      </c>
      <c r="D103" s="38" t="s">
        <v>918</v>
      </c>
      <c r="E103" s="39" t="s">
        <v>919</v>
      </c>
      <c r="F103" s="39" t="s">
        <v>920</v>
      </c>
      <c r="G103" s="46" t="s">
        <v>220</v>
      </c>
      <c r="H103" s="46"/>
      <c r="I103" s="39" t="s">
        <v>921</v>
      </c>
      <c r="J103" s="38"/>
      <c r="K103" s="38"/>
      <c r="L103" s="38" t="s">
        <v>133</v>
      </c>
      <c r="M103" s="38" t="s">
        <v>134</v>
      </c>
      <c r="N103" s="39" t="s">
        <v>214</v>
      </c>
      <c r="O103" s="38"/>
      <c r="P103" s="39" t="s">
        <v>922</v>
      </c>
      <c r="Q103" s="38" t="s">
        <v>133</v>
      </c>
      <c r="R103" s="38" t="s">
        <v>923</v>
      </c>
      <c r="S103" s="38" t="s">
        <v>282</v>
      </c>
      <c r="T103" s="36" t="s">
        <v>137</v>
      </c>
      <c r="U103" s="36"/>
      <c r="V103" s="38" t="str">
        <f t="shared" si="2"/>
        <v/>
      </c>
      <c r="W103" s="36"/>
      <c r="X103" s="37"/>
    </row>
    <row r="104" spans="1:24" ht="24" outlineLevel="1" x14ac:dyDescent="0.25">
      <c r="A104" s="38" t="s">
        <v>924</v>
      </c>
      <c r="B104" s="38" t="s">
        <v>904</v>
      </c>
      <c r="C104" s="38" t="s">
        <v>905</v>
      </c>
      <c r="D104" s="38" t="s">
        <v>925</v>
      </c>
      <c r="E104" s="39" t="s">
        <v>926</v>
      </c>
      <c r="F104" s="39" t="s">
        <v>927</v>
      </c>
      <c r="G104" s="46" t="s">
        <v>220</v>
      </c>
      <c r="H104" s="46"/>
      <c r="I104" s="39" t="s">
        <v>928</v>
      </c>
      <c r="J104" s="38"/>
      <c r="K104" s="38"/>
      <c r="L104" s="38" t="s">
        <v>133</v>
      </c>
      <c r="M104" s="38" t="s">
        <v>134</v>
      </c>
      <c r="N104" s="39" t="s">
        <v>214</v>
      </c>
      <c r="O104" s="38"/>
      <c r="P104" s="39" t="s">
        <v>929</v>
      </c>
      <c r="Q104" s="38" t="s">
        <v>133</v>
      </c>
      <c r="R104" s="38" t="s">
        <v>930</v>
      </c>
      <c r="S104" s="38" t="s">
        <v>282</v>
      </c>
      <c r="T104" s="36" t="s">
        <v>137</v>
      </c>
      <c r="U104" s="36"/>
      <c r="V104" s="38" t="str">
        <f t="shared" si="2"/>
        <v/>
      </c>
      <c r="W104" s="36"/>
      <c r="X104" s="37"/>
    </row>
    <row r="105" spans="1:24" ht="36" outlineLevel="1" x14ac:dyDescent="0.25">
      <c r="A105" s="38" t="s">
        <v>332</v>
      </c>
      <c r="B105" s="38" t="s">
        <v>904</v>
      </c>
      <c r="C105" s="38" t="s">
        <v>905</v>
      </c>
      <c r="D105" s="38" t="s">
        <v>931</v>
      </c>
      <c r="E105" s="39" t="s">
        <v>932</v>
      </c>
      <c r="F105" s="39" t="s">
        <v>933</v>
      </c>
      <c r="G105" s="46" t="s">
        <v>220</v>
      </c>
      <c r="H105" s="46"/>
      <c r="I105" s="39" t="s">
        <v>934</v>
      </c>
      <c r="J105" s="38"/>
      <c r="K105" s="38"/>
      <c r="L105" s="38" t="s">
        <v>133</v>
      </c>
      <c r="M105" s="38" t="s">
        <v>134</v>
      </c>
      <c r="N105" s="39" t="s">
        <v>935</v>
      </c>
      <c r="O105" s="38" t="s">
        <v>936</v>
      </c>
      <c r="P105" s="39" t="s">
        <v>937</v>
      </c>
      <c r="Q105" s="38" t="s">
        <v>133</v>
      </c>
      <c r="R105" s="38" t="s">
        <v>938</v>
      </c>
      <c r="S105" s="38" t="s">
        <v>668</v>
      </c>
      <c r="T105" s="36" t="s">
        <v>137</v>
      </c>
      <c r="U105" s="36"/>
      <c r="V105" s="38" t="str">
        <f t="shared" ref="V105:V111" si="3">IF($G105&lt;&gt;"Numérico","",IF($U105="","Sin dato",IF(AND(OR(NOT(ISNUMBER($J105)),$U105&gt;=$J105),OR(NOT(ISNUMBER($K105)),$U105&lt;=$K105)),"Dentro de rango","Fuera de rango")))</f>
        <v/>
      </c>
      <c r="W105" s="36"/>
      <c r="X105" s="37"/>
    </row>
    <row r="106" spans="1:24" ht="36" outlineLevel="1" x14ac:dyDescent="0.25">
      <c r="A106" s="38" t="s">
        <v>939</v>
      </c>
      <c r="B106" s="38" t="s">
        <v>904</v>
      </c>
      <c r="C106" s="38" t="s">
        <v>940</v>
      </c>
      <c r="D106" s="38" t="s">
        <v>941</v>
      </c>
      <c r="E106" s="39" t="s">
        <v>942</v>
      </c>
      <c r="F106" s="39" t="s">
        <v>943</v>
      </c>
      <c r="G106" s="46" t="s">
        <v>220</v>
      </c>
      <c r="H106" s="46"/>
      <c r="I106" s="39" t="s">
        <v>944</v>
      </c>
      <c r="J106" s="38"/>
      <c r="K106" s="38"/>
      <c r="L106" s="38" t="s">
        <v>125</v>
      </c>
      <c r="M106" s="38" t="s">
        <v>136</v>
      </c>
      <c r="N106" s="39" t="s">
        <v>200</v>
      </c>
      <c r="O106" s="38"/>
      <c r="P106" s="39" t="s">
        <v>945</v>
      </c>
      <c r="Q106" s="38" t="s">
        <v>125</v>
      </c>
      <c r="R106" s="38" t="s">
        <v>946</v>
      </c>
      <c r="S106" s="38" t="s">
        <v>260</v>
      </c>
      <c r="T106" s="36" t="s">
        <v>137</v>
      </c>
      <c r="U106" s="36"/>
      <c r="V106" s="38" t="str">
        <f t="shared" si="3"/>
        <v/>
      </c>
      <c r="W106" s="36"/>
      <c r="X106" s="37"/>
    </row>
    <row r="107" spans="1:24" ht="24" outlineLevel="1" x14ac:dyDescent="0.25">
      <c r="A107" s="38" t="s">
        <v>947</v>
      </c>
      <c r="B107" s="38" t="s">
        <v>904</v>
      </c>
      <c r="C107" s="38" t="s">
        <v>940</v>
      </c>
      <c r="D107" s="38" t="s">
        <v>948</v>
      </c>
      <c r="E107" s="39" t="s">
        <v>949</v>
      </c>
      <c r="F107" s="39" t="s">
        <v>950</v>
      </c>
      <c r="G107" s="46" t="s">
        <v>220</v>
      </c>
      <c r="H107" s="46"/>
      <c r="I107" s="39" t="s">
        <v>951</v>
      </c>
      <c r="J107" s="38"/>
      <c r="K107" s="38"/>
      <c r="L107" s="38" t="s">
        <v>125</v>
      </c>
      <c r="M107" s="38" t="s">
        <v>134</v>
      </c>
      <c r="N107" s="39" t="s">
        <v>214</v>
      </c>
      <c r="O107" s="38"/>
      <c r="P107" s="39" t="s">
        <v>952</v>
      </c>
      <c r="Q107" s="38" t="s">
        <v>125</v>
      </c>
      <c r="R107" s="38" t="s">
        <v>953</v>
      </c>
      <c r="S107" s="38" t="s">
        <v>260</v>
      </c>
      <c r="T107" s="36" t="s">
        <v>137</v>
      </c>
      <c r="U107" s="36"/>
      <c r="V107" s="38" t="str">
        <f t="shared" si="3"/>
        <v/>
      </c>
      <c r="W107" s="36"/>
      <c r="X107" s="37"/>
    </row>
    <row r="108" spans="1:24" ht="36" outlineLevel="1" x14ac:dyDescent="0.25">
      <c r="A108" s="38" t="s">
        <v>954</v>
      </c>
      <c r="B108" s="38" t="s">
        <v>904</v>
      </c>
      <c r="C108" s="38" t="s">
        <v>940</v>
      </c>
      <c r="D108" s="38" t="s">
        <v>955</v>
      </c>
      <c r="E108" s="39" t="s">
        <v>956</v>
      </c>
      <c r="F108" s="39" t="s">
        <v>957</v>
      </c>
      <c r="G108" s="46" t="s">
        <v>171</v>
      </c>
      <c r="H108" s="46"/>
      <c r="I108" s="39" t="s">
        <v>958</v>
      </c>
      <c r="J108" s="38"/>
      <c r="K108" s="38"/>
      <c r="L108" s="38" t="s">
        <v>125</v>
      </c>
      <c r="M108" s="38" t="s">
        <v>136</v>
      </c>
      <c r="N108" s="39" t="s">
        <v>200</v>
      </c>
      <c r="O108" s="38"/>
      <c r="P108" s="39" t="s">
        <v>959</v>
      </c>
      <c r="Q108" s="38" t="s">
        <v>125</v>
      </c>
      <c r="R108" s="38"/>
      <c r="S108" s="38" t="s">
        <v>260</v>
      </c>
      <c r="T108" s="36" t="s">
        <v>137</v>
      </c>
      <c r="U108" s="36"/>
      <c r="V108" s="38" t="str">
        <f t="shared" si="3"/>
        <v/>
      </c>
      <c r="W108" s="36"/>
      <c r="X108" s="37"/>
    </row>
    <row r="109" spans="1:24" ht="36" outlineLevel="1" x14ac:dyDescent="0.25">
      <c r="A109" s="38" t="s">
        <v>960</v>
      </c>
      <c r="B109" s="38" t="s">
        <v>904</v>
      </c>
      <c r="C109" s="38" t="s">
        <v>961</v>
      </c>
      <c r="D109" s="38" t="s">
        <v>962</v>
      </c>
      <c r="E109" s="39" t="s">
        <v>963</v>
      </c>
      <c r="F109" s="39" t="s">
        <v>964</v>
      </c>
      <c r="G109" s="46" t="s">
        <v>220</v>
      </c>
      <c r="H109" s="46"/>
      <c r="I109" s="39" t="s">
        <v>965</v>
      </c>
      <c r="J109" s="38"/>
      <c r="K109" s="38"/>
      <c r="L109" s="38" t="s">
        <v>125</v>
      </c>
      <c r="M109" s="38" t="s">
        <v>136</v>
      </c>
      <c r="N109" s="39" t="s">
        <v>200</v>
      </c>
      <c r="O109" s="38"/>
      <c r="P109" s="39" t="s">
        <v>966</v>
      </c>
      <c r="Q109" s="38" t="s">
        <v>133</v>
      </c>
      <c r="R109" s="38" t="s">
        <v>967</v>
      </c>
      <c r="S109" s="38" t="s">
        <v>440</v>
      </c>
      <c r="T109" s="36" t="s">
        <v>137</v>
      </c>
      <c r="U109" s="36"/>
      <c r="V109" s="38" t="str">
        <f t="shared" si="3"/>
        <v/>
      </c>
      <c r="W109" s="36"/>
      <c r="X109" s="37"/>
    </row>
    <row r="110" spans="1:24" ht="36" outlineLevel="1" x14ac:dyDescent="0.25">
      <c r="A110" s="38" t="s">
        <v>968</v>
      </c>
      <c r="B110" s="38" t="s">
        <v>904</v>
      </c>
      <c r="C110" s="38" t="s">
        <v>961</v>
      </c>
      <c r="D110" s="38" t="s">
        <v>969</v>
      </c>
      <c r="E110" s="39" t="s">
        <v>970</v>
      </c>
      <c r="F110" s="39" t="s">
        <v>971</v>
      </c>
      <c r="G110" s="46" t="s">
        <v>220</v>
      </c>
      <c r="H110" s="46"/>
      <c r="I110" s="39" t="s">
        <v>972</v>
      </c>
      <c r="J110" s="38"/>
      <c r="K110" s="38"/>
      <c r="L110" s="38" t="s">
        <v>125</v>
      </c>
      <c r="M110" s="38" t="s">
        <v>136</v>
      </c>
      <c r="N110" s="39" t="s">
        <v>200</v>
      </c>
      <c r="O110" s="38"/>
      <c r="P110" s="39" t="s">
        <v>973</v>
      </c>
      <c r="Q110" s="38" t="s">
        <v>133</v>
      </c>
      <c r="R110" s="38"/>
      <c r="S110" s="38" t="s">
        <v>440</v>
      </c>
      <c r="T110" s="36" t="s">
        <v>137</v>
      </c>
      <c r="U110" s="36"/>
      <c r="V110" s="38" t="str">
        <f t="shared" si="3"/>
        <v/>
      </c>
      <c r="W110" s="36"/>
      <c r="X110" s="37"/>
    </row>
    <row r="111" spans="1:24" ht="36" outlineLevel="1" x14ac:dyDescent="0.25">
      <c r="A111" s="38" t="s">
        <v>974</v>
      </c>
      <c r="B111" s="38" t="s">
        <v>904</v>
      </c>
      <c r="C111" s="38" t="s">
        <v>961</v>
      </c>
      <c r="D111" s="38" t="s">
        <v>975</v>
      </c>
      <c r="E111" s="39" t="s">
        <v>976</v>
      </c>
      <c r="F111" s="39" t="s">
        <v>977</v>
      </c>
      <c r="G111" s="46" t="s">
        <v>220</v>
      </c>
      <c r="H111" s="46"/>
      <c r="I111" s="39" t="s">
        <v>978</v>
      </c>
      <c r="J111" s="38"/>
      <c r="K111" s="38"/>
      <c r="L111" s="38" t="s">
        <v>133</v>
      </c>
      <c r="M111" s="38" t="s">
        <v>134</v>
      </c>
      <c r="N111" s="39" t="s">
        <v>214</v>
      </c>
      <c r="O111" s="38"/>
      <c r="P111" s="39" t="s">
        <v>979</v>
      </c>
      <c r="Q111" s="38" t="s">
        <v>133</v>
      </c>
      <c r="R111" s="38" t="s">
        <v>980</v>
      </c>
      <c r="S111" s="38" t="s">
        <v>224</v>
      </c>
      <c r="T111" s="36" t="s">
        <v>137</v>
      </c>
      <c r="U111" s="36"/>
      <c r="V111" s="38" t="str">
        <f t="shared" si="3"/>
        <v/>
      </c>
      <c r="W111" s="36"/>
      <c r="X111" s="37"/>
    </row>
    <row r="113" spans="1:2" x14ac:dyDescent="0.25">
      <c r="A113" s="41" t="s">
        <v>981</v>
      </c>
      <c r="B113" s="42" t="s">
        <v>982</v>
      </c>
    </row>
    <row r="114" spans="1:2" x14ac:dyDescent="0.25">
      <c r="B114" s="42" t="s">
        <v>983</v>
      </c>
    </row>
    <row r="115" spans="1:2" x14ac:dyDescent="0.25">
      <c r="B115" s="42" t="s">
        <v>984</v>
      </c>
    </row>
    <row r="116" spans="1:2" x14ac:dyDescent="0.25">
      <c r="B116" s="43" t="s">
        <v>985</v>
      </c>
    </row>
    <row r="117" spans="1:2" x14ac:dyDescent="0.25">
      <c r="B117" s="43" t="s">
        <v>986</v>
      </c>
    </row>
    <row r="118" spans="1:2" x14ac:dyDescent="0.25">
      <c r="B118" s="43" t="s">
        <v>987</v>
      </c>
    </row>
    <row r="119" spans="1:2" x14ac:dyDescent="0.25">
      <c r="B119" s="43" t="s">
        <v>988</v>
      </c>
    </row>
  </sheetData>
  <autoFilter ref="A8:X111" xr:uid="{00000000-0009-0000-0000-000002000000}"/>
  <conditionalFormatting sqref="M9:M111">
    <cfRule type="cellIs" dxfId="7" priority="6" operator="equal">
      <formula>"Bloqueante"</formula>
    </cfRule>
    <cfRule type="cellIs" dxfId="6" priority="7" operator="equal">
      <formula>"Cobrable"</formula>
    </cfRule>
    <cfRule type="cellIs" dxfId="5" priority="8" operator="equal">
      <formula>"Alerta"</formula>
    </cfRule>
  </conditionalFormatting>
  <conditionalFormatting sqref="T9:T111">
    <cfRule type="cellIs" dxfId="4" priority="2" operator="equal">
      <formula>"Conforme"</formula>
    </cfRule>
    <cfRule type="cellIs" dxfId="3" priority="3" operator="equal">
      <formula>"No conforme"</formula>
    </cfRule>
    <cfRule type="cellIs" dxfId="2" priority="4" operator="equal">
      <formula>"Requiere reemplazo"</formula>
    </cfRule>
  </conditionalFormatting>
  <conditionalFormatting sqref="V9:V111">
    <cfRule type="cellIs" dxfId="1" priority="5" operator="equal">
      <formula>"Fuera de rango"</formula>
    </cfRule>
  </conditionalFormatting>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Listas!$A$2:$A$6</xm:f>
          </x14:formula1>
          <x14:formula2>
            <xm:f>0</xm:f>
          </x14:formula2>
          <xm:sqref>T9:T111</xm:sqref>
        </x14:dataValidation>
        <x14:dataValidation type="list" allowBlank="1" xr:uid="{00000000-0002-0000-0200-000001000000}">
          <x14:formula1>
            <xm:f>Listas!$B$2:$B$4</xm:f>
          </x14:formula1>
          <x14:formula2>
            <xm:f>0</xm:f>
          </x14:formula2>
          <xm:sqref>W9:W111</xm:sqref>
        </x14:dataValidation>
        <x14:dataValidation type="list" allowBlank="1" xr:uid="{00000000-0002-0000-0200-000002000000}">
          <x14:formula1>
            <xm:f>Listas!$D$2:$D$4</xm:f>
          </x14:formula1>
          <x14:formula2>
            <xm:f>0</xm:f>
          </x14:formula2>
          <xm:sqref>M9:M111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showGridLines="0" zoomScaleNormal="100" workbookViewId="0"/>
  </sheetViews>
  <sheetFormatPr baseColWidth="10" defaultColWidth="8.7109375" defaultRowHeight="15" x14ac:dyDescent="0.25"/>
  <cols>
    <col min="1" max="1" width="40" customWidth="1"/>
    <col min="2" max="2" width="9" customWidth="1"/>
    <col min="3" max="3" width="11" customWidth="1"/>
    <col min="4" max="4" width="13" customWidth="1"/>
    <col min="5" max="5" width="20" customWidth="1"/>
    <col min="6" max="7" width="11" customWidth="1"/>
    <col min="8" max="8" width="14" customWidth="1"/>
    <col min="9" max="9" width="15" customWidth="1"/>
  </cols>
  <sheetData>
    <row r="1" spans="1:9" ht="16.5" x14ac:dyDescent="0.25">
      <c r="A1" s="15" t="s">
        <v>989</v>
      </c>
    </row>
    <row r="2" spans="1:9" x14ac:dyDescent="0.25">
      <c r="A2" s="14" t="s">
        <v>990</v>
      </c>
    </row>
    <row r="4" spans="1:9" ht="31.5" customHeight="1" x14ac:dyDescent="0.25">
      <c r="A4" s="11" t="s">
        <v>148</v>
      </c>
      <c r="B4" s="11" t="s">
        <v>991</v>
      </c>
      <c r="C4" s="11" t="s">
        <v>130</v>
      </c>
      <c r="D4" s="11" t="s">
        <v>132</v>
      </c>
      <c r="E4" s="11" t="s">
        <v>124</v>
      </c>
      <c r="F4" s="11" t="s">
        <v>135</v>
      </c>
      <c r="G4" s="11" t="s">
        <v>137</v>
      </c>
      <c r="H4" s="11" t="s">
        <v>992</v>
      </c>
      <c r="I4" s="11" t="s">
        <v>993</v>
      </c>
    </row>
    <row r="5" spans="1:9" x14ac:dyDescent="0.25">
      <c r="A5" s="16" t="s">
        <v>166</v>
      </c>
      <c r="B5" s="17">
        <f>COUNTIF(Inspección!$B$9:$B$111,$A5)</f>
        <v>10</v>
      </c>
      <c r="C5" s="17">
        <f>COUNTIFS(Inspección!$B$9:$B$111,$A5,Inspección!$T$9:$T$111,"Conforme")</f>
        <v>0</v>
      </c>
      <c r="D5" s="17">
        <f>COUNTIFS(Inspección!$B$9:$B$111,$A5,Inspección!$T$9:$T$111,"No conforme")</f>
        <v>0</v>
      </c>
      <c r="E5" s="17">
        <f>COUNTIFS(Inspección!$B$9:$B$111,$A5,Inspección!$T$9:$T$111,"Requiere reemplazo")</f>
        <v>0</v>
      </c>
      <c r="F5" s="17">
        <f>COUNTIFS(Inspección!$B$9:$B$111,$A5,Inspección!$T$9:$T$111,"No aplica")</f>
        <v>0</v>
      </c>
      <c r="G5" s="17">
        <f>COUNTIFS(Inspección!$B$9:$B$111,$A5,Inspección!$T$9:$T$111,"Pendiente")</f>
        <v>10</v>
      </c>
      <c r="H5" s="18" t="str">
        <f t="shared" ref="H5:H13" si="0">IFERROR($C5/($B5-$F5-$G5),"")</f>
        <v/>
      </c>
      <c r="I5" s="17">
        <f>COUNTIFS(Inspección!$B$9:$B$111,$A5,Inspección!$V$9:$V$111,"Fuera de rango")</f>
        <v>0</v>
      </c>
    </row>
    <row r="6" spans="1:9" x14ac:dyDescent="0.25">
      <c r="A6" s="16" t="s">
        <v>252</v>
      </c>
      <c r="B6" s="17">
        <f>COUNTIF(Inspección!$B$9:$B$111,$A6)</f>
        <v>20</v>
      </c>
      <c r="C6" s="17">
        <f>COUNTIFS(Inspección!$B$9:$B$111,$A6,Inspección!$T$9:$T$111,"Conforme")</f>
        <v>0</v>
      </c>
      <c r="D6" s="17">
        <f>COUNTIFS(Inspección!$B$9:$B$111,$A6,Inspección!$T$9:$T$111,"No conforme")</f>
        <v>0</v>
      </c>
      <c r="E6" s="17">
        <f>COUNTIFS(Inspección!$B$9:$B$111,$A6,Inspección!$T$9:$T$111,"Requiere reemplazo")</f>
        <v>0</v>
      </c>
      <c r="F6" s="17">
        <f>COUNTIFS(Inspección!$B$9:$B$111,$A6,Inspección!$T$9:$T$111,"No aplica")</f>
        <v>0</v>
      </c>
      <c r="G6" s="17">
        <f>COUNTIFS(Inspección!$B$9:$B$111,$A6,Inspección!$T$9:$T$111,"Pendiente")</f>
        <v>20</v>
      </c>
      <c r="H6" s="18" t="str">
        <f t="shared" si="0"/>
        <v/>
      </c>
      <c r="I6" s="17">
        <f>COUNTIFS(Inspección!$B$9:$B$111,$A6,Inspección!$V$9:$V$111,"Fuera de rango")</f>
        <v>0</v>
      </c>
    </row>
    <row r="7" spans="1:9" x14ac:dyDescent="0.25">
      <c r="A7" s="16" t="s">
        <v>403</v>
      </c>
      <c r="B7" s="17">
        <f>COUNTIF(Inspección!$B$9:$B$111,$A7)</f>
        <v>18</v>
      </c>
      <c r="C7" s="17">
        <f>COUNTIFS(Inspección!$B$9:$B$111,$A7,Inspección!$T$9:$T$111,"Conforme")</f>
        <v>0</v>
      </c>
      <c r="D7" s="17">
        <f>COUNTIFS(Inspección!$B$9:$B$111,$A7,Inspección!$T$9:$T$111,"No conforme")</f>
        <v>0</v>
      </c>
      <c r="E7" s="17">
        <f>COUNTIFS(Inspección!$B$9:$B$111,$A7,Inspección!$T$9:$T$111,"Requiere reemplazo")</f>
        <v>1</v>
      </c>
      <c r="F7" s="17">
        <f>COUNTIFS(Inspección!$B$9:$B$111,$A7,Inspección!$T$9:$T$111,"No aplica")</f>
        <v>0</v>
      </c>
      <c r="G7" s="17">
        <f>COUNTIFS(Inspección!$B$9:$B$111,$A7,Inspección!$T$9:$T$111,"Pendiente")</f>
        <v>17</v>
      </c>
      <c r="H7" s="18">
        <f t="shared" si="0"/>
        <v>0</v>
      </c>
      <c r="I7" s="17">
        <f>COUNTIFS(Inspección!$B$9:$B$111,$A7,Inspección!$V$9:$V$111,"Fuera de rango")</f>
        <v>1</v>
      </c>
    </row>
    <row r="8" spans="1:9" x14ac:dyDescent="0.25">
      <c r="A8" s="16" t="s">
        <v>558</v>
      </c>
      <c r="B8" s="17">
        <f>COUNTIF(Inspección!$B$9:$B$111,$A8)</f>
        <v>14</v>
      </c>
      <c r="C8" s="17">
        <f>COUNTIFS(Inspección!$B$9:$B$111,$A8,Inspección!$T$9:$T$111,"Conforme")</f>
        <v>0</v>
      </c>
      <c r="D8" s="17">
        <f>COUNTIFS(Inspección!$B$9:$B$111,$A8,Inspección!$T$9:$T$111,"No conforme")</f>
        <v>0</v>
      </c>
      <c r="E8" s="17">
        <f>COUNTIFS(Inspección!$B$9:$B$111,$A8,Inspección!$T$9:$T$111,"Requiere reemplazo")</f>
        <v>0</v>
      </c>
      <c r="F8" s="17">
        <f>COUNTIFS(Inspección!$B$9:$B$111,$A8,Inspección!$T$9:$T$111,"No aplica")</f>
        <v>0</v>
      </c>
      <c r="G8" s="17">
        <f>COUNTIFS(Inspección!$B$9:$B$111,$A8,Inspección!$T$9:$T$111,"Pendiente")</f>
        <v>14</v>
      </c>
      <c r="H8" s="18" t="str">
        <f t="shared" si="0"/>
        <v/>
      </c>
      <c r="I8" s="17">
        <f>COUNTIFS(Inspección!$B$9:$B$111,$A8,Inspección!$V$9:$V$111,"Fuera de rango")</f>
        <v>0</v>
      </c>
    </row>
    <row r="9" spans="1:9" x14ac:dyDescent="0.25">
      <c r="A9" s="16" t="s">
        <v>679</v>
      </c>
      <c r="B9" s="17">
        <f>COUNTIF(Inspección!$B$9:$B$111,$A9)</f>
        <v>15</v>
      </c>
      <c r="C9" s="17">
        <f>COUNTIFS(Inspección!$B$9:$B$111,$A9,Inspección!$T$9:$T$111,"Conforme")</f>
        <v>0</v>
      </c>
      <c r="D9" s="17">
        <f>COUNTIFS(Inspección!$B$9:$B$111,$A9,Inspección!$T$9:$T$111,"No conforme")</f>
        <v>0</v>
      </c>
      <c r="E9" s="17">
        <f>COUNTIFS(Inspección!$B$9:$B$111,$A9,Inspección!$T$9:$T$111,"Requiere reemplazo")</f>
        <v>0</v>
      </c>
      <c r="F9" s="17">
        <f>COUNTIFS(Inspección!$B$9:$B$111,$A9,Inspección!$T$9:$T$111,"No aplica")</f>
        <v>0</v>
      </c>
      <c r="G9" s="17">
        <f>COUNTIFS(Inspección!$B$9:$B$111,$A9,Inspección!$T$9:$T$111,"Pendiente")</f>
        <v>15</v>
      </c>
      <c r="H9" s="18" t="str">
        <f t="shared" si="0"/>
        <v/>
      </c>
      <c r="I9" s="17">
        <f>COUNTIFS(Inspección!$B$9:$B$111,$A9,Inspección!$V$9:$V$111,"Fuera de rango")</f>
        <v>0</v>
      </c>
    </row>
    <row r="10" spans="1:9" x14ac:dyDescent="0.25">
      <c r="A10" s="16" t="s">
        <v>796</v>
      </c>
      <c r="B10" s="17">
        <f>COUNTIF(Inspección!$B$9:$B$111,$A10)</f>
        <v>9</v>
      </c>
      <c r="C10" s="17">
        <f>COUNTIFS(Inspección!$B$9:$B$111,$A10,Inspección!$T$9:$T$111,"Conforme")</f>
        <v>0</v>
      </c>
      <c r="D10" s="17">
        <f>COUNTIFS(Inspección!$B$9:$B$111,$A10,Inspección!$T$9:$T$111,"No conforme")</f>
        <v>0</v>
      </c>
      <c r="E10" s="17">
        <f>COUNTIFS(Inspección!$B$9:$B$111,$A10,Inspección!$T$9:$T$111,"Requiere reemplazo")</f>
        <v>0</v>
      </c>
      <c r="F10" s="17">
        <f>COUNTIFS(Inspección!$B$9:$B$111,$A10,Inspección!$T$9:$T$111,"No aplica")</f>
        <v>0</v>
      </c>
      <c r="G10" s="17">
        <f>COUNTIFS(Inspección!$B$9:$B$111,$A10,Inspección!$T$9:$T$111,"Pendiente")</f>
        <v>9</v>
      </c>
      <c r="H10" s="18" t="str">
        <f t="shared" si="0"/>
        <v/>
      </c>
      <c r="I10" s="17">
        <f>COUNTIFS(Inspección!$B$9:$B$111,$A10,Inspección!$V$9:$V$111,"Fuera de rango")</f>
        <v>0</v>
      </c>
    </row>
    <row r="11" spans="1:9" x14ac:dyDescent="0.25">
      <c r="A11" s="16" t="s">
        <v>856</v>
      </c>
      <c r="B11" s="17">
        <f>COUNTIF(Inspección!$B$9:$B$111,$A11)</f>
        <v>6</v>
      </c>
      <c r="C11" s="17">
        <f>COUNTIFS(Inspección!$B$9:$B$111,$A11,Inspección!$T$9:$T$111,"Conforme")</f>
        <v>0</v>
      </c>
      <c r="D11" s="17">
        <f>COUNTIFS(Inspección!$B$9:$B$111,$A11,Inspección!$T$9:$T$111,"No conforme")</f>
        <v>0</v>
      </c>
      <c r="E11" s="17">
        <f>COUNTIFS(Inspección!$B$9:$B$111,$A11,Inspección!$T$9:$T$111,"Requiere reemplazo")</f>
        <v>0</v>
      </c>
      <c r="F11" s="17">
        <f>COUNTIFS(Inspección!$B$9:$B$111,$A11,Inspección!$T$9:$T$111,"No aplica")</f>
        <v>0</v>
      </c>
      <c r="G11" s="17">
        <f>COUNTIFS(Inspección!$B$9:$B$111,$A11,Inspección!$T$9:$T$111,"Pendiente")</f>
        <v>6</v>
      </c>
      <c r="H11" s="18" t="str">
        <f t="shared" si="0"/>
        <v/>
      </c>
      <c r="I11" s="17">
        <f>COUNTIFS(Inspección!$B$9:$B$111,$A11,Inspección!$V$9:$V$111,"Fuera de rango")</f>
        <v>0</v>
      </c>
    </row>
    <row r="12" spans="1:9" x14ac:dyDescent="0.25">
      <c r="A12" s="16" t="s">
        <v>904</v>
      </c>
      <c r="B12" s="17">
        <f>COUNTIF(Inspección!$B$9:$B$111,$A12)</f>
        <v>11</v>
      </c>
      <c r="C12" s="17">
        <f>COUNTIFS(Inspección!$B$9:$B$111,$A12,Inspección!$T$9:$T$111,"Conforme")</f>
        <v>0</v>
      </c>
      <c r="D12" s="17">
        <f>COUNTIFS(Inspección!$B$9:$B$111,$A12,Inspección!$T$9:$T$111,"No conforme")</f>
        <v>0</v>
      </c>
      <c r="E12" s="17">
        <f>COUNTIFS(Inspección!$B$9:$B$111,$A12,Inspección!$T$9:$T$111,"Requiere reemplazo")</f>
        <v>0</v>
      </c>
      <c r="F12" s="17">
        <f>COUNTIFS(Inspección!$B$9:$B$111,$A12,Inspección!$T$9:$T$111,"No aplica")</f>
        <v>0</v>
      </c>
      <c r="G12" s="17">
        <f>COUNTIFS(Inspección!$B$9:$B$111,$A12,Inspección!$T$9:$T$111,"Pendiente")</f>
        <v>11</v>
      </c>
      <c r="H12" s="18" t="str">
        <f t="shared" si="0"/>
        <v/>
      </c>
      <c r="I12" s="17">
        <f>COUNTIFS(Inspección!$B$9:$B$111,$A12,Inspección!$V$9:$V$111,"Fuera de rango")</f>
        <v>0</v>
      </c>
    </row>
    <row r="13" spans="1:9" x14ac:dyDescent="0.25">
      <c r="A13" s="19" t="s">
        <v>994</v>
      </c>
      <c r="B13" s="19">
        <f t="shared" ref="B13:G13" si="1">SUM(B5:B12)</f>
        <v>103</v>
      </c>
      <c r="C13" s="19">
        <f t="shared" si="1"/>
        <v>0</v>
      </c>
      <c r="D13" s="19">
        <f t="shared" si="1"/>
        <v>0</v>
      </c>
      <c r="E13" s="19">
        <f t="shared" si="1"/>
        <v>1</v>
      </c>
      <c r="F13" s="19">
        <f t="shared" si="1"/>
        <v>0</v>
      </c>
      <c r="G13" s="19">
        <f t="shared" si="1"/>
        <v>102</v>
      </c>
      <c r="H13" s="20">
        <f t="shared" si="0"/>
        <v>0</v>
      </c>
      <c r="I13" s="19">
        <f>SUM(I5:I12)</f>
        <v>1</v>
      </c>
    </row>
    <row r="15" spans="1:9" x14ac:dyDescent="0.25">
      <c r="A15" s="21" t="s">
        <v>995</v>
      </c>
    </row>
    <row r="16" spans="1:9" x14ac:dyDescent="0.25">
      <c r="A16" s="21" t="s">
        <v>996</v>
      </c>
    </row>
    <row r="19" spans="1:3" ht="16.5" x14ac:dyDescent="0.25">
      <c r="A19" s="15" t="s">
        <v>997</v>
      </c>
    </row>
    <row r="20" spans="1:3" x14ac:dyDescent="0.25">
      <c r="A20" s="14" t="s">
        <v>998</v>
      </c>
    </row>
    <row r="22" spans="1:3" ht="31.5" customHeight="1" x14ac:dyDescent="0.25">
      <c r="A22" s="11" t="s">
        <v>129</v>
      </c>
      <c r="B22" s="11" t="s">
        <v>999</v>
      </c>
      <c r="C22" s="11" t="s">
        <v>1000</v>
      </c>
    </row>
    <row r="23" spans="1:3" x14ac:dyDescent="0.25">
      <c r="A23" s="22" t="s">
        <v>131</v>
      </c>
      <c r="B23" s="23">
        <f>COUNTIF(Inspección!$M$9:$M$111,$A23)</f>
        <v>19</v>
      </c>
      <c r="C23" s="23">
        <f>COUNTIFS(Inspección!$M$9:$M$111,$A23,Inspección!$T$9:$T$111,"No conforme")+COUNTIFS(Inspección!$M$9:$M$111,$A23,Inspección!$T$9:$T$111,"Requiere reemplazo")</f>
        <v>0</v>
      </c>
    </row>
    <row r="24" spans="1:3" x14ac:dyDescent="0.25">
      <c r="A24" s="24" t="s">
        <v>134</v>
      </c>
      <c r="B24" s="23">
        <f>COUNTIF(Inspección!$M$9:$M$111,$A24)</f>
        <v>57</v>
      </c>
      <c r="C24" s="23">
        <f>COUNTIFS(Inspección!$M$9:$M$111,$A24,Inspección!$T$9:$T$111,"No conforme")+COUNTIFS(Inspección!$M$9:$M$111,$A24,Inspección!$T$9:$T$111,"Requiere reemplazo")</f>
        <v>0</v>
      </c>
    </row>
    <row r="25" spans="1:3" x14ac:dyDescent="0.25">
      <c r="A25" s="25" t="s">
        <v>136</v>
      </c>
      <c r="B25" s="23">
        <f>COUNTIF(Inspección!$M$9:$M$111,$A25)</f>
        <v>27</v>
      </c>
      <c r="C25" s="23">
        <f>COUNTIFS(Inspección!$M$9:$M$111,$A25,Inspección!$T$9:$T$111,"No conforme")+COUNTIFS(Inspección!$M$9:$M$111,$A25,Inspección!$T$9:$T$111,"Requiere reemplazo")</f>
        <v>1</v>
      </c>
    </row>
    <row r="26" spans="1:3" x14ac:dyDescent="0.25">
      <c r="A26" s="19" t="s">
        <v>994</v>
      </c>
      <c r="B26" s="19">
        <f>SUM(B23:B25)</f>
        <v>103</v>
      </c>
      <c r="C26" s="19">
        <f>SUM(C23:C25)</f>
        <v>1</v>
      </c>
    </row>
    <row r="28" spans="1:3" x14ac:dyDescent="0.25">
      <c r="A28" s="14" t="s">
        <v>1001</v>
      </c>
    </row>
    <row r="29" spans="1:3" x14ac:dyDescent="0.25">
      <c r="A29" s="14" t="s">
        <v>1002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8"/>
  <sheetViews>
    <sheetView showGridLines="0" zoomScaleNormal="100" workbookViewId="0">
      <pane ySplit="4" topLeftCell="A5" activePane="bottomLeft" state="frozen"/>
      <selection pane="bottomLeft"/>
    </sheetView>
  </sheetViews>
  <sheetFormatPr baseColWidth="10" defaultColWidth="8.7109375" defaultRowHeight="15" x14ac:dyDescent="0.25"/>
  <cols>
    <col min="1" max="1" width="38" customWidth="1"/>
    <col min="2" max="2" width="60" customWidth="1"/>
    <col min="3" max="3" width="22" customWidth="1"/>
  </cols>
  <sheetData>
    <row r="1" spans="1:3" ht="18" x14ac:dyDescent="0.25">
      <c r="A1" s="10" t="s">
        <v>1003</v>
      </c>
    </row>
    <row r="2" spans="1:3" ht="42" customHeight="1" x14ac:dyDescent="0.25">
      <c r="A2" s="26" t="s">
        <v>1004</v>
      </c>
    </row>
    <row r="3" spans="1:3" ht="42" customHeight="1" x14ac:dyDescent="0.25">
      <c r="A3" s="27" t="s">
        <v>1005</v>
      </c>
    </row>
    <row r="5" spans="1:3" ht="19.5" customHeight="1" x14ac:dyDescent="0.25">
      <c r="A5" s="2" t="s">
        <v>1006</v>
      </c>
      <c r="B5" s="2"/>
      <c r="C5" s="2"/>
    </row>
    <row r="6" spans="1:3" x14ac:dyDescent="0.25">
      <c r="A6" s="1" t="s">
        <v>1007</v>
      </c>
      <c r="B6" s="1"/>
      <c r="C6" s="1"/>
    </row>
    <row r="7" spans="1:3" x14ac:dyDescent="0.25">
      <c r="A7" s="28" t="s">
        <v>1008</v>
      </c>
      <c r="B7" s="28" t="s">
        <v>1009</v>
      </c>
      <c r="C7" s="28" t="s">
        <v>1010</v>
      </c>
    </row>
    <row r="8" spans="1:3" x14ac:dyDescent="0.25">
      <c r="A8" s="13" t="s">
        <v>1011</v>
      </c>
      <c r="B8" s="13" t="s">
        <v>1012</v>
      </c>
      <c r="C8" s="13" t="s">
        <v>269</v>
      </c>
    </row>
    <row r="9" spans="1:3" ht="24" x14ac:dyDescent="0.25">
      <c r="A9" s="13" t="s">
        <v>1013</v>
      </c>
      <c r="B9" s="13" t="s">
        <v>1014</v>
      </c>
      <c r="C9" s="13" t="s">
        <v>165</v>
      </c>
    </row>
    <row r="10" spans="1:3" ht="24" x14ac:dyDescent="0.25">
      <c r="A10" s="13" t="s">
        <v>1015</v>
      </c>
      <c r="B10" s="13" t="s">
        <v>1016</v>
      </c>
      <c r="C10" s="13" t="s">
        <v>165</v>
      </c>
    </row>
    <row r="11" spans="1:3" ht="24" x14ac:dyDescent="0.25">
      <c r="A11" s="13" t="s">
        <v>1017</v>
      </c>
      <c r="B11" s="13" t="s">
        <v>1018</v>
      </c>
      <c r="C11" s="13" t="s">
        <v>747</v>
      </c>
    </row>
    <row r="12" spans="1:3" x14ac:dyDescent="0.25">
      <c r="A12" s="13" t="s">
        <v>1019</v>
      </c>
      <c r="B12" s="13" t="s">
        <v>1020</v>
      </c>
      <c r="C12" s="13" t="s">
        <v>855</v>
      </c>
    </row>
    <row r="14" spans="1:3" ht="19.5" customHeight="1" x14ac:dyDescent="0.25">
      <c r="A14" s="2" t="s">
        <v>1021</v>
      </c>
      <c r="B14" s="2"/>
      <c r="C14" s="2"/>
    </row>
    <row r="15" spans="1:3" x14ac:dyDescent="0.25">
      <c r="A15" s="1" t="s">
        <v>1022</v>
      </c>
      <c r="B15" s="1"/>
      <c r="C15" s="1"/>
    </row>
    <row r="16" spans="1:3" x14ac:dyDescent="0.25">
      <c r="A16" s="28" t="s">
        <v>1008</v>
      </c>
      <c r="B16" s="28" t="s">
        <v>1009</v>
      </c>
      <c r="C16" s="28" t="s">
        <v>1010</v>
      </c>
    </row>
    <row r="17" spans="1:3" ht="24" x14ac:dyDescent="0.25">
      <c r="A17" s="13" t="s">
        <v>1023</v>
      </c>
      <c r="B17" s="13" t="s">
        <v>1024</v>
      </c>
      <c r="C17" s="13" t="s">
        <v>455</v>
      </c>
    </row>
    <row r="18" spans="1:3" ht="24" x14ac:dyDescent="0.25">
      <c r="A18" s="13" t="s">
        <v>1025</v>
      </c>
      <c r="B18" s="13" t="s">
        <v>1026</v>
      </c>
      <c r="C18" s="13" t="s">
        <v>1027</v>
      </c>
    </row>
    <row r="19" spans="1:3" ht="24" x14ac:dyDescent="0.25">
      <c r="A19" s="13" t="s">
        <v>1028</v>
      </c>
      <c r="B19" s="13" t="s">
        <v>1029</v>
      </c>
      <c r="C19" s="13" t="s">
        <v>499</v>
      </c>
    </row>
    <row r="21" spans="1:3" ht="19.5" customHeight="1" x14ac:dyDescent="0.25">
      <c r="A21" s="2" t="s">
        <v>1030</v>
      </c>
      <c r="B21" s="2"/>
      <c r="C21" s="2"/>
    </row>
    <row r="22" spans="1:3" x14ac:dyDescent="0.25">
      <c r="A22" s="1" t="s">
        <v>1031</v>
      </c>
      <c r="B22" s="1"/>
      <c r="C22" s="1"/>
    </row>
    <row r="23" spans="1:3" x14ac:dyDescent="0.25">
      <c r="A23" s="28" t="s">
        <v>1008</v>
      </c>
      <c r="B23" s="28" t="s">
        <v>1009</v>
      </c>
      <c r="C23" s="28" t="s">
        <v>1010</v>
      </c>
    </row>
    <row r="24" spans="1:3" ht="36" x14ac:dyDescent="0.25">
      <c r="A24" s="13" t="s">
        <v>1032</v>
      </c>
      <c r="B24" s="13" t="s">
        <v>1033</v>
      </c>
      <c r="C24" s="13" t="s">
        <v>507</v>
      </c>
    </row>
    <row r="25" spans="1:3" ht="24" x14ac:dyDescent="0.25">
      <c r="A25" s="13" t="s">
        <v>1034</v>
      </c>
      <c r="B25" s="13" t="s">
        <v>1035</v>
      </c>
      <c r="C25" s="13" t="s">
        <v>1036</v>
      </c>
    </row>
    <row r="26" spans="1:3" ht="24" x14ac:dyDescent="0.25">
      <c r="A26" s="13" t="s">
        <v>1037</v>
      </c>
      <c r="B26" s="13" t="s">
        <v>1038</v>
      </c>
      <c r="C26" s="13"/>
    </row>
    <row r="27" spans="1:3" ht="36" x14ac:dyDescent="0.25">
      <c r="A27" s="13" t="s">
        <v>1039</v>
      </c>
      <c r="B27" s="13" t="s">
        <v>1040</v>
      </c>
      <c r="C27" s="13" t="s">
        <v>1041</v>
      </c>
    </row>
    <row r="28" spans="1:3" ht="36" x14ac:dyDescent="0.25">
      <c r="A28" s="13" t="s">
        <v>1042</v>
      </c>
      <c r="B28" s="13" t="s">
        <v>1043</v>
      </c>
      <c r="C28" s="13"/>
    </row>
    <row r="29" spans="1:3" ht="24" x14ac:dyDescent="0.25">
      <c r="A29" s="13" t="s">
        <v>1044</v>
      </c>
      <c r="B29" s="13" t="s">
        <v>1045</v>
      </c>
      <c r="C29" s="13" t="s">
        <v>1046</v>
      </c>
    </row>
    <row r="30" spans="1:3" ht="36" x14ac:dyDescent="0.25">
      <c r="A30" s="13" t="s">
        <v>1047</v>
      </c>
      <c r="B30" s="13" t="s">
        <v>1048</v>
      </c>
      <c r="C30" s="13" t="s">
        <v>879</v>
      </c>
    </row>
    <row r="31" spans="1:3" ht="24" x14ac:dyDescent="0.25">
      <c r="A31" s="13" t="s">
        <v>1049</v>
      </c>
      <c r="B31" s="13" t="s">
        <v>1050</v>
      </c>
      <c r="C31" s="13" t="s">
        <v>1051</v>
      </c>
    </row>
    <row r="33" spans="1:3" ht="19.5" customHeight="1" x14ac:dyDescent="0.25">
      <c r="A33" s="2" t="s">
        <v>1052</v>
      </c>
      <c r="B33" s="2"/>
      <c r="C33" s="2"/>
    </row>
    <row r="34" spans="1:3" x14ac:dyDescent="0.25">
      <c r="A34" s="1" t="s">
        <v>1053</v>
      </c>
      <c r="B34" s="1"/>
      <c r="C34" s="1"/>
    </row>
    <row r="35" spans="1:3" x14ac:dyDescent="0.25">
      <c r="A35" s="28" t="s">
        <v>1008</v>
      </c>
      <c r="B35" s="28" t="s">
        <v>1009</v>
      </c>
      <c r="C35" s="28" t="s">
        <v>1010</v>
      </c>
    </row>
    <row r="36" spans="1:3" ht="24" x14ac:dyDescent="0.25">
      <c r="A36" s="13" t="s">
        <v>1054</v>
      </c>
      <c r="B36" s="13" t="s">
        <v>1055</v>
      </c>
      <c r="C36" s="13" t="s">
        <v>669</v>
      </c>
    </row>
    <row r="37" spans="1:3" ht="36" x14ac:dyDescent="0.25">
      <c r="A37" s="13" t="s">
        <v>1056</v>
      </c>
      <c r="B37" s="13" t="s">
        <v>1057</v>
      </c>
      <c r="C37" s="13" t="s">
        <v>1058</v>
      </c>
    </row>
    <row r="38" spans="1:3" ht="24" x14ac:dyDescent="0.25">
      <c r="A38" s="13" t="s">
        <v>1059</v>
      </c>
      <c r="B38" s="13" t="s">
        <v>1060</v>
      </c>
      <c r="C38" s="13" t="s">
        <v>669</v>
      </c>
    </row>
    <row r="40" spans="1:3" ht="19.5" customHeight="1" x14ac:dyDescent="0.25">
      <c r="A40" s="2" t="s">
        <v>1061</v>
      </c>
      <c r="B40" s="2"/>
      <c r="C40" s="2"/>
    </row>
    <row r="41" spans="1:3" x14ac:dyDescent="0.25">
      <c r="A41" s="1" t="s">
        <v>1062</v>
      </c>
      <c r="B41" s="1"/>
      <c r="C41" s="1"/>
    </row>
    <row r="42" spans="1:3" x14ac:dyDescent="0.25">
      <c r="A42" s="28" t="s">
        <v>1008</v>
      </c>
      <c r="B42" s="28" t="s">
        <v>1009</v>
      </c>
      <c r="C42" s="28" t="s">
        <v>1010</v>
      </c>
    </row>
    <row r="43" spans="1:3" ht="24" x14ac:dyDescent="0.25">
      <c r="A43" s="13" t="s">
        <v>1063</v>
      </c>
      <c r="B43" s="13" t="s">
        <v>1064</v>
      </c>
      <c r="C43" s="13" t="s">
        <v>778</v>
      </c>
    </row>
    <row r="44" spans="1:3" ht="24" x14ac:dyDescent="0.25">
      <c r="A44" s="13" t="s">
        <v>1065</v>
      </c>
      <c r="B44" s="13" t="s">
        <v>1066</v>
      </c>
      <c r="C44" s="13" t="s">
        <v>778</v>
      </c>
    </row>
    <row r="45" spans="1:3" ht="24" x14ac:dyDescent="0.25">
      <c r="A45" s="13" t="s">
        <v>1067</v>
      </c>
      <c r="B45" s="13" t="s">
        <v>1068</v>
      </c>
      <c r="C45" s="13" t="s">
        <v>778</v>
      </c>
    </row>
    <row r="46" spans="1:3" x14ac:dyDescent="0.25">
      <c r="A46" s="13" t="s">
        <v>1069</v>
      </c>
      <c r="B46" s="13" t="s">
        <v>1070</v>
      </c>
      <c r="C46" s="13" t="s">
        <v>1071</v>
      </c>
    </row>
    <row r="47" spans="1:3" ht="24" x14ac:dyDescent="0.25">
      <c r="A47" s="13" t="s">
        <v>1072</v>
      </c>
      <c r="B47" s="13" t="s">
        <v>1073</v>
      </c>
      <c r="C47" s="13"/>
    </row>
    <row r="49" spans="1:3" ht="19.5" customHeight="1" x14ac:dyDescent="0.25">
      <c r="A49" s="2" t="s">
        <v>1074</v>
      </c>
      <c r="B49" s="2"/>
      <c r="C49" s="2"/>
    </row>
    <row r="50" spans="1:3" x14ac:dyDescent="0.25">
      <c r="A50" s="1" t="s">
        <v>1075</v>
      </c>
      <c r="B50" s="1"/>
      <c r="C50" s="1"/>
    </row>
    <row r="51" spans="1:3" x14ac:dyDescent="0.25">
      <c r="A51" s="28" t="s">
        <v>1008</v>
      </c>
      <c r="B51" s="28" t="s">
        <v>1009</v>
      </c>
      <c r="C51" s="28" t="s">
        <v>1010</v>
      </c>
    </row>
    <row r="52" spans="1:3" ht="24" x14ac:dyDescent="0.25">
      <c r="A52" s="13" t="s">
        <v>1076</v>
      </c>
      <c r="B52" s="13" t="s">
        <v>1077</v>
      </c>
      <c r="C52" s="13" t="s">
        <v>879</v>
      </c>
    </row>
    <row r="53" spans="1:3" ht="36" x14ac:dyDescent="0.25">
      <c r="A53" s="13" t="s">
        <v>1078</v>
      </c>
      <c r="B53" s="13" t="s">
        <v>1079</v>
      </c>
      <c r="C53" s="13" t="s">
        <v>678</v>
      </c>
    </row>
    <row r="54" spans="1:3" ht="24" x14ac:dyDescent="0.25">
      <c r="A54" s="13" t="s">
        <v>1080</v>
      </c>
      <c r="B54" s="13" t="s">
        <v>1081</v>
      </c>
      <c r="C54" s="13"/>
    </row>
    <row r="55" spans="1:3" x14ac:dyDescent="0.25">
      <c r="A55" s="13" t="s">
        <v>1082</v>
      </c>
      <c r="B55" s="13" t="s">
        <v>1083</v>
      </c>
      <c r="C55" s="13" t="s">
        <v>879</v>
      </c>
    </row>
    <row r="57" spans="1:3" ht="19.5" customHeight="1" x14ac:dyDescent="0.25">
      <c r="A57" s="2" t="s">
        <v>1084</v>
      </c>
      <c r="B57" s="2"/>
      <c r="C57" s="2"/>
    </row>
    <row r="58" spans="1:3" x14ac:dyDescent="0.25">
      <c r="A58" s="1" t="s">
        <v>1053</v>
      </c>
      <c r="B58" s="1"/>
      <c r="C58" s="1"/>
    </row>
    <row r="59" spans="1:3" x14ac:dyDescent="0.25">
      <c r="A59" s="28" t="s">
        <v>1008</v>
      </c>
      <c r="B59" s="28" t="s">
        <v>1009</v>
      </c>
      <c r="C59" s="28" t="s">
        <v>1010</v>
      </c>
    </row>
    <row r="60" spans="1:3" ht="36" x14ac:dyDescent="0.25">
      <c r="A60" s="13" t="s">
        <v>1085</v>
      </c>
      <c r="B60" s="13" t="s">
        <v>1086</v>
      </c>
      <c r="C60" s="13" t="s">
        <v>527</v>
      </c>
    </row>
    <row r="61" spans="1:3" x14ac:dyDescent="0.25">
      <c r="A61" s="13" t="s">
        <v>1087</v>
      </c>
      <c r="B61" s="13" t="s">
        <v>1088</v>
      </c>
      <c r="C61" s="13"/>
    </row>
    <row r="62" spans="1:3" x14ac:dyDescent="0.25">
      <c r="A62" s="13" t="s">
        <v>1089</v>
      </c>
      <c r="B62" s="13" t="s">
        <v>1090</v>
      </c>
      <c r="C62" s="13" t="s">
        <v>533</v>
      </c>
    </row>
    <row r="64" spans="1:3" ht="19.5" customHeight="1" x14ac:dyDescent="0.25">
      <c r="A64" s="2" t="s">
        <v>1091</v>
      </c>
      <c r="B64" s="2"/>
      <c r="C64" s="2"/>
    </row>
    <row r="65" spans="1:3" x14ac:dyDescent="0.25">
      <c r="A65" s="1" t="s">
        <v>1053</v>
      </c>
      <c r="B65" s="1"/>
      <c r="C65" s="1"/>
    </row>
    <row r="66" spans="1:3" x14ac:dyDescent="0.25">
      <c r="A66" s="28" t="s">
        <v>1008</v>
      </c>
      <c r="B66" s="28" t="s">
        <v>1009</v>
      </c>
      <c r="C66" s="28" t="s">
        <v>1010</v>
      </c>
    </row>
    <row r="67" spans="1:3" ht="24" x14ac:dyDescent="0.25">
      <c r="A67" s="13" t="s">
        <v>1085</v>
      </c>
      <c r="B67" s="13" t="s">
        <v>1092</v>
      </c>
      <c r="C67" s="13" t="s">
        <v>332</v>
      </c>
    </row>
    <row r="68" spans="1:3" ht="36" x14ac:dyDescent="0.25">
      <c r="A68" s="13" t="s">
        <v>1093</v>
      </c>
      <c r="B68" s="13" t="s">
        <v>1094</v>
      </c>
      <c r="C68" s="13" t="s">
        <v>936</v>
      </c>
    </row>
    <row r="70" spans="1:3" ht="19.5" customHeight="1" x14ac:dyDescent="0.25">
      <c r="A70" s="2" t="s">
        <v>1095</v>
      </c>
      <c r="B70" s="2"/>
      <c r="C70" s="2"/>
    </row>
    <row r="71" spans="1:3" x14ac:dyDescent="0.25">
      <c r="A71" s="1" t="s">
        <v>1096</v>
      </c>
      <c r="B71" s="1"/>
      <c r="C71" s="1"/>
    </row>
    <row r="72" spans="1:3" x14ac:dyDescent="0.25">
      <c r="A72" s="28" t="s">
        <v>1008</v>
      </c>
      <c r="B72" s="28" t="s">
        <v>1009</v>
      </c>
      <c r="C72" s="28" t="s">
        <v>1010</v>
      </c>
    </row>
    <row r="73" spans="1:3" ht="24" x14ac:dyDescent="0.25">
      <c r="A73" s="13" t="s">
        <v>1087</v>
      </c>
      <c r="B73" s="13" t="s">
        <v>1097</v>
      </c>
      <c r="C73" s="13" t="s">
        <v>323</v>
      </c>
    </row>
    <row r="74" spans="1:3" ht="24" x14ac:dyDescent="0.25">
      <c r="A74" s="13" t="s">
        <v>1089</v>
      </c>
      <c r="B74" s="13" t="s">
        <v>1098</v>
      </c>
      <c r="C74" s="13"/>
    </row>
    <row r="75" spans="1:3" ht="24" x14ac:dyDescent="0.25">
      <c r="A75" s="13" t="s">
        <v>1099</v>
      </c>
      <c r="B75" s="13" t="s">
        <v>1100</v>
      </c>
      <c r="C75" s="13" t="s">
        <v>489</v>
      </c>
    </row>
    <row r="77" spans="1:3" ht="19.5" customHeight="1" x14ac:dyDescent="0.25">
      <c r="A77" s="2" t="s">
        <v>1101</v>
      </c>
      <c r="B77" s="2"/>
      <c r="C77" s="2"/>
    </row>
    <row r="78" spans="1:3" x14ac:dyDescent="0.25">
      <c r="A78" s="1" t="s">
        <v>1022</v>
      </c>
      <c r="B78" s="1"/>
      <c r="C78" s="1"/>
    </row>
    <row r="79" spans="1:3" x14ac:dyDescent="0.25">
      <c r="A79" s="28" t="s">
        <v>1008</v>
      </c>
      <c r="B79" s="28" t="s">
        <v>1009</v>
      </c>
      <c r="C79" s="28" t="s">
        <v>1010</v>
      </c>
    </row>
    <row r="80" spans="1:3" x14ac:dyDescent="0.25">
      <c r="A80" s="13" t="s">
        <v>1102</v>
      </c>
      <c r="B80" s="13" t="s">
        <v>1103</v>
      </c>
      <c r="C80" s="13"/>
    </row>
    <row r="81" spans="1:3" ht="24" x14ac:dyDescent="0.25">
      <c r="A81" s="13" t="s">
        <v>1104</v>
      </c>
      <c r="B81" s="13" t="s">
        <v>1105</v>
      </c>
      <c r="C81" s="13" t="s">
        <v>747</v>
      </c>
    </row>
    <row r="82" spans="1:3" x14ac:dyDescent="0.25">
      <c r="A82" s="13" t="s">
        <v>1106</v>
      </c>
      <c r="B82" s="13" t="s">
        <v>1107</v>
      </c>
      <c r="C82" s="13" t="s">
        <v>740</v>
      </c>
    </row>
    <row r="83" spans="1:3" ht="24" x14ac:dyDescent="0.25">
      <c r="A83" s="13" t="s">
        <v>1108</v>
      </c>
      <c r="B83" s="13" t="s">
        <v>1109</v>
      </c>
      <c r="C83" s="13" t="s">
        <v>747</v>
      </c>
    </row>
    <row r="84" spans="1:3" x14ac:dyDescent="0.25">
      <c r="A84" s="13" t="s">
        <v>1110</v>
      </c>
      <c r="B84" s="13" t="s">
        <v>1111</v>
      </c>
      <c r="C84" s="13" t="s">
        <v>747</v>
      </c>
    </row>
    <row r="86" spans="1:3" ht="19.5" customHeight="1" x14ac:dyDescent="0.25">
      <c r="A86" s="2" t="s">
        <v>1112</v>
      </c>
      <c r="B86" s="2"/>
      <c r="C86" s="2"/>
    </row>
    <row r="87" spans="1:3" x14ac:dyDescent="0.25">
      <c r="A87" s="1" t="s">
        <v>1113</v>
      </c>
      <c r="B87" s="1"/>
      <c r="C87" s="1"/>
    </row>
    <row r="88" spans="1:3" x14ac:dyDescent="0.25">
      <c r="A88" s="28" t="s">
        <v>1008</v>
      </c>
      <c r="B88" s="28" t="s">
        <v>1009</v>
      </c>
      <c r="C88" s="28" t="s">
        <v>1010</v>
      </c>
    </row>
    <row r="89" spans="1:3" ht="24" x14ac:dyDescent="0.25">
      <c r="A89" s="13" t="s">
        <v>1114</v>
      </c>
      <c r="B89" s="13" t="s">
        <v>1115</v>
      </c>
      <c r="C89" s="13" t="s">
        <v>1116</v>
      </c>
    </row>
    <row r="90" spans="1:3" ht="24" x14ac:dyDescent="0.25">
      <c r="A90" s="13" t="s">
        <v>1117</v>
      </c>
      <c r="B90" s="13" t="s">
        <v>1118</v>
      </c>
      <c r="C90" s="13" t="s">
        <v>587</v>
      </c>
    </row>
    <row r="91" spans="1:3" x14ac:dyDescent="0.25">
      <c r="A91" s="13" t="s">
        <v>1119</v>
      </c>
      <c r="B91" s="13" t="s">
        <v>1120</v>
      </c>
      <c r="C91" s="13" t="s">
        <v>678</v>
      </c>
    </row>
    <row r="92" spans="1:3" ht="24" x14ac:dyDescent="0.25">
      <c r="A92" s="13" t="s">
        <v>1121</v>
      </c>
      <c r="B92" s="13" t="s">
        <v>1122</v>
      </c>
      <c r="C92" s="13" t="s">
        <v>626</v>
      </c>
    </row>
    <row r="94" spans="1:3" ht="19.5" customHeight="1" x14ac:dyDescent="0.25">
      <c r="A94" s="2" t="s">
        <v>1123</v>
      </c>
      <c r="B94" s="2"/>
      <c r="C94" s="2"/>
    </row>
    <row r="95" spans="1:3" x14ac:dyDescent="0.25">
      <c r="A95" s="1" t="s">
        <v>1113</v>
      </c>
      <c r="B95" s="1"/>
      <c r="C95" s="1"/>
    </row>
    <row r="96" spans="1:3" x14ac:dyDescent="0.25">
      <c r="A96" s="28" t="s">
        <v>1008</v>
      </c>
      <c r="B96" s="28" t="s">
        <v>1009</v>
      </c>
      <c r="C96" s="28" t="s">
        <v>1010</v>
      </c>
    </row>
    <row r="97" spans="1:3" x14ac:dyDescent="0.25">
      <c r="A97" s="13" t="s">
        <v>1124</v>
      </c>
      <c r="B97" s="13" t="s">
        <v>1125</v>
      </c>
      <c r="C97" s="13" t="s">
        <v>802</v>
      </c>
    </row>
    <row r="98" spans="1:3" x14ac:dyDescent="0.25">
      <c r="A98" s="13" t="s">
        <v>1126</v>
      </c>
      <c r="B98" s="13" t="s">
        <v>1127</v>
      </c>
      <c r="C98" s="13" t="s">
        <v>795</v>
      </c>
    </row>
    <row r="99" spans="1:3" x14ac:dyDescent="0.25">
      <c r="A99" s="13" t="s">
        <v>1128</v>
      </c>
      <c r="B99" s="13" t="s">
        <v>1129</v>
      </c>
      <c r="C99" s="13"/>
    </row>
    <row r="101" spans="1:3" ht="19.5" customHeight="1" x14ac:dyDescent="0.25">
      <c r="A101" s="2" t="s">
        <v>1130</v>
      </c>
      <c r="B101" s="2"/>
      <c r="C101" s="2"/>
    </row>
    <row r="102" spans="1:3" x14ac:dyDescent="0.25">
      <c r="A102" s="1" t="s">
        <v>1131</v>
      </c>
      <c r="B102" s="1"/>
      <c r="C102" s="1"/>
    </row>
    <row r="103" spans="1:3" x14ac:dyDescent="0.25">
      <c r="A103" s="28" t="s">
        <v>1008</v>
      </c>
      <c r="B103" s="28" t="s">
        <v>1009</v>
      </c>
      <c r="C103" s="28" t="s">
        <v>1010</v>
      </c>
    </row>
    <row r="104" spans="1:3" x14ac:dyDescent="0.25">
      <c r="A104" s="13" t="s">
        <v>1132</v>
      </c>
      <c r="B104" s="13" t="s">
        <v>1133</v>
      </c>
      <c r="C104" s="13" t="s">
        <v>240</v>
      </c>
    </row>
    <row r="105" spans="1:3" x14ac:dyDescent="0.25">
      <c r="A105" s="13" t="s">
        <v>1134</v>
      </c>
      <c r="B105" s="13" t="s">
        <v>1135</v>
      </c>
      <c r="C105" s="13"/>
    </row>
    <row r="106" spans="1:3" x14ac:dyDescent="0.25">
      <c r="A106" s="13" t="s">
        <v>1136</v>
      </c>
      <c r="B106" s="13" t="s">
        <v>1137</v>
      </c>
      <c r="C106" s="13" t="s">
        <v>1138</v>
      </c>
    </row>
    <row r="107" spans="1:3" x14ac:dyDescent="0.25">
      <c r="A107" s="13" t="s">
        <v>1139</v>
      </c>
      <c r="B107" s="13" t="s">
        <v>1140</v>
      </c>
      <c r="C107" s="13"/>
    </row>
    <row r="108" spans="1:3" x14ac:dyDescent="0.25">
      <c r="A108" s="13" t="s">
        <v>1141</v>
      </c>
      <c r="B108" s="13" t="s">
        <v>1142</v>
      </c>
      <c r="C108" s="13"/>
    </row>
  </sheetData>
  <mergeCells count="26">
    <mergeCell ref="A102:C102"/>
    <mergeCell ref="A86:C86"/>
    <mergeCell ref="A87:C87"/>
    <mergeCell ref="A94:C94"/>
    <mergeCell ref="A95:C95"/>
    <mergeCell ref="A101:C101"/>
    <mergeCell ref="A65:C65"/>
    <mergeCell ref="A70:C70"/>
    <mergeCell ref="A71:C71"/>
    <mergeCell ref="A77:C77"/>
    <mergeCell ref="A78:C78"/>
    <mergeCell ref="A49:C49"/>
    <mergeCell ref="A50:C50"/>
    <mergeCell ref="A57:C57"/>
    <mergeCell ref="A58:C58"/>
    <mergeCell ref="A64:C64"/>
    <mergeCell ref="A22:C22"/>
    <mergeCell ref="A33:C33"/>
    <mergeCell ref="A34:C34"/>
    <mergeCell ref="A40:C40"/>
    <mergeCell ref="A41:C41"/>
    <mergeCell ref="A5:C5"/>
    <mergeCell ref="A6:C6"/>
    <mergeCell ref="A14:C14"/>
    <mergeCell ref="A15:C15"/>
    <mergeCell ref="A21:C2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2"/>
  <sheetViews>
    <sheetView showGridLines="0" tabSelected="1" zoomScaleNormal="100" workbookViewId="0">
      <pane xSplit="2" ySplit="5" topLeftCell="C6" activePane="bottomRight" state="frozen"/>
      <selection pane="topRight" activeCell="C1" sqref="C1"/>
      <selection pane="bottomLeft" activeCell="A6" sqref="A6"/>
      <selection pane="bottomRight" activeCell="I8" sqref="I8"/>
    </sheetView>
  </sheetViews>
  <sheetFormatPr baseColWidth="10" defaultColWidth="8.7109375" defaultRowHeight="15" x14ac:dyDescent="0.25"/>
  <cols>
    <col min="1" max="1" width="15" customWidth="1"/>
    <col min="2" max="2" width="11" customWidth="1"/>
    <col min="3" max="3" width="34" customWidth="1"/>
    <col min="4" max="4" width="15" customWidth="1"/>
    <col min="5" max="5" width="46" customWidth="1"/>
    <col min="6" max="6" width="8" customWidth="1"/>
    <col min="7" max="7" width="11" customWidth="1"/>
    <col min="8" max="8" width="34" customWidth="1"/>
    <col min="9" max="9" width="46" customWidth="1"/>
    <col min="10" max="10" width="20" customWidth="1"/>
    <col min="11" max="11" width="22" customWidth="1"/>
  </cols>
  <sheetData>
    <row r="1" spans="1:11" ht="16.5" x14ac:dyDescent="0.25">
      <c r="A1" s="15" t="s">
        <v>1143</v>
      </c>
    </row>
    <row r="2" spans="1:11" ht="27.75" customHeight="1" x14ac:dyDescent="0.25">
      <c r="A2" s="26" t="s">
        <v>1144</v>
      </c>
    </row>
    <row r="3" spans="1:11" ht="42" customHeight="1" x14ac:dyDescent="0.25">
      <c r="A3" s="27" t="s">
        <v>1145</v>
      </c>
    </row>
    <row r="5" spans="1:11" ht="31.5" customHeight="1" x14ac:dyDescent="0.25">
      <c r="A5" s="11" t="s">
        <v>1146</v>
      </c>
      <c r="B5" s="11" t="s">
        <v>1147</v>
      </c>
      <c r="C5" s="11" t="s">
        <v>1148</v>
      </c>
      <c r="D5" s="11" t="s">
        <v>129</v>
      </c>
      <c r="E5" s="11" t="s">
        <v>1149</v>
      </c>
      <c r="F5" s="11" t="s">
        <v>1150</v>
      </c>
      <c r="G5" s="11" t="s">
        <v>1151</v>
      </c>
      <c r="H5" s="11" t="s">
        <v>1152</v>
      </c>
      <c r="I5" s="11" t="s">
        <v>1153</v>
      </c>
      <c r="J5" s="11" t="s">
        <v>1154</v>
      </c>
      <c r="K5" s="11" t="s">
        <v>1155</v>
      </c>
    </row>
    <row r="6" spans="1:11" ht="60" x14ac:dyDescent="0.25">
      <c r="A6" s="12" t="s">
        <v>1156</v>
      </c>
      <c r="B6" s="29" t="s">
        <v>165</v>
      </c>
      <c r="C6" s="13" t="s">
        <v>168</v>
      </c>
      <c r="D6" s="12" t="s">
        <v>136</v>
      </c>
      <c r="E6" s="13" t="s">
        <v>1157</v>
      </c>
      <c r="F6" s="12">
        <v>1</v>
      </c>
      <c r="G6" s="29" t="s">
        <v>269</v>
      </c>
      <c r="H6" s="13" t="s">
        <v>270</v>
      </c>
      <c r="I6" s="13" t="s">
        <v>173</v>
      </c>
      <c r="J6" s="12" t="str">
        <f>IFERROR(INDEX(Inspección!$T$9:$T$111,MATCH($B6,Inspección!$A$9:$A$111,0)),"")</f>
        <v>Pendiente</v>
      </c>
      <c r="K6" s="12" t="str">
        <f t="shared" ref="K6:K37" si="0">IF(OR($J6="No conforme",$J6="Requiere reemplazo"),"SÍ — verificar destino","")</f>
        <v/>
      </c>
    </row>
    <row r="7" spans="1:11" ht="60" x14ac:dyDescent="0.25">
      <c r="A7" s="12" t="s">
        <v>1156</v>
      </c>
      <c r="B7" s="29" t="s">
        <v>165</v>
      </c>
      <c r="C7" s="13" t="s">
        <v>168</v>
      </c>
      <c r="D7" s="12" t="s">
        <v>136</v>
      </c>
      <c r="E7" s="13" t="s">
        <v>1157</v>
      </c>
      <c r="F7" s="12">
        <v>2</v>
      </c>
      <c r="G7" s="29" t="s">
        <v>747</v>
      </c>
      <c r="H7" s="13" t="s">
        <v>750</v>
      </c>
      <c r="I7" s="13" t="s">
        <v>173</v>
      </c>
      <c r="J7" s="12" t="str">
        <f>IFERROR(INDEX(Inspección!$T$9:$T$111,MATCH($B7,Inspección!$A$9:$A$111,0)),"")</f>
        <v>Pendiente</v>
      </c>
      <c r="K7" s="12" t="str">
        <f t="shared" si="0"/>
        <v/>
      </c>
    </row>
    <row r="8" spans="1:11" ht="60" x14ac:dyDescent="0.25">
      <c r="A8" s="12" t="s">
        <v>1156</v>
      </c>
      <c r="B8" s="29" t="s">
        <v>165</v>
      </c>
      <c r="C8" s="13" t="s">
        <v>168</v>
      </c>
      <c r="D8" s="12" t="s">
        <v>136</v>
      </c>
      <c r="E8" s="13" t="s">
        <v>1157</v>
      </c>
      <c r="F8" s="12">
        <v>3</v>
      </c>
      <c r="G8" s="29" t="s">
        <v>855</v>
      </c>
      <c r="H8" s="13" t="s">
        <v>858</v>
      </c>
      <c r="I8" s="13" t="s">
        <v>173</v>
      </c>
      <c r="J8" s="12" t="str">
        <f>IFERROR(INDEX(Inspección!$T$9:$T$111,MATCH($B8,Inspección!$A$9:$A$111,0)),"")</f>
        <v>Pendiente</v>
      </c>
      <c r="K8" s="12" t="str">
        <f t="shared" si="0"/>
        <v/>
      </c>
    </row>
    <row r="9" spans="1:11" ht="36" x14ac:dyDescent="0.25">
      <c r="A9" s="12" t="s">
        <v>1156</v>
      </c>
      <c r="B9" s="29" t="s">
        <v>177</v>
      </c>
      <c r="C9" s="13" t="s">
        <v>178</v>
      </c>
      <c r="D9" s="12" t="s">
        <v>136</v>
      </c>
      <c r="E9" s="13" t="s">
        <v>1158</v>
      </c>
      <c r="F9" s="12">
        <v>1</v>
      </c>
      <c r="G9" s="29" t="s">
        <v>165</v>
      </c>
      <c r="H9" s="13" t="s">
        <v>168</v>
      </c>
      <c r="I9" s="13" t="s">
        <v>182</v>
      </c>
      <c r="J9" s="12" t="str">
        <f>IFERROR(INDEX(Inspección!$T$9:$T$111,MATCH($B9,Inspección!$A$9:$A$111,0)),"")</f>
        <v>Pendiente</v>
      </c>
      <c r="K9" s="12" t="str">
        <f t="shared" si="0"/>
        <v/>
      </c>
    </row>
    <row r="10" spans="1:11" ht="36" x14ac:dyDescent="0.25">
      <c r="A10" s="12" t="s">
        <v>1156</v>
      </c>
      <c r="B10" s="29" t="s">
        <v>184</v>
      </c>
      <c r="C10" s="13" t="s">
        <v>185</v>
      </c>
      <c r="D10" s="12" t="s">
        <v>131</v>
      </c>
      <c r="E10" s="13" t="s">
        <v>1159</v>
      </c>
      <c r="F10" s="12">
        <v>1</v>
      </c>
      <c r="G10" s="29" t="s">
        <v>455</v>
      </c>
      <c r="H10" s="13" t="s">
        <v>457</v>
      </c>
      <c r="I10" s="13" t="s">
        <v>190</v>
      </c>
      <c r="J10" s="12" t="str">
        <f>IFERROR(INDEX(Inspección!$T$9:$T$111,MATCH($B10,Inspección!$A$9:$A$111,0)),"")</f>
        <v>Pendiente</v>
      </c>
      <c r="K10" s="12" t="str">
        <f t="shared" si="0"/>
        <v/>
      </c>
    </row>
    <row r="11" spans="1:11" ht="36" x14ac:dyDescent="0.25">
      <c r="A11" s="12" t="s">
        <v>1156</v>
      </c>
      <c r="B11" s="29" t="s">
        <v>184</v>
      </c>
      <c r="C11" s="13" t="s">
        <v>185</v>
      </c>
      <c r="D11" s="12" t="s">
        <v>131</v>
      </c>
      <c r="E11" s="13" t="s">
        <v>1159</v>
      </c>
      <c r="F11" s="12">
        <v>2</v>
      </c>
      <c r="G11" s="29" t="s">
        <v>465</v>
      </c>
      <c r="H11" s="13" t="s">
        <v>466</v>
      </c>
      <c r="I11" s="13" t="s">
        <v>190</v>
      </c>
      <c r="J11" s="12" t="str">
        <f>IFERROR(INDEX(Inspección!$T$9:$T$111,MATCH($B11,Inspección!$A$9:$A$111,0)),"")</f>
        <v>Pendiente</v>
      </c>
      <c r="K11" s="12" t="str">
        <f t="shared" si="0"/>
        <v/>
      </c>
    </row>
    <row r="12" spans="1:11" ht="36" x14ac:dyDescent="0.25">
      <c r="A12" s="12" t="s">
        <v>1156</v>
      </c>
      <c r="B12" s="29" t="s">
        <v>184</v>
      </c>
      <c r="C12" s="13" t="s">
        <v>185</v>
      </c>
      <c r="D12" s="12" t="s">
        <v>131</v>
      </c>
      <c r="E12" s="13" t="s">
        <v>1159</v>
      </c>
      <c r="F12" s="12">
        <v>3</v>
      </c>
      <c r="G12" s="29" t="s">
        <v>361</v>
      </c>
      <c r="H12" s="13" t="s">
        <v>363</v>
      </c>
      <c r="I12" s="13" t="s">
        <v>190</v>
      </c>
      <c r="J12" s="12" t="str">
        <f>IFERROR(INDEX(Inspección!$T$9:$T$111,MATCH($B12,Inspección!$A$9:$A$111,0)),"")</f>
        <v>Pendiente</v>
      </c>
      <c r="K12" s="12" t="str">
        <f t="shared" si="0"/>
        <v/>
      </c>
    </row>
    <row r="13" spans="1:11" ht="60" x14ac:dyDescent="0.25">
      <c r="A13" s="12" t="s">
        <v>1156</v>
      </c>
      <c r="B13" s="29" t="s">
        <v>240</v>
      </c>
      <c r="C13" s="13" t="s">
        <v>241</v>
      </c>
      <c r="D13" s="12" t="s">
        <v>136</v>
      </c>
      <c r="E13" s="13" t="s">
        <v>1160</v>
      </c>
      <c r="F13" s="12">
        <v>1</v>
      </c>
      <c r="G13" s="29" t="s">
        <v>716</v>
      </c>
      <c r="H13" s="13" t="s">
        <v>718</v>
      </c>
      <c r="I13" s="13" t="s">
        <v>247</v>
      </c>
      <c r="J13" s="12" t="str">
        <f>IFERROR(INDEX(Inspección!$T$9:$T$111,MATCH($B13,Inspección!$A$9:$A$111,0)),"")</f>
        <v>Pendiente</v>
      </c>
      <c r="K13" s="12" t="str">
        <f t="shared" si="0"/>
        <v/>
      </c>
    </row>
    <row r="14" spans="1:11" ht="60" x14ac:dyDescent="0.25">
      <c r="A14" s="12" t="s">
        <v>1156</v>
      </c>
      <c r="B14" s="29" t="s">
        <v>240</v>
      </c>
      <c r="C14" s="13" t="s">
        <v>241</v>
      </c>
      <c r="D14" s="12" t="s">
        <v>136</v>
      </c>
      <c r="E14" s="13" t="s">
        <v>1160</v>
      </c>
      <c r="F14" s="12">
        <v>2</v>
      </c>
      <c r="G14" s="29" t="s">
        <v>636</v>
      </c>
      <c r="H14" s="13" t="s">
        <v>637</v>
      </c>
      <c r="I14" s="13" t="s">
        <v>247</v>
      </c>
      <c r="J14" s="12" t="str">
        <f>IFERROR(INDEX(Inspección!$T$9:$T$111,MATCH($B14,Inspección!$A$9:$A$111,0)),"")</f>
        <v>Pendiente</v>
      </c>
      <c r="K14" s="12" t="str">
        <f t="shared" si="0"/>
        <v/>
      </c>
    </row>
    <row r="15" spans="1:11" ht="24" x14ac:dyDescent="0.25">
      <c r="A15" s="12" t="s">
        <v>1156</v>
      </c>
      <c r="B15" s="29" t="s">
        <v>317</v>
      </c>
      <c r="C15" s="13" t="s">
        <v>318</v>
      </c>
      <c r="D15" s="12" t="s">
        <v>134</v>
      </c>
      <c r="E15" s="13" t="s">
        <v>1161</v>
      </c>
      <c r="F15" s="12">
        <v>1</v>
      </c>
      <c r="G15" s="29" t="s">
        <v>323</v>
      </c>
      <c r="H15" s="13" t="s">
        <v>483</v>
      </c>
      <c r="I15" s="13" t="s">
        <v>322</v>
      </c>
      <c r="J15" s="12" t="str">
        <f>IFERROR(INDEX(Inspección!$T$9:$T$111,MATCH($B15,Inspección!$A$9:$A$111,0)),"")</f>
        <v>Pendiente</v>
      </c>
      <c r="K15" s="12" t="str">
        <f t="shared" si="0"/>
        <v/>
      </c>
    </row>
    <row r="16" spans="1:11" ht="36" x14ac:dyDescent="0.25">
      <c r="A16" s="12" t="s">
        <v>1156</v>
      </c>
      <c r="B16" s="29" t="s">
        <v>326</v>
      </c>
      <c r="C16" s="13" t="s">
        <v>327</v>
      </c>
      <c r="D16" s="12" t="s">
        <v>134</v>
      </c>
      <c r="E16" s="13" t="s">
        <v>1162</v>
      </c>
      <c r="F16" s="12">
        <v>1</v>
      </c>
      <c r="G16" s="29" t="s">
        <v>332</v>
      </c>
      <c r="H16" s="13" t="s">
        <v>931</v>
      </c>
      <c r="I16" s="13" t="s">
        <v>331</v>
      </c>
      <c r="J16" s="12" t="str">
        <f>IFERROR(INDEX(Inspección!$T$9:$T$111,MATCH($B16,Inspección!$A$9:$A$111,0)),"")</f>
        <v>Pendiente</v>
      </c>
      <c r="K16" s="12" t="str">
        <f t="shared" si="0"/>
        <v/>
      </c>
    </row>
    <row r="17" spans="1:11" ht="24" x14ac:dyDescent="0.25">
      <c r="A17" s="12" t="s">
        <v>1156</v>
      </c>
      <c r="B17" s="29" t="s">
        <v>361</v>
      </c>
      <c r="C17" s="13" t="s">
        <v>363</v>
      </c>
      <c r="D17" s="12" t="s">
        <v>134</v>
      </c>
      <c r="E17" s="13" t="s">
        <v>1163</v>
      </c>
      <c r="F17" s="12">
        <v>1</v>
      </c>
      <c r="G17" s="29" t="s">
        <v>371</v>
      </c>
      <c r="H17" s="13" t="s">
        <v>372</v>
      </c>
      <c r="I17" s="13" t="s">
        <v>367</v>
      </c>
      <c r="J17" s="12" t="str">
        <f>IFERROR(INDEX(Inspección!$T$9:$T$111,MATCH($B17,Inspección!$A$9:$A$111,0)),"")</f>
        <v>Pendiente</v>
      </c>
      <c r="K17" s="12" t="str">
        <f t="shared" si="0"/>
        <v/>
      </c>
    </row>
    <row r="18" spans="1:11" ht="24" x14ac:dyDescent="0.25">
      <c r="A18" s="12" t="s">
        <v>1156</v>
      </c>
      <c r="B18" s="29" t="s">
        <v>361</v>
      </c>
      <c r="C18" s="13" t="s">
        <v>363</v>
      </c>
      <c r="D18" s="12" t="s">
        <v>134</v>
      </c>
      <c r="E18" s="13" t="s">
        <v>1163</v>
      </c>
      <c r="F18" s="12">
        <v>2</v>
      </c>
      <c r="G18" s="29" t="s">
        <v>184</v>
      </c>
      <c r="H18" s="13" t="s">
        <v>185</v>
      </c>
      <c r="I18" s="13" t="s">
        <v>367</v>
      </c>
      <c r="J18" s="12" t="str">
        <f>IFERROR(INDEX(Inspección!$T$9:$T$111,MATCH($B18,Inspección!$A$9:$A$111,0)),"")</f>
        <v>Pendiente</v>
      </c>
      <c r="K18" s="12" t="str">
        <f t="shared" si="0"/>
        <v/>
      </c>
    </row>
    <row r="19" spans="1:11" ht="24" x14ac:dyDescent="0.25">
      <c r="A19" s="12" t="s">
        <v>1156</v>
      </c>
      <c r="B19" s="29" t="s">
        <v>361</v>
      </c>
      <c r="C19" s="13" t="s">
        <v>363</v>
      </c>
      <c r="D19" s="12" t="s">
        <v>134</v>
      </c>
      <c r="E19" s="13" t="s">
        <v>1163</v>
      </c>
      <c r="F19" s="12">
        <v>3</v>
      </c>
      <c r="G19" s="29" t="s">
        <v>499</v>
      </c>
      <c r="H19" s="13" t="s">
        <v>500</v>
      </c>
      <c r="I19" s="13" t="s">
        <v>367</v>
      </c>
      <c r="J19" s="12" t="str">
        <f>IFERROR(INDEX(Inspección!$T$9:$T$111,MATCH($B19,Inspección!$A$9:$A$111,0)),"")</f>
        <v>Pendiente</v>
      </c>
      <c r="K19" s="12" t="str">
        <f t="shared" si="0"/>
        <v/>
      </c>
    </row>
    <row r="20" spans="1:11" ht="24" x14ac:dyDescent="0.25">
      <c r="A20" s="12" t="s">
        <v>1156</v>
      </c>
      <c r="B20" s="29" t="s">
        <v>371</v>
      </c>
      <c r="C20" s="13" t="s">
        <v>372</v>
      </c>
      <c r="D20" s="12" t="s">
        <v>134</v>
      </c>
      <c r="E20" s="13" t="s">
        <v>1164</v>
      </c>
      <c r="F20" s="12">
        <v>1</v>
      </c>
      <c r="G20" s="29" t="s">
        <v>361</v>
      </c>
      <c r="H20" s="13" t="s">
        <v>363</v>
      </c>
      <c r="I20" s="13" t="s">
        <v>376</v>
      </c>
      <c r="J20" s="12" t="str">
        <f>IFERROR(INDEX(Inspección!$T$9:$T$111,MATCH($B20,Inspección!$A$9:$A$111,0)),"")</f>
        <v>Pendiente</v>
      </c>
      <c r="K20" s="12" t="str">
        <f t="shared" si="0"/>
        <v/>
      </c>
    </row>
    <row r="21" spans="1:11" ht="24" x14ac:dyDescent="0.25">
      <c r="A21" s="12" t="s">
        <v>1156</v>
      </c>
      <c r="B21" s="29" t="s">
        <v>371</v>
      </c>
      <c r="C21" s="13" t="s">
        <v>372</v>
      </c>
      <c r="D21" s="12" t="s">
        <v>134</v>
      </c>
      <c r="E21" s="13" t="s">
        <v>1164</v>
      </c>
      <c r="F21" s="12">
        <v>2</v>
      </c>
      <c r="G21" s="29" t="s">
        <v>184</v>
      </c>
      <c r="H21" s="13" t="s">
        <v>185</v>
      </c>
      <c r="I21" s="13" t="s">
        <v>376</v>
      </c>
      <c r="J21" s="12" t="str">
        <f>IFERROR(INDEX(Inspección!$T$9:$T$111,MATCH($B21,Inspección!$A$9:$A$111,0)),"")</f>
        <v>Pendiente</v>
      </c>
      <c r="K21" s="12" t="str">
        <f t="shared" si="0"/>
        <v/>
      </c>
    </row>
    <row r="22" spans="1:11" ht="36" x14ac:dyDescent="0.25">
      <c r="A22" s="12" t="s">
        <v>1156</v>
      </c>
      <c r="B22" s="29" t="s">
        <v>380</v>
      </c>
      <c r="C22" s="13" t="s">
        <v>381</v>
      </c>
      <c r="D22" s="12" t="s">
        <v>134</v>
      </c>
      <c r="E22" s="13" t="s">
        <v>1165</v>
      </c>
      <c r="F22" s="12">
        <v>1</v>
      </c>
      <c r="G22" s="29" t="s">
        <v>323</v>
      </c>
      <c r="H22" s="13" t="s">
        <v>483</v>
      </c>
      <c r="I22" s="13" t="s">
        <v>385</v>
      </c>
      <c r="J22" s="12" t="str">
        <f>IFERROR(INDEX(Inspección!$T$9:$T$111,MATCH($B22,Inspección!$A$9:$A$111,0)),"")</f>
        <v>Pendiente</v>
      </c>
      <c r="K22" s="12" t="str">
        <f t="shared" si="0"/>
        <v/>
      </c>
    </row>
    <row r="23" spans="1:11" ht="36" x14ac:dyDescent="0.25">
      <c r="A23" s="12" t="s">
        <v>1156</v>
      </c>
      <c r="B23" s="29" t="s">
        <v>380</v>
      </c>
      <c r="C23" s="13" t="s">
        <v>381</v>
      </c>
      <c r="D23" s="12" t="s">
        <v>134</v>
      </c>
      <c r="E23" s="13" t="s">
        <v>1165</v>
      </c>
      <c r="F23" s="12">
        <v>2</v>
      </c>
      <c r="G23" s="29" t="s">
        <v>651</v>
      </c>
      <c r="H23" s="13" t="s">
        <v>653</v>
      </c>
      <c r="I23" s="13" t="s">
        <v>385</v>
      </c>
      <c r="J23" s="12" t="str">
        <f>IFERROR(INDEX(Inspección!$T$9:$T$111,MATCH($B23,Inspección!$A$9:$A$111,0)),"")</f>
        <v>Pendiente</v>
      </c>
      <c r="K23" s="12" t="str">
        <f t="shared" si="0"/>
        <v/>
      </c>
    </row>
    <row r="24" spans="1:11" ht="48" x14ac:dyDescent="0.25">
      <c r="A24" s="12" t="s">
        <v>1156</v>
      </c>
      <c r="B24" s="29" t="s">
        <v>122</v>
      </c>
      <c r="C24" s="13" t="s">
        <v>405</v>
      </c>
      <c r="D24" s="12" t="s">
        <v>136</v>
      </c>
      <c r="E24" s="13" t="s">
        <v>1166</v>
      </c>
      <c r="F24" s="12">
        <v>1</v>
      </c>
      <c r="G24" s="29" t="s">
        <v>416</v>
      </c>
      <c r="H24" s="13" t="s">
        <v>417</v>
      </c>
      <c r="I24" s="13" t="s">
        <v>410</v>
      </c>
      <c r="J24" s="12" t="str">
        <f>IFERROR(INDEX(Inspección!$T$9:$T$111,MATCH($B24,Inspección!$A$9:$A$111,0)),"")</f>
        <v>Requiere reemplazo</v>
      </c>
      <c r="K24" s="12" t="str">
        <f t="shared" si="0"/>
        <v>SÍ — verificar destino</v>
      </c>
    </row>
    <row r="25" spans="1:11" ht="48" x14ac:dyDescent="0.25">
      <c r="A25" s="12" t="s">
        <v>1156</v>
      </c>
      <c r="B25" s="29" t="s">
        <v>122</v>
      </c>
      <c r="C25" s="13" t="s">
        <v>405</v>
      </c>
      <c r="D25" s="12" t="s">
        <v>136</v>
      </c>
      <c r="E25" s="13" t="s">
        <v>1166</v>
      </c>
      <c r="F25" s="12">
        <v>2</v>
      </c>
      <c r="G25" s="29" t="s">
        <v>455</v>
      </c>
      <c r="H25" s="13" t="s">
        <v>457</v>
      </c>
      <c r="I25" s="13" t="s">
        <v>410</v>
      </c>
      <c r="J25" s="12" t="str">
        <f>IFERROR(INDEX(Inspección!$T$9:$T$111,MATCH($B25,Inspección!$A$9:$A$111,0)),"")</f>
        <v>Requiere reemplazo</v>
      </c>
      <c r="K25" s="12" t="str">
        <f t="shared" si="0"/>
        <v>SÍ — verificar destino</v>
      </c>
    </row>
    <row r="26" spans="1:11" ht="48" x14ac:dyDescent="0.25">
      <c r="A26" s="12" t="s">
        <v>1156</v>
      </c>
      <c r="B26" s="29" t="s">
        <v>122</v>
      </c>
      <c r="C26" s="13" t="s">
        <v>405</v>
      </c>
      <c r="D26" s="12" t="s">
        <v>136</v>
      </c>
      <c r="E26" s="13" t="s">
        <v>1166</v>
      </c>
      <c r="F26" s="12">
        <v>3</v>
      </c>
      <c r="G26" s="29" t="s">
        <v>507</v>
      </c>
      <c r="H26" s="13" t="s">
        <v>509</v>
      </c>
      <c r="I26" s="13" t="s">
        <v>410</v>
      </c>
      <c r="J26" s="12" t="str">
        <f>IFERROR(INDEX(Inspección!$T$9:$T$111,MATCH($B26,Inspección!$A$9:$A$111,0)),"")</f>
        <v>Requiere reemplazo</v>
      </c>
      <c r="K26" s="12" t="str">
        <f t="shared" si="0"/>
        <v>SÍ — verificar destino</v>
      </c>
    </row>
    <row r="27" spans="1:11" ht="36" x14ac:dyDescent="0.25">
      <c r="A27" s="12" t="s">
        <v>1156</v>
      </c>
      <c r="B27" s="29" t="s">
        <v>416</v>
      </c>
      <c r="C27" s="13" t="s">
        <v>417</v>
      </c>
      <c r="D27" s="12" t="s">
        <v>134</v>
      </c>
      <c r="E27" s="13" t="s">
        <v>1167</v>
      </c>
      <c r="F27" s="12">
        <v>1</v>
      </c>
      <c r="G27" s="29" t="s">
        <v>122</v>
      </c>
      <c r="H27" s="13" t="s">
        <v>405</v>
      </c>
      <c r="I27" s="13" t="s">
        <v>421</v>
      </c>
      <c r="J27" s="12" t="str">
        <f>IFERROR(INDEX(Inspección!$T$9:$T$111,MATCH($B27,Inspección!$A$9:$A$111,0)),"")</f>
        <v>Pendiente</v>
      </c>
      <c r="K27" s="12" t="str">
        <f t="shared" si="0"/>
        <v/>
      </c>
    </row>
    <row r="28" spans="1:11" ht="36" x14ac:dyDescent="0.25">
      <c r="A28" s="12" t="s">
        <v>1156</v>
      </c>
      <c r="B28" s="29" t="s">
        <v>416</v>
      </c>
      <c r="C28" s="13" t="s">
        <v>417</v>
      </c>
      <c r="D28" s="12" t="s">
        <v>134</v>
      </c>
      <c r="E28" s="13" t="s">
        <v>1167</v>
      </c>
      <c r="F28" s="12">
        <v>2</v>
      </c>
      <c r="G28" s="29" t="s">
        <v>507</v>
      </c>
      <c r="H28" s="13" t="s">
        <v>509</v>
      </c>
      <c r="I28" s="13" t="s">
        <v>421</v>
      </c>
      <c r="J28" s="12" t="str">
        <f>IFERROR(INDEX(Inspección!$T$9:$T$111,MATCH($B28,Inspección!$A$9:$A$111,0)),"")</f>
        <v>Pendiente</v>
      </c>
      <c r="K28" s="12" t="str">
        <f t="shared" si="0"/>
        <v/>
      </c>
    </row>
    <row r="29" spans="1:11" ht="36" x14ac:dyDescent="0.25">
      <c r="A29" s="12" t="s">
        <v>1156</v>
      </c>
      <c r="B29" s="29" t="s">
        <v>455</v>
      </c>
      <c r="C29" s="13" t="s">
        <v>457</v>
      </c>
      <c r="D29" s="12" t="s">
        <v>134</v>
      </c>
      <c r="E29" s="13" t="s">
        <v>1168</v>
      </c>
      <c r="F29" s="12">
        <v>1</v>
      </c>
      <c r="G29" s="29" t="s">
        <v>465</v>
      </c>
      <c r="H29" s="13" t="s">
        <v>466</v>
      </c>
      <c r="I29" s="13" t="s">
        <v>461</v>
      </c>
      <c r="J29" s="12" t="str">
        <f>IFERROR(INDEX(Inspección!$T$9:$T$111,MATCH($B29,Inspección!$A$9:$A$111,0)),"")</f>
        <v>Pendiente</v>
      </c>
      <c r="K29" s="12" t="str">
        <f t="shared" si="0"/>
        <v/>
      </c>
    </row>
    <row r="30" spans="1:11" ht="36" x14ac:dyDescent="0.25">
      <c r="A30" s="12" t="s">
        <v>1156</v>
      </c>
      <c r="B30" s="29" t="s">
        <v>455</v>
      </c>
      <c r="C30" s="13" t="s">
        <v>457</v>
      </c>
      <c r="D30" s="12" t="s">
        <v>134</v>
      </c>
      <c r="E30" s="13" t="s">
        <v>1168</v>
      </c>
      <c r="F30" s="12">
        <v>2</v>
      </c>
      <c r="G30" s="29" t="s">
        <v>184</v>
      </c>
      <c r="H30" s="13" t="s">
        <v>185</v>
      </c>
      <c r="I30" s="13" t="s">
        <v>461</v>
      </c>
      <c r="J30" s="12" t="str">
        <f>IFERROR(INDEX(Inspección!$T$9:$T$111,MATCH($B30,Inspección!$A$9:$A$111,0)),"")</f>
        <v>Pendiente</v>
      </c>
      <c r="K30" s="12" t="str">
        <f t="shared" si="0"/>
        <v/>
      </c>
    </row>
    <row r="31" spans="1:11" ht="36" x14ac:dyDescent="0.25">
      <c r="A31" s="12" t="s">
        <v>1156</v>
      </c>
      <c r="B31" s="29" t="s">
        <v>455</v>
      </c>
      <c r="C31" s="13" t="s">
        <v>457</v>
      </c>
      <c r="D31" s="12" t="s">
        <v>134</v>
      </c>
      <c r="E31" s="13" t="s">
        <v>1168</v>
      </c>
      <c r="F31" s="12">
        <v>3</v>
      </c>
      <c r="G31" s="29" t="s">
        <v>499</v>
      </c>
      <c r="H31" s="13" t="s">
        <v>500</v>
      </c>
      <c r="I31" s="13" t="s">
        <v>461</v>
      </c>
      <c r="J31" s="12" t="str">
        <f>IFERROR(INDEX(Inspección!$T$9:$T$111,MATCH($B31,Inspección!$A$9:$A$111,0)),"")</f>
        <v>Pendiente</v>
      </c>
      <c r="K31" s="12" t="str">
        <f t="shared" si="0"/>
        <v/>
      </c>
    </row>
    <row r="32" spans="1:11" ht="48" x14ac:dyDescent="0.25">
      <c r="A32" s="12" t="s">
        <v>1156</v>
      </c>
      <c r="B32" s="29" t="s">
        <v>465</v>
      </c>
      <c r="C32" s="13" t="s">
        <v>466</v>
      </c>
      <c r="D32" s="12" t="s">
        <v>136</v>
      </c>
      <c r="E32" s="13" t="s">
        <v>1169</v>
      </c>
      <c r="F32" s="12">
        <v>1</v>
      </c>
      <c r="G32" s="29" t="s">
        <v>323</v>
      </c>
      <c r="H32" s="13" t="s">
        <v>483</v>
      </c>
      <c r="I32" s="13" t="s">
        <v>471</v>
      </c>
      <c r="J32" s="12" t="str">
        <f>IFERROR(INDEX(Inspección!$T$9:$T$111,MATCH($B32,Inspección!$A$9:$A$111,0)),"")</f>
        <v>Pendiente</v>
      </c>
      <c r="K32" s="12" t="str">
        <f t="shared" si="0"/>
        <v/>
      </c>
    </row>
    <row r="33" spans="1:11" ht="48" x14ac:dyDescent="0.25">
      <c r="A33" s="12" t="s">
        <v>1156</v>
      </c>
      <c r="B33" s="29" t="s">
        <v>465</v>
      </c>
      <c r="C33" s="13" t="s">
        <v>466</v>
      </c>
      <c r="D33" s="12" t="s">
        <v>136</v>
      </c>
      <c r="E33" s="13" t="s">
        <v>1169</v>
      </c>
      <c r="F33" s="12">
        <v>2</v>
      </c>
      <c r="G33" s="29" t="s">
        <v>517</v>
      </c>
      <c r="H33" s="13" t="s">
        <v>518</v>
      </c>
      <c r="I33" s="13" t="s">
        <v>471</v>
      </c>
      <c r="J33" s="12" t="str">
        <f>IFERROR(INDEX(Inspección!$T$9:$T$111,MATCH($B33,Inspección!$A$9:$A$111,0)),"")</f>
        <v>Pendiente</v>
      </c>
      <c r="K33" s="12" t="str">
        <f t="shared" si="0"/>
        <v/>
      </c>
    </row>
    <row r="34" spans="1:11" ht="48" x14ac:dyDescent="0.25">
      <c r="A34" s="12" t="s">
        <v>1156</v>
      </c>
      <c r="B34" s="29" t="s">
        <v>465</v>
      </c>
      <c r="C34" s="13" t="s">
        <v>466</v>
      </c>
      <c r="D34" s="12" t="s">
        <v>136</v>
      </c>
      <c r="E34" s="13" t="s">
        <v>1169</v>
      </c>
      <c r="F34" s="12">
        <v>3</v>
      </c>
      <c r="G34" s="29" t="s">
        <v>122</v>
      </c>
      <c r="H34" s="13" t="s">
        <v>405</v>
      </c>
      <c r="I34" s="13" t="s">
        <v>471</v>
      </c>
      <c r="J34" s="12" t="str">
        <f>IFERROR(INDEX(Inspección!$T$9:$T$111,MATCH($B34,Inspección!$A$9:$A$111,0)),"")</f>
        <v>Pendiente</v>
      </c>
      <c r="K34" s="12" t="str">
        <f t="shared" si="0"/>
        <v/>
      </c>
    </row>
    <row r="35" spans="1:11" ht="60" x14ac:dyDescent="0.25">
      <c r="A35" s="12" t="s">
        <v>1156</v>
      </c>
      <c r="B35" s="29" t="s">
        <v>323</v>
      </c>
      <c r="C35" s="13" t="s">
        <v>483</v>
      </c>
      <c r="D35" s="12" t="s">
        <v>136</v>
      </c>
      <c r="E35" s="13" t="s">
        <v>1170</v>
      </c>
      <c r="F35" s="12">
        <v>1</v>
      </c>
      <c r="G35" s="29" t="s">
        <v>493</v>
      </c>
      <c r="H35" s="13" t="s">
        <v>494</v>
      </c>
      <c r="I35" s="13" t="s">
        <v>488</v>
      </c>
      <c r="J35" s="12" t="str">
        <f>IFERROR(INDEX(Inspección!$T$9:$T$111,MATCH($B35,Inspección!$A$9:$A$111,0)),"")</f>
        <v>Pendiente</v>
      </c>
      <c r="K35" s="12" t="str">
        <f t="shared" si="0"/>
        <v/>
      </c>
    </row>
    <row r="36" spans="1:11" ht="60" x14ac:dyDescent="0.25">
      <c r="A36" s="12" t="s">
        <v>1156</v>
      </c>
      <c r="B36" s="29" t="s">
        <v>323</v>
      </c>
      <c r="C36" s="13" t="s">
        <v>483</v>
      </c>
      <c r="D36" s="12" t="s">
        <v>136</v>
      </c>
      <c r="E36" s="13" t="s">
        <v>1170</v>
      </c>
      <c r="F36" s="12">
        <v>2</v>
      </c>
      <c r="G36" s="29" t="s">
        <v>317</v>
      </c>
      <c r="H36" s="13" t="s">
        <v>318</v>
      </c>
      <c r="I36" s="13" t="s">
        <v>488</v>
      </c>
      <c r="J36" s="12" t="str">
        <f>IFERROR(INDEX(Inspección!$T$9:$T$111,MATCH($B36,Inspección!$A$9:$A$111,0)),"")</f>
        <v>Pendiente</v>
      </c>
      <c r="K36" s="12" t="str">
        <f t="shared" si="0"/>
        <v/>
      </c>
    </row>
    <row r="37" spans="1:11" ht="60" x14ac:dyDescent="0.25">
      <c r="A37" s="12" t="s">
        <v>1156</v>
      </c>
      <c r="B37" s="29" t="s">
        <v>323</v>
      </c>
      <c r="C37" s="13" t="s">
        <v>483</v>
      </c>
      <c r="D37" s="12" t="s">
        <v>136</v>
      </c>
      <c r="E37" s="13" t="s">
        <v>1170</v>
      </c>
      <c r="F37" s="12">
        <v>3</v>
      </c>
      <c r="G37" s="29" t="s">
        <v>380</v>
      </c>
      <c r="H37" s="13" t="s">
        <v>381</v>
      </c>
      <c r="I37" s="13" t="s">
        <v>488</v>
      </c>
      <c r="J37" s="12" t="str">
        <f>IFERROR(INDEX(Inspección!$T$9:$T$111,MATCH($B37,Inspección!$A$9:$A$111,0)),"")</f>
        <v>Pendiente</v>
      </c>
      <c r="K37" s="12" t="str">
        <f t="shared" si="0"/>
        <v/>
      </c>
    </row>
    <row r="38" spans="1:11" ht="24" x14ac:dyDescent="0.25">
      <c r="A38" s="12" t="s">
        <v>1156</v>
      </c>
      <c r="B38" s="29" t="s">
        <v>493</v>
      </c>
      <c r="C38" s="13" t="s">
        <v>494</v>
      </c>
      <c r="D38" s="12" t="s">
        <v>134</v>
      </c>
      <c r="E38" s="13" t="s">
        <v>1171</v>
      </c>
      <c r="F38" s="12">
        <v>1</v>
      </c>
      <c r="G38" s="29" t="s">
        <v>323</v>
      </c>
      <c r="H38" s="13" t="s">
        <v>483</v>
      </c>
      <c r="I38" s="13" t="s">
        <v>322</v>
      </c>
      <c r="J38" s="12" t="str">
        <f>IFERROR(INDEX(Inspección!$T$9:$T$111,MATCH($B38,Inspección!$A$9:$A$111,0)),"")</f>
        <v>Pendiente</v>
      </c>
      <c r="K38" s="12" t="str">
        <f t="shared" ref="K38:K69" si="1">IF(OR($J38="No conforme",$J38="Requiere reemplazo"),"SÍ — verificar destino","")</f>
        <v/>
      </c>
    </row>
    <row r="39" spans="1:11" ht="60" x14ac:dyDescent="0.25">
      <c r="A39" s="12" t="s">
        <v>1156</v>
      </c>
      <c r="B39" s="29" t="s">
        <v>499</v>
      </c>
      <c r="C39" s="13" t="s">
        <v>500</v>
      </c>
      <c r="D39" s="12" t="s">
        <v>136</v>
      </c>
      <c r="E39" s="13" t="s">
        <v>1172</v>
      </c>
      <c r="F39" s="12">
        <v>1</v>
      </c>
      <c r="G39" s="29" t="s">
        <v>455</v>
      </c>
      <c r="H39" s="13" t="s">
        <v>457</v>
      </c>
      <c r="I39" s="13" t="s">
        <v>504</v>
      </c>
      <c r="J39" s="12" t="str">
        <f>IFERROR(INDEX(Inspección!$T$9:$T$111,MATCH($B39,Inspección!$A$9:$A$111,0)),"")</f>
        <v>Pendiente</v>
      </c>
      <c r="K39" s="12" t="str">
        <f t="shared" si="1"/>
        <v/>
      </c>
    </row>
    <row r="40" spans="1:11" ht="60" x14ac:dyDescent="0.25">
      <c r="A40" s="12" t="s">
        <v>1156</v>
      </c>
      <c r="B40" s="29" t="s">
        <v>499</v>
      </c>
      <c r="C40" s="13" t="s">
        <v>500</v>
      </c>
      <c r="D40" s="12" t="s">
        <v>136</v>
      </c>
      <c r="E40" s="13" t="s">
        <v>1172</v>
      </c>
      <c r="F40" s="12">
        <v>2</v>
      </c>
      <c r="G40" s="29" t="s">
        <v>465</v>
      </c>
      <c r="H40" s="13" t="s">
        <v>466</v>
      </c>
      <c r="I40" s="13" t="s">
        <v>504</v>
      </c>
      <c r="J40" s="12" t="str">
        <f>IFERROR(INDEX(Inspección!$T$9:$T$111,MATCH($B40,Inspección!$A$9:$A$111,0)),"")</f>
        <v>Pendiente</v>
      </c>
      <c r="K40" s="12" t="str">
        <f t="shared" si="1"/>
        <v/>
      </c>
    </row>
    <row r="41" spans="1:11" ht="60" x14ac:dyDescent="0.25">
      <c r="A41" s="12" t="s">
        <v>1156</v>
      </c>
      <c r="B41" s="29" t="s">
        <v>499</v>
      </c>
      <c r="C41" s="13" t="s">
        <v>500</v>
      </c>
      <c r="D41" s="12" t="s">
        <v>136</v>
      </c>
      <c r="E41" s="13" t="s">
        <v>1172</v>
      </c>
      <c r="F41" s="12">
        <v>3</v>
      </c>
      <c r="G41" s="29" t="s">
        <v>361</v>
      </c>
      <c r="H41" s="13" t="s">
        <v>363</v>
      </c>
      <c r="I41" s="13" t="s">
        <v>504</v>
      </c>
      <c r="J41" s="12" t="str">
        <f>IFERROR(INDEX(Inspección!$T$9:$T$111,MATCH($B41,Inspección!$A$9:$A$111,0)),"")</f>
        <v>Pendiente</v>
      </c>
      <c r="K41" s="12" t="str">
        <f t="shared" si="1"/>
        <v/>
      </c>
    </row>
    <row r="42" spans="1:11" ht="60" x14ac:dyDescent="0.25">
      <c r="A42" s="12" t="s">
        <v>1156</v>
      </c>
      <c r="B42" s="29" t="s">
        <v>499</v>
      </c>
      <c r="C42" s="13" t="s">
        <v>500</v>
      </c>
      <c r="D42" s="12" t="s">
        <v>136</v>
      </c>
      <c r="E42" s="13" t="s">
        <v>1172</v>
      </c>
      <c r="F42" s="12">
        <v>4</v>
      </c>
      <c r="G42" s="29" t="s">
        <v>371</v>
      </c>
      <c r="H42" s="13" t="s">
        <v>372</v>
      </c>
      <c r="I42" s="13" t="s">
        <v>504</v>
      </c>
      <c r="J42" s="12" t="str">
        <f>IFERROR(INDEX(Inspección!$T$9:$T$111,MATCH($B42,Inspección!$A$9:$A$111,0)),"")</f>
        <v>Pendiente</v>
      </c>
      <c r="K42" s="12" t="str">
        <f t="shared" si="1"/>
        <v/>
      </c>
    </row>
    <row r="43" spans="1:11" ht="72" x14ac:dyDescent="0.25">
      <c r="A43" s="12" t="s">
        <v>1156</v>
      </c>
      <c r="B43" s="29" t="s">
        <v>507</v>
      </c>
      <c r="C43" s="13" t="s">
        <v>509</v>
      </c>
      <c r="D43" s="12" t="s">
        <v>136</v>
      </c>
      <c r="E43" s="13" t="s">
        <v>1173</v>
      </c>
      <c r="F43" s="12">
        <v>1</v>
      </c>
      <c r="G43" s="29" t="s">
        <v>323</v>
      </c>
      <c r="H43" s="13" t="s">
        <v>483</v>
      </c>
      <c r="I43" s="13" t="s">
        <v>513</v>
      </c>
      <c r="J43" s="12" t="str">
        <f>IFERROR(INDEX(Inspección!$T$9:$T$111,MATCH($B43,Inspección!$A$9:$A$111,0)),"")</f>
        <v>Pendiente</v>
      </c>
      <c r="K43" s="12" t="str">
        <f t="shared" si="1"/>
        <v/>
      </c>
    </row>
    <row r="44" spans="1:11" ht="72" x14ac:dyDescent="0.25">
      <c r="A44" s="12" t="s">
        <v>1156</v>
      </c>
      <c r="B44" s="29" t="s">
        <v>507</v>
      </c>
      <c r="C44" s="13" t="s">
        <v>509</v>
      </c>
      <c r="D44" s="12" t="s">
        <v>136</v>
      </c>
      <c r="E44" s="13" t="s">
        <v>1173</v>
      </c>
      <c r="F44" s="12">
        <v>2</v>
      </c>
      <c r="G44" s="29" t="s">
        <v>517</v>
      </c>
      <c r="H44" s="13" t="s">
        <v>518</v>
      </c>
      <c r="I44" s="13" t="s">
        <v>513</v>
      </c>
      <c r="J44" s="12" t="str">
        <f>IFERROR(INDEX(Inspección!$T$9:$T$111,MATCH($B44,Inspección!$A$9:$A$111,0)),"")</f>
        <v>Pendiente</v>
      </c>
      <c r="K44" s="12" t="str">
        <f t="shared" si="1"/>
        <v/>
      </c>
    </row>
    <row r="45" spans="1:11" ht="72" x14ac:dyDescent="0.25">
      <c r="A45" s="12" t="s">
        <v>1156</v>
      </c>
      <c r="B45" s="29" t="s">
        <v>507</v>
      </c>
      <c r="C45" s="13" t="s">
        <v>509</v>
      </c>
      <c r="D45" s="12" t="s">
        <v>136</v>
      </c>
      <c r="E45" s="13" t="s">
        <v>1173</v>
      </c>
      <c r="F45" s="12">
        <v>3</v>
      </c>
      <c r="G45" s="29" t="s">
        <v>122</v>
      </c>
      <c r="H45" s="13" t="s">
        <v>405</v>
      </c>
      <c r="I45" s="13" t="s">
        <v>513</v>
      </c>
      <c r="J45" s="12" t="str">
        <f>IFERROR(INDEX(Inspección!$T$9:$T$111,MATCH($B45,Inspección!$A$9:$A$111,0)),"")</f>
        <v>Pendiente</v>
      </c>
      <c r="K45" s="12" t="str">
        <f t="shared" si="1"/>
        <v/>
      </c>
    </row>
    <row r="46" spans="1:11" ht="72" x14ac:dyDescent="0.25">
      <c r="A46" s="12" t="s">
        <v>1156</v>
      </c>
      <c r="B46" s="29" t="s">
        <v>507</v>
      </c>
      <c r="C46" s="13" t="s">
        <v>509</v>
      </c>
      <c r="D46" s="12" t="s">
        <v>136</v>
      </c>
      <c r="E46" s="13" t="s">
        <v>1173</v>
      </c>
      <c r="F46" s="12">
        <v>4</v>
      </c>
      <c r="G46" s="29" t="s">
        <v>416</v>
      </c>
      <c r="H46" s="13" t="s">
        <v>417</v>
      </c>
      <c r="I46" s="13" t="s">
        <v>513</v>
      </c>
      <c r="J46" s="12" t="str">
        <f>IFERROR(INDEX(Inspección!$T$9:$T$111,MATCH($B46,Inspección!$A$9:$A$111,0)),"")</f>
        <v>Pendiente</v>
      </c>
      <c r="K46" s="12" t="str">
        <f t="shared" si="1"/>
        <v/>
      </c>
    </row>
    <row r="47" spans="1:11" ht="72" x14ac:dyDescent="0.25">
      <c r="A47" s="12" t="s">
        <v>1156</v>
      </c>
      <c r="B47" s="29" t="s">
        <v>507</v>
      </c>
      <c r="C47" s="13" t="s">
        <v>509</v>
      </c>
      <c r="D47" s="12" t="s">
        <v>136</v>
      </c>
      <c r="E47" s="13" t="s">
        <v>1173</v>
      </c>
      <c r="F47" s="12">
        <v>5</v>
      </c>
      <c r="G47" s="29" t="s">
        <v>688</v>
      </c>
      <c r="H47" s="13" t="s">
        <v>689</v>
      </c>
      <c r="I47" s="13" t="s">
        <v>513</v>
      </c>
      <c r="J47" s="12" t="str">
        <f>IFERROR(INDEX(Inspección!$T$9:$T$111,MATCH($B47,Inspección!$A$9:$A$111,0)),"")</f>
        <v>Pendiente</v>
      </c>
      <c r="K47" s="12" t="str">
        <f t="shared" si="1"/>
        <v/>
      </c>
    </row>
    <row r="48" spans="1:11" ht="72" x14ac:dyDescent="0.25">
      <c r="A48" s="12" t="s">
        <v>1156</v>
      </c>
      <c r="B48" s="29" t="s">
        <v>507</v>
      </c>
      <c r="C48" s="13" t="s">
        <v>509</v>
      </c>
      <c r="D48" s="12" t="s">
        <v>136</v>
      </c>
      <c r="E48" s="13" t="s">
        <v>1173</v>
      </c>
      <c r="F48" s="12">
        <v>6</v>
      </c>
      <c r="G48" s="29" t="s">
        <v>879</v>
      </c>
      <c r="H48" s="13" t="s">
        <v>880</v>
      </c>
      <c r="I48" s="13" t="s">
        <v>513</v>
      </c>
      <c r="J48" s="12" t="str">
        <f>IFERROR(INDEX(Inspección!$T$9:$T$111,MATCH($B48,Inspección!$A$9:$A$111,0)),"")</f>
        <v>Pendiente</v>
      </c>
      <c r="K48" s="12" t="str">
        <f t="shared" si="1"/>
        <v/>
      </c>
    </row>
    <row r="49" spans="1:11" ht="48" x14ac:dyDescent="0.25">
      <c r="A49" s="12" t="s">
        <v>1156</v>
      </c>
      <c r="B49" s="29" t="s">
        <v>517</v>
      </c>
      <c r="C49" s="13" t="s">
        <v>518</v>
      </c>
      <c r="D49" s="12" t="s">
        <v>134</v>
      </c>
      <c r="E49" s="13" t="s">
        <v>1174</v>
      </c>
      <c r="F49" s="12">
        <v>1</v>
      </c>
      <c r="G49" s="29" t="s">
        <v>507</v>
      </c>
      <c r="H49" s="13" t="s">
        <v>509</v>
      </c>
      <c r="I49" s="13" t="s">
        <v>523</v>
      </c>
      <c r="J49" s="12" t="str">
        <f>IFERROR(INDEX(Inspección!$T$9:$T$111,MATCH($B49,Inspección!$A$9:$A$111,0)),"")</f>
        <v>Pendiente</v>
      </c>
      <c r="K49" s="12" t="str">
        <f t="shared" si="1"/>
        <v/>
      </c>
    </row>
    <row r="50" spans="1:11" ht="48" x14ac:dyDescent="0.25">
      <c r="A50" s="12" t="s">
        <v>1156</v>
      </c>
      <c r="B50" s="29" t="s">
        <v>517</v>
      </c>
      <c r="C50" s="13" t="s">
        <v>518</v>
      </c>
      <c r="D50" s="12" t="s">
        <v>134</v>
      </c>
      <c r="E50" s="13" t="s">
        <v>1174</v>
      </c>
      <c r="F50" s="12">
        <v>2</v>
      </c>
      <c r="G50" s="29" t="s">
        <v>688</v>
      </c>
      <c r="H50" s="13" t="s">
        <v>689</v>
      </c>
      <c r="I50" s="13" t="s">
        <v>523</v>
      </c>
      <c r="J50" s="12" t="str">
        <f>IFERROR(INDEX(Inspección!$T$9:$T$111,MATCH($B50,Inspección!$A$9:$A$111,0)),"")</f>
        <v>Pendiente</v>
      </c>
      <c r="K50" s="12" t="str">
        <f t="shared" si="1"/>
        <v/>
      </c>
    </row>
    <row r="51" spans="1:11" ht="48" x14ac:dyDescent="0.25">
      <c r="A51" s="12" t="s">
        <v>1156</v>
      </c>
      <c r="B51" s="29" t="s">
        <v>527</v>
      </c>
      <c r="C51" s="13" t="s">
        <v>528</v>
      </c>
      <c r="D51" s="12" t="s">
        <v>134</v>
      </c>
      <c r="E51" s="13" t="s">
        <v>1175</v>
      </c>
      <c r="F51" s="12">
        <v>1</v>
      </c>
      <c r="G51" s="29" t="s">
        <v>533</v>
      </c>
      <c r="H51" s="13" t="s">
        <v>550</v>
      </c>
      <c r="I51" s="13" t="s">
        <v>532</v>
      </c>
      <c r="J51" s="12" t="str">
        <f>IFERROR(INDEX(Inspección!$T$9:$T$111,MATCH($B51,Inspección!$A$9:$A$111,0)),"")</f>
        <v>Pendiente</v>
      </c>
      <c r="K51" s="12" t="str">
        <f t="shared" si="1"/>
        <v/>
      </c>
    </row>
    <row r="52" spans="1:11" ht="24" x14ac:dyDescent="0.25">
      <c r="A52" s="12" t="s">
        <v>1156</v>
      </c>
      <c r="B52" s="29" t="s">
        <v>533</v>
      </c>
      <c r="C52" s="13" t="s">
        <v>550</v>
      </c>
      <c r="D52" s="12" t="s">
        <v>134</v>
      </c>
      <c r="E52" s="13" t="s">
        <v>1176</v>
      </c>
      <c r="F52" s="12">
        <v>1</v>
      </c>
      <c r="G52" s="29" t="s">
        <v>527</v>
      </c>
      <c r="H52" s="13" t="s">
        <v>528</v>
      </c>
      <c r="I52" s="13" t="s">
        <v>554</v>
      </c>
      <c r="J52" s="12" t="str">
        <f>IFERROR(INDEX(Inspección!$T$9:$T$111,MATCH($B52,Inspección!$A$9:$A$111,0)),"")</f>
        <v>Pendiente</v>
      </c>
      <c r="K52" s="12" t="str">
        <f t="shared" si="1"/>
        <v/>
      </c>
    </row>
    <row r="53" spans="1:11" ht="36" x14ac:dyDescent="0.25">
      <c r="A53" s="12" t="s">
        <v>1156</v>
      </c>
      <c r="B53" s="29" t="s">
        <v>587</v>
      </c>
      <c r="C53" s="13" t="s">
        <v>588</v>
      </c>
      <c r="D53" s="12" t="s">
        <v>134</v>
      </c>
      <c r="E53" s="13" t="s">
        <v>1177</v>
      </c>
      <c r="F53" s="12">
        <v>1</v>
      </c>
      <c r="G53" s="29" t="s">
        <v>603</v>
      </c>
      <c r="H53" s="13" t="s">
        <v>605</v>
      </c>
      <c r="I53" s="13" t="s">
        <v>592</v>
      </c>
      <c r="J53" s="12" t="str">
        <f>IFERROR(INDEX(Inspección!$T$9:$T$111,MATCH($B53,Inspección!$A$9:$A$111,0)),"")</f>
        <v>Pendiente</v>
      </c>
      <c r="K53" s="12" t="str">
        <f t="shared" si="1"/>
        <v/>
      </c>
    </row>
    <row r="54" spans="1:11" ht="36" x14ac:dyDescent="0.25">
      <c r="A54" s="12" t="s">
        <v>1156</v>
      </c>
      <c r="B54" s="29" t="s">
        <v>587</v>
      </c>
      <c r="C54" s="13" t="s">
        <v>588</v>
      </c>
      <c r="D54" s="12" t="s">
        <v>134</v>
      </c>
      <c r="E54" s="13" t="s">
        <v>1177</v>
      </c>
      <c r="F54" s="12">
        <v>2</v>
      </c>
      <c r="G54" s="29" t="s">
        <v>616</v>
      </c>
      <c r="H54" s="13" t="s">
        <v>617</v>
      </c>
      <c r="I54" s="13" t="s">
        <v>592</v>
      </c>
      <c r="J54" s="12" t="str">
        <f>IFERROR(INDEX(Inspección!$T$9:$T$111,MATCH($B54,Inspección!$A$9:$A$111,0)),"")</f>
        <v>Pendiente</v>
      </c>
      <c r="K54" s="12" t="str">
        <f t="shared" si="1"/>
        <v/>
      </c>
    </row>
    <row r="55" spans="1:11" ht="36" x14ac:dyDescent="0.25">
      <c r="A55" s="12" t="s">
        <v>1156</v>
      </c>
      <c r="B55" s="29" t="s">
        <v>603</v>
      </c>
      <c r="C55" s="13" t="s">
        <v>605</v>
      </c>
      <c r="D55" s="12" t="s">
        <v>136</v>
      </c>
      <c r="E55" s="13" t="s">
        <v>1178</v>
      </c>
      <c r="F55" s="12">
        <v>1</v>
      </c>
      <c r="G55" s="29" t="s">
        <v>616</v>
      </c>
      <c r="H55" s="13" t="s">
        <v>617</v>
      </c>
      <c r="I55" s="13" t="s">
        <v>611</v>
      </c>
      <c r="J55" s="12" t="str">
        <f>IFERROR(INDEX(Inspección!$T$9:$T$111,MATCH($B55,Inspección!$A$9:$A$111,0)),"")</f>
        <v>Pendiente</v>
      </c>
      <c r="K55" s="12" t="str">
        <f t="shared" si="1"/>
        <v/>
      </c>
    </row>
    <row r="56" spans="1:11" ht="36" x14ac:dyDescent="0.25">
      <c r="A56" s="12" t="s">
        <v>1156</v>
      </c>
      <c r="B56" s="29" t="s">
        <v>603</v>
      </c>
      <c r="C56" s="13" t="s">
        <v>605</v>
      </c>
      <c r="D56" s="12" t="s">
        <v>136</v>
      </c>
      <c r="E56" s="13" t="s">
        <v>1178</v>
      </c>
      <c r="F56" s="12">
        <v>2</v>
      </c>
      <c r="G56" s="29" t="s">
        <v>703</v>
      </c>
      <c r="H56" s="13" t="s">
        <v>704</v>
      </c>
      <c r="I56" s="13" t="s">
        <v>611</v>
      </c>
      <c r="J56" s="12" t="str">
        <f>IFERROR(INDEX(Inspección!$T$9:$T$111,MATCH($B56,Inspección!$A$9:$A$111,0)),"")</f>
        <v>Pendiente</v>
      </c>
      <c r="K56" s="12" t="str">
        <f t="shared" si="1"/>
        <v/>
      </c>
    </row>
    <row r="57" spans="1:11" ht="36" x14ac:dyDescent="0.25">
      <c r="A57" s="12" t="s">
        <v>1156</v>
      </c>
      <c r="B57" s="29" t="s">
        <v>616</v>
      </c>
      <c r="C57" s="13" t="s">
        <v>617</v>
      </c>
      <c r="D57" s="12" t="s">
        <v>136</v>
      </c>
      <c r="E57" s="13" t="s">
        <v>1179</v>
      </c>
      <c r="F57" s="12">
        <v>1</v>
      </c>
      <c r="G57" s="29" t="s">
        <v>603</v>
      </c>
      <c r="H57" s="13" t="s">
        <v>605</v>
      </c>
      <c r="I57" s="13" t="s">
        <v>622</v>
      </c>
      <c r="J57" s="12" t="str">
        <f>IFERROR(INDEX(Inspección!$T$9:$T$111,MATCH($B57,Inspección!$A$9:$A$111,0)),"")</f>
        <v>Pendiente</v>
      </c>
      <c r="K57" s="12" t="str">
        <f t="shared" si="1"/>
        <v/>
      </c>
    </row>
    <row r="58" spans="1:11" ht="36" x14ac:dyDescent="0.25">
      <c r="A58" s="12" t="s">
        <v>1156</v>
      </c>
      <c r="B58" s="29" t="s">
        <v>616</v>
      </c>
      <c r="C58" s="13" t="s">
        <v>617</v>
      </c>
      <c r="D58" s="12" t="s">
        <v>136</v>
      </c>
      <c r="E58" s="13" t="s">
        <v>1179</v>
      </c>
      <c r="F58" s="12">
        <v>2</v>
      </c>
      <c r="G58" s="29" t="s">
        <v>587</v>
      </c>
      <c r="H58" s="13" t="s">
        <v>588</v>
      </c>
      <c r="I58" s="13" t="s">
        <v>622</v>
      </c>
      <c r="J58" s="12" t="str">
        <f>IFERROR(INDEX(Inspección!$T$9:$T$111,MATCH($B58,Inspección!$A$9:$A$111,0)),"")</f>
        <v>Pendiente</v>
      </c>
      <c r="K58" s="12" t="str">
        <f t="shared" si="1"/>
        <v/>
      </c>
    </row>
    <row r="59" spans="1:11" ht="72" x14ac:dyDescent="0.25">
      <c r="A59" s="12" t="s">
        <v>1156</v>
      </c>
      <c r="B59" s="29" t="s">
        <v>626</v>
      </c>
      <c r="C59" s="13" t="s">
        <v>627</v>
      </c>
      <c r="D59" s="12" t="s">
        <v>134</v>
      </c>
      <c r="E59" s="13" t="s">
        <v>1180</v>
      </c>
      <c r="F59" s="12">
        <v>1</v>
      </c>
      <c r="G59" s="29" t="s">
        <v>587</v>
      </c>
      <c r="H59" s="13" t="s">
        <v>588</v>
      </c>
      <c r="I59" s="13" t="s">
        <v>632</v>
      </c>
      <c r="J59" s="12" t="str">
        <f>IFERROR(INDEX(Inspección!$T$9:$T$111,MATCH($B59,Inspección!$A$9:$A$111,0)),"")</f>
        <v>Pendiente</v>
      </c>
      <c r="K59" s="12" t="str">
        <f t="shared" si="1"/>
        <v/>
      </c>
    </row>
    <row r="60" spans="1:11" ht="72" x14ac:dyDescent="0.25">
      <c r="A60" s="12" t="s">
        <v>1156</v>
      </c>
      <c r="B60" s="29" t="s">
        <v>626</v>
      </c>
      <c r="C60" s="13" t="s">
        <v>627</v>
      </c>
      <c r="D60" s="12" t="s">
        <v>134</v>
      </c>
      <c r="E60" s="13" t="s">
        <v>1180</v>
      </c>
      <c r="F60" s="12">
        <v>2</v>
      </c>
      <c r="G60" s="29" t="s">
        <v>703</v>
      </c>
      <c r="H60" s="13" t="s">
        <v>704</v>
      </c>
      <c r="I60" s="13" t="s">
        <v>632</v>
      </c>
      <c r="J60" s="12" t="str">
        <f>IFERROR(INDEX(Inspección!$T$9:$T$111,MATCH($B60,Inspección!$A$9:$A$111,0)),"")</f>
        <v>Pendiente</v>
      </c>
      <c r="K60" s="12" t="str">
        <f t="shared" si="1"/>
        <v/>
      </c>
    </row>
    <row r="61" spans="1:11" ht="36" x14ac:dyDescent="0.25">
      <c r="A61" s="12" t="s">
        <v>1156</v>
      </c>
      <c r="B61" s="29" t="s">
        <v>636</v>
      </c>
      <c r="C61" s="13" t="s">
        <v>637</v>
      </c>
      <c r="D61" s="12" t="s">
        <v>136</v>
      </c>
      <c r="E61" s="13" t="s">
        <v>1181</v>
      </c>
      <c r="F61" s="12">
        <v>1</v>
      </c>
      <c r="G61" s="29" t="s">
        <v>716</v>
      </c>
      <c r="H61" s="13" t="s">
        <v>718</v>
      </c>
      <c r="I61" s="13" t="s">
        <v>641</v>
      </c>
      <c r="J61" s="12" t="str">
        <f>IFERROR(INDEX(Inspección!$T$9:$T$111,MATCH($B61,Inspección!$A$9:$A$111,0)),"")</f>
        <v>Pendiente</v>
      </c>
      <c r="K61" s="12" t="str">
        <f t="shared" si="1"/>
        <v/>
      </c>
    </row>
    <row r="62" spans="1:11" ht="36" x14ac:dyDescent="0.25">
      <c r="A62" s="12" t="s">
        <v>1156</v>
      </c>
      <c r="B62" s="29" t="s">
        <v>636</v>
      </c>
      <c r="C62" s="13" t="s">
        <v>637</v>
      </c>
      <c r="D62" s="12" t="s">
        <v>136</v>
      </c>
      <c r="E62" s="13" t="s">
        <v>1181</v>
      </c>
      <c r="F62" s="12">
        <v>2</v>
      </c>
      <c r="G62" s="29" t="s">
        <v>240</v>
      </c>
      <c r="H62" s="13" t="s">
        <v>241</v>
      </c>
      <c r="I62" s="13" t="s">
        <v>641</v>
      </c>
      <c r="J62" s="12" t="str">
        <f>IFERROR(INDEX(Inspección!$T$9:$T$111,MATCH($B62,Inspección!$A$9:$A$111,0)),"")</f>
        <v>Pendiente</v>
      </c>
      <c r="K62" s="12" t="str">
        <f t="shared" si="1"/>
        <v/>
      </c>
    </row>
    <row r="63" spans="1:11" ht="60" x14ac:dyDescent="0.25">
      <c r="A63" s="12" t="s">
        <v>1156</v>
      </c>
      <c r="B63" s="29" t="s">
        <v>651</v>
      </c>
      <c r="C63" s="13" t="s">
        <v>653</v>
      </c>
      <c r="D63" s="12" t="s">
        <v>136</v>
      </c>
      <c r="E63" s="13" t="s">
        <v>1182</v>
      </c>
      <c r="F63" s="12">
        <v>1</v>
      </c>
      <c r="G63" s="29" t="s">
        <v>669</v>
      </c>
      <c r="H63" s="13" t="s">
        <v>670</v>
      </c>
      <c r="I63" s="13" t="s">
        <v>657</v>
      </c>
      <c r="J63" s="12" t="str">
        <f>IFERROR(INDEX(Inspección!$T$9:$T$111,MATCH($B63,Inspección!$A$9:$A$111,0)),"")</f>
        <v>Pendiente</v>
      </c>
      <c r="K63" s="12" t="str">
        <f t="shared" si="1"/>
        <v/>
      </c>
    </row>
    <row r="64" spans="1:11" ht="60" x14ac:dyDescent="0.25">
      <c r="A64" s="12" t="s">
        <v>1156</v>
      </c>
      <c r="B64" s="29" t="s">
        <v>651</v>
      </c>
      <c r="C64" s="13" t="s">
        <v>653</v>
      </c>
      <c r="D64" s="12" t="s">
        <v>136</v>
      </c>
      <c r="E64" s="13" t="s">
        <v>1182</v>
      </c>
      <c r="F64" s="12">
        <v>2</v>
      </c>
      <c r="G64" s="29" t="s">
        <v>323</v>
      </c>
      <c r="H64" s="13" t="s">
        <v>483</v>
      </c>
      <c r="I64" s="13" t="s">
        <v>657</v>
      </c>
      <c r="J64" s="12" t="str">
        <f>IFERROR(INDEX(Inspección!$T$9:$T$111,MATCH($B64,Inspección!$A$9:$A$111,0)),"")</f>
        <v>Pendiente</v>
      </c>
      <c r="K64" s="12" t="str">
        <f t="shared" si="1"/>
        <v/>
      </c>
    </row>
    <row r="65" spans="1:11" ht="60" x14ac:dyDescent="0.25">
      <c r="A65" s="12" t="s">
        <v>1156</v>
      </c>
      <c r="B65" s="29" t="s">
        <v>651</v>
      </c>
      <c r="C65" s="13" t="s">
        <v>653</v>
      </c>
      <c r="D65" s="12" t="s">
        <v>136</v>
      </c>
      <c r="E65" s="13" t="s">
        <v>1182</v>
      </c>
      <c r="F65" s="12">
        <v>3</v>
      </c>
      <c r="G65" s="29" t="s">
        <v>380</v>
      </c>
      <c r="H65" s="13" t="s">
        <v>381</v>
      </c>
      <c r="I65" s="13" t="s">
        <v>657</v>
      </c>
      <c r="J65" s="12" t="str">
        <f>IFERROR(INDEX(Inspección!$T$9:$T$111,MATCH($B65,Inspección!$A$9:$A$111,0)),"")</f>
        <v>Pendiente</v>
      </c>
      <c r="K65" s="12" t="str">
        <f t="shared" si="1"/>
        <v/>
      </c>
    </row>
    <row r="66" spans="1:11" ht="60" x14ac:dyDescent="0.25">
      <c r="A66" s="12" t="s">
        <v>1156</v>
      </c>
      <c r="B66" s="29" t="s">
        <v>651</v>
      </c>
      <c r="C66" s="13" t="s">
        <v>653</v>
      </c>
      <c r="D66" s="12" t="s">
        <v>136</v>
      </c>
      <c r="E66" s="13" t="s">
        <v>1182</v>
      </c>
      <c r="F66" s="12">
        <v>4</v>
      </c>
      <c r="G66" s="29" t="s">
        <v>688</v>
      </c>
      <c r="H66" s="13" t="s">
        <v>689</v>
      </c>
      <c r="I66" s="13" t="s">
        <v>657</v>
      </c>
      <c r="J66" s="12" t="str">
        <f>IFERROR(INDEX(Inspección!$T$9:$T$111,MATCH($B66,Inspección!$A$9:$A$111,0)),"")</f>
        <v>Pendiente</v>
      </c>
      <c r="K66" s="12" t="str">
        <f t="shared" si="1"/>
        <v/>
      </c>
    </row>
    <row r="67" spans="1:11" ht="60" x14ac:dyDescent="0.25">
      <c r="A67" s="12" t="s">
        <v>1156</v>
      </c>
      <c r="B67" s="29" t="s">
        <v>651</v>
      </c>
      <c r="C67" s="13" t="s">
        <v>653</v>
      </c>
      <c r="D67" s="12" t="s">
        <v>136</v>
      </c>
      <c r="E67" s="13" t="s">
        <v>1182</v>
      </c>
      <c r="F67" s="12">
        <v>5</v>
      </c>
      <c r="G67" s="29" t="s">
        <v>527</v>
      </c>
      <c r="H67" s="13" t="s">
        <v>528</v>
      </c>
      <c r="I67" s="13" t="s">
        <v>657</v>
      </c>
      <c r="J67" s="12" t="str">
        <f>IFERROR(INDEX(Inspección!$T$9:$T$111,MATCH($B67,Inspección!$A$9:$A$111,0)),"")</f>
        <v>Pendiente</v>
      </c>
      <c r="K67" s="12" t="str">
        <f t="shared" si="1"/>
        <v/>
      </c>
    </row>
    <row r="68" spans="1:11" ht="48" x14ac:dyDescent="0.25">
      <c r="A68" s="12" t="s">
        <v>1156</v>
      </c>
      <c r="B68" s="29" t="s">
        <v>669</v>
      </c>
      <c r="C68" s="13" t="s">
        <v>670</v>
      </c>
      <c r="D68" s="12" t="s">
        <v>136</v>
      </c>
      <c r="E68" s="13" t="s">
        <v>1183</v>
      </c>
      <c r="F68" s="12">
        <v>1</v>
      </c>
      <c r="G68" s="29" t="s">
        <v>651</v>
      </c>
      <c r="H68" s="13" t="s">
        <v>653</v>
      </c>
      <c r="I68" s="13" t="s">
        <v>674</v>
      </c>
      <c r="J68" s="12" t="str">
        <f>IFERROR(INDEX(Inspección!$T$9:$T$111,MATCH($B68,Inspección!$A$9:$A$111,0)),"")</f>
        <v>Pendiente</v>
      </c>
      <c r="K68" s="12" t="str">
        <f t="shared" si="1"/>
        <v/>
      </c>
    </row>
    <row r="69" spans="1:11" ht="48" x14ac:dyDescent="0.25">
      <c r="A69" s="12" t="s">
        <v>1156</v>
      </c>
      <c r="B69" s="29" t="s">
        <v>678</v>
      </c>
      <c r="C69" s="13" t="s">
        <v>681</v>
      </c>
      <c r="D69" s="12" t="s">
        <v>136</v>
      </c>
      <c r="E69" s="13" t="s">
        <v>1184</v>
      </c>
      <c r="F69" s="12">
        <v>1</v>
      </c>
      <c r="G69" s="29" t="s">
        <v>507</v>
      </c>
      <c r="H69" s="13" t="s">
        <v>509</v>
      </c>
      <c r="I69" s="13" t="s">
        <v>685</v>
      </c>
      <c r="J69" s="12" t="str">
        <f>IFERROR(INDEX(Inspección!$T$9:$T$111,MATCH($B69,Inspección!$A$9:$A$111,0)),"")</f>
        <v>Pendiente</v>
      </c>
      <c r="K69" s="12" t="str">
        <f t="shared" si="1"/>
        <v/>
      </c>
    </row>
    <row r="70" spans="1:11" ht="60" x14ac:dyDescent="0.25">
      <c r="A70" s="12" t="s">
        <v>1156</v>
      </c>
      <c r="B70" s="29" t="s">
        <v>688</v>
      </c>
      <c r="C70" s="13" t="s">
        <v>689</v>
      </c>
      <c r="D70" s="12" t="s">
        <v>134</v>
      </c>
      <c r="E70" s="13" t="s">
        <v>1185</v>
      </c>
      <c r="F70" s="12">
        <v>1</v>
      </c>
      <c r="G70" s="29" t="s">
        <v>678</v>
      </c>
      <c r="H70" s="13" t="s">
        <v>681</v>
      </c>
      <c r="I70" s="13" t="s">
        <v>693</v>
      </c>
      <c r="J70" s="12" t="str">
        <f>IFERROR(INDEX(Inspección!$T$9:$T$111,MATCH($B70,Inspección!$A$9:$A$111,0)),"")</f>
        <v>Pendiente</v>
      </c>
      <c r="K70" s="12" t="str">
        <f t="shared" ref="K70:K89" si="2">IF(OR($J70="No conforme",$J70="Requiere reemplazo"),"SÍ — verificar destino","")</f>
        <v/>
      </c>
    </row>
    <row r="71" spans="1:11" ht="60" x14ac:dyDescent="0.25">
      <c r="A71" s="12" t="s">
        <v>1156</v>
      </c>
      <c r="B71" s="29" t="s">
        <v>688</v>
      </c>
      <c r="C71" s="13" t="s">
        <v>689</v>
      </c>
      <c r="D71" s="12" t="s">
        <v>134</v>
      </c>
      <c r="E71" s="13" t="s">
        <v>1185</v>
      </c>
      <c r="F71" s="12">
        <v>2</v>
      </c>
      <c r="G71" s="29" t="s">
        <v>507</v>
      </c>
      <c r="H71" s="13" t="s">
        <v>509</v>
      </c>
      <c r="I71" s="13" t="s">
        <v>693</v>
      </c>
      <c r="J71" s="12" t="str">
        <f>IFERROR(INDEX(Inspección!$T$9:$T$111,MATCH($B71,Inspección!$A$9:$A$111,0)),"")</f>
        <v>Pendiente</v>
      </c>
      <c r="K71" s="12" t="str">
        <f t="shared" si="2"/>
        <v/>
      </c>
    </row>
    <row r="72" spans="1:11" ht="48" x14ac:dyDescent="0.25">
      <c r="A72" s="12" t="s">
        <v>1156</v>
      </c>
      <c r="B72" s="29" t="s">
        <v>703</v>
      </c>
      <c r="C72" s="13" t="s">
        <v>704</v>
      </c>
      <c r="D72" s="12" t="s">
        <v>136</v>
      </c>
      <c r="E72" s="13" t="s">
        <v>1186</v>
      </c>
      <c r="F72" s="12">
        <v>1</v>
      </c>
      <c r="G72" s="29" t="s">
        <v>603</v>
      </c>
      <c r="H72" s="13" t="s">
        <v>605</v>
      </c>
      <c r="I72" s="13" t="s">
        <v>707</v>
      </c>
      <c r="J72" s="12" t="str">
        <f>IFERROR(INDEX(Inspección!$T$9:$T$111,MATCH($B72,Inspección!$A$9:$A$111,0)),"")</f>
        <v>Pendiente</v>
      </c>
      <c r="K72" s="12" t="str">
        <f t="shared" si="2"/>
        <v/>
      </c>
    </row>
    <row r="73" spans="1:11" ht="60" x14ac:dyDescent="0.25">
      <c r="A73" s="12" t="s">
        <v>1156</v>
      </c>
      <c r="B73" s="29" t="s">
        <v>716</v>
      </c>
      <c r="C73" s="13" t="s">
        <v>718</v>
      </c>
      <c r="D73" s="12" t="s">
        <v>136</v>
      </c>
      <c r="E73" s="13" t="s">
        <v>1187</v>
      </c>
      <c r="F73" s="12">
        <v>1</v>
      </c>
      <c r="G73" s="29" t="s">
        <v>726</v>
      </c>
      <c r="H73" s="13" t="s">
        <v>727</v>
      </c>
      <c r="I73" s="13" t="s">
        <v>723</v>
      </c>
      <c r="J73" s="12" t="str">
        <f>IFERROR(INDEX(Inspección!$T$9:$T$111,MATCH($B73,Inspección!$A$9:$A$111,0)),"")</f>
        <v>Pendiente</v>
      </c>
      <c r="K73" s="12" t="str">
        <f t="shared" si="2"/>
        <v/>
      </c>
    </row>
    <row r="74" spans="1:11" ht="60" x14ac:dyDescent="0.25">
      <c r="A74" s="12" t="s">
        <v>1156</v>
      </c>
      <c r="B74" s="29" t="s">
        <v>716</v>
      </c>
      <c r="C74" s="13" t="s">
        <v>718</v>
      </c>
      <c r="D74" s="12" t="s">
        <v>136</v>
      </c>
      <c r="E74" s="13" t="s">
        <v>1187</v>
      </c>
      <c r="F74" s="12">
        <v>2</v>
      </c>
      <c r="G74" s="29" t="s">
        <v>733</v>
      </c>
      <c r="H74" s="13" t="s">
        <v>734</v>
      </c>
      <c r="I74" s="13" t="s">
        <v>723</v>
      </c>
      <c r="J74" s="12" t="str">
        <f>IFERROR(INDEX(Inspección!$T$9:$T$111,MATCH($B74,Inspección!$A$9:$A$111,0)),"")</f>
        <v>Pendiente</v>
      </c>
      <c r="K74" s="12" t="str">
        <f t="shared" si="2"/>
        <v/>
      </c>
    </row>
    <row r="75" spans="1:11" ht="60" x14ac:dyDescent="0.25">
      <c r="A75" s="12" t="s">
        <v>1156</v>
      </c>
      <c r="B75" s="29" t="s">
        <v>716</v>
      </c>
      <c r="C75" s="13" t="s">
        <v>718</v>
      </c>
      <c r="D75" s="12" t="s">
        <v>136</v>
      </c>
      <c r="E75" s="13" t="s">
        <v>1187</v>
      </c>
      <c r="F75" s="12">
        <v>3</v>
      </c>
      <c r="G75" s="29" t="s">
        <v>636</v>
      </c>
      <c r="H75" s="13" t="s">
        <v>637</v>
      </c>
      <c r="I75" s="13" t="s">
        <v>723</v>
      </c>
      <c r="J75" s="12" t="str">
        <f>IFERROR(INDEX(Inspección!$T$9:$T$111,MATCH($B75,Inspección!$A$9:$A$111,0)),"")</f>
        <v>Pendiente</v>
      </c>
      <c r="K75" s="12" t="str">
        <f t="shared" si="2"/>
        <v/>
      </c>
    </row>
    <row r="76" spans="1:11" ht="24" x14ac:dyDescent="0.25">
      <c r="A76" s="12" t="s">
        <v>1156</v>
      </c>
      <c r="B76" s="29" t="s">
        <v>726</v>
      </c>
      <c r="C76" s="13" t="s">
        <v>727</v>
      </c>
      <c r="D76" s="12" t="s">
        <v>136</v>
      </c>
      <c r="E76" s="13" t="s">
        <v>1188</v>
      </c>
      <c r="F76" s="12">
        <v>1</v>
      </c>
      <c r="G76" s="29" t="s">
        <v>716</v>
      </c>
      <c r="H76" s="13" t="s">
        <v>718</v>
      </c>
      <c r="I76" s="13" t="s">
        <v>730</v>
      </c>
      <c r="J76" s="12" t="str">
        <f>IFERROR(INDEX(Inspección!$T$9:$T$111,MATCH($B76,Inspección!$A$9:$A$111,0)),"")</f>
        <v>Pendiente</v>
      </c>
      <c r="K76" s="12" t="str">
        <f t="shared" si="2"/>
        <v/>
      </c>
    </row>
    <row r="77" spans="1:11" ht="24" x14ac:dyDescent="0.25">
      <c r="A77" s="12" t="s">
        <v>1156</v>
      </c>
      <c r="B77" s="29" t="s">
        <v>726</v>
      </c>
      <c r="C77" s="13" t="s">
        <v>727</v>
      </c>
      <c r="D77" s="12" t="s">
        <v>136</v>
      </c>
      <c r="E77" s="13" t="s">
        <v>1188</v>
      </c>
      <c r="F77" s="12">
        <v>2</v>
      </c>
      <c r="G77" s="29" t="s">
        <v>733</v>
      </c>
      <c r="H77" s="13" t="s">
        <v>734</v>
      </c>
      <c r="I77" s="13" t="s">
        <v>730</v>
      </c>
      <c r="J77" s="12" t="str">
        <f>IFERROR(INDEX(Inspección!$T$9:$T$111,MATCH($B77,Inspección!$A$9:$A$111,0)),"")</f>
        <v>Pendiente</v>
      </c>
      <c r="K77" s="12" t="str">
        <f t="shared" si="2"/>
        <v/>
      </c>
    </row>
    <row r="78" spans="1:11" ht="24" x14ac:dyDescent="0.25">
      <c r="A78" s="12" t="s">
        <v>1156</v>
      </c>
      <c r="B78" s="29" t="s">
        <v>733</v>
      </c>
      <c r="C78" s="13" t="s">
        <v>734</v>
      </c>
      <c r="D78" s="12" t="s">
        <v>136</v>
      </c>
      <c r="E78" s="13" t="s">
        <v>1189</v>
      </c>
      <c r="F78" s="12">
        <v>1</v>
      </c>
      <c r="G78" s="29" t="s">
        <v>716</v>
      </c>
      <c r="H78" s="13" t="s">
        <v>718</v>
      </c>
      <c r="I78" s="13" t="s">
        <v>730</v>
      </c>
      <c r="J78" s="12" t="str">
        <f>IFERROR(INDEX(Inspección!$T$9:$T$111,MATCH($B78,Inspección!$A$9:$A$111,0)),"")</f>
        <v>Pendiente</v>
      </c>
      <c r="K78" s="12" t="str">
        <f t="shared" si="2"/>
        <v/>
      </c>
    </row>
    <row r="79" spans="1:11" ht="24" x14ac:dyDescent="0.25">
      <c r="A79" s="12" t="s">
        <v>1156</v>
      </c>
      <c r="B79" s="29" t="s">
        <v>733</v>
      </c>
      <c r="C79" s="13" t="s">
        <v>734</v>
      </c>
      <c r="D79" s="12" t="s">
        <v>136</v>
      </c>
      <c r="E79" s="13" t="s">
        <v>1189</v>
      </c>
      <c r="F79" s="12">
        <v>2</v>
      </c>
      <c r="G79" s="29" t="s">
        <v>726</v>
      </c>
      <c r="H79" s="13" t="s">
        <v>727</v>
      </c>
      <c r="I79" s="13" t="s">
        <v>730</v>
      </c>
      <c r="J79" s="12" t="str">
        <f>IFERROR(INDEX(Inspección!$T$9:$T$111,MATCH($B79,Inspección!$A$9:$A$111,0)),"")</f>
        <v>Pendiente</v>
      </c>
      <c r="K79" s="12" t="str">
        <f t="shared" si="2"/>
        <v/>
      </c>
    </row>
    <row r="80" spans="1:11" ht="36" x14ac:dyDescent="0.25">
      <c r="A80" s="12" t="s">
        <v>1156</v>
      </c>
      <c r="B80" s="29" t="s">
        <v>740</v>
      </c>
      <c r="C80" s="13" t="s">
        <v>742</v>
      </c>
      <c r="D80" s="12" t="s">
        <v>134</v>
      </c>
      <c r="E80" s="13" t="s">
        <v>1190</v>
      </c>
      <c r="F80" s="12">
        <v>1</v>
      </c>
      <c r="G80" s="29" t="s">
        <v>747</v>
      </c>
      <c r="H80" s="13" t="s">
        <v>750</v>
      </c>
      <c r="I80" s="13" t="s">
        <v>746</v>
      </c>
      <c r="J80" s="12" t="str">
        <f>IFERROR(INDEX(Inspección!$T$9:$T$111,MATCH($B80,Inspección!$A$9:$A$111,0)),"")</f>
        <v>Pendiente</v>
      </c>
      <c r="K80" s="12" t="str">
        <f t="shared" si="2"/>
        <v/>
      </c>
    </row>
    <row r="81" spans="1:11" ht="84" x14ac:dyDescent="0.25">
      <c r="A81" s="12" t="s">
        <v>1156</v>
      </c>
      <c r="B81" s="29" t="s">
        <v>747</v>
      </c>
      <c r="C81" s="13" t="s">
        <v>750</v>
      </c>
      <c r="D81" s="12" t="s">
        <v>136</v>
      </c>
      <c r="E81" s="13" t="s">
        <v>1191</v>
      </c>
      <c r="F81" s="12">
        <v>1</v>
      </c>
      <c r="G81" s="29" t="s">
        <v>740</v>
      </c>
      <c r="H81" s="13" t="s">
        <v>742</v>
      </c>
      <c r="I81" s="13" t="s">
        <v>754</v>
      </c>
      <c r="J81" s="12" t="str">
        <f>IFERROR(INDEX(Inspección!$T$9:$T$111,MATCH($B81,Inspección!$A$9:$A$111,0)),"")</f>
        <v>Pendiente</v>
      </c>
      <c r="K81" s="12" t="str">
        <f t="shared" si="2"/>
        <v/>
      </c>
    </row>
    <row r="82" spans="1:11" ht="36" x14ac:dyDescent="0.25">
      <c r="A82" s="12" t="s">
        <v>1156</v>
      </c>
      <c r="B82" s="29" t="s">
        <v>757</v>
      </c>
      <c r="C82" s="13" t="s">
        <v>758</v>
      </c>
      <c r="D82" s="12" t="s">
        <v>134</v>
      </c>
      <c r="E82" s="13" t="s">
        <v>1192</v>
      </c>
      <c r="F82" s="12">
        <v>1</v>
      </c>
      <c r="G82" s="29" t="s">
        <v>332</v>
      </c>
      <c r="H82" s="13" t="s">
        <v>931</v>
      </c>
      <c r="I82" s="13" t="s">
        <v>762</v>
      </c>
      <c r="J82" s="12" t="str">
        <f>IFERROR(INDEX(Inspección!$T$9:$T$111,MATCH($B82,Inspección!$A$9:$A$111,0)),"")</f>
        <v>Pendiente</v>
      </c>
      <c r="K82" s="12" t="str">
        <f t="shared" si="2"/>
        <v/>
      </c>
    </row>
    <row r="83" spans="1:11" ht="72" x14ac:dyDescent="0.25">
      <c r="A83" s="12" t="s">
        <v>1156</v>
      </c>
      <c r="B83" s="29" t="s">
        <v>778</v>
      </c>
      <c r="C83" s="13" t="s">
        <v>780</v>
      </c>
      <c r="D83" s="12" t="s">
        <v>134</v>
      </c>
      <c r="E83" s="13" t="s">
        <v>1193</v>
      </c>
      <c r="F83" s="12">
        <v>1</v>
      </c>
      <c r="G83" s="29" t="s">
        <v>785</v>
      </c>
      <c r="H83" s="13" t="s">
        <v>789</v>
      </c>
      <c r="I83" s="13" t="s">
        <v>784</v>
      </c>
      <c r="J83" s="12" t="str">
        <f>IFERROR(INDEX(Inspección!$T$9:$T$111,MATCH($B83,Inspección!$A$9:$A$111,0)),"")</f>
        <v>Pendiente</v>
      </c>
      <c r="K83" s="12" t="str">
        <f t="shared" si="2"/>
        <v/>
      </c>
    </row>
    <row r="84" spans="1:11" ht="24" x14ac:dyDescent="0.25">
      <c r="A84" s="12" t="s">
        <v>1156</v>
      </c>
      <c r="B84" s="29" t="s">
        <v>795</v>
      </c>
      <c r="C84" s="13" t="s">
        <v>798</v>
      </c>
      <c r="D84" s="12" t="s">
        <v>134</v>
      </c>
      <c r="E84" s="13" t="s">
        <v>1194</v>
      </c>
      <c r="F84" s="12">
        <v>1</v>
      </c>
      <c r="G84" s="29" t="s">
        <v>802</v>
      </c>
      <c r="H84" s="13" t="s">
        <v>811</v>
      </c>
      <c r="I84" s="13" t="s">
        <v>801</v>
      </c>
      <c r="J84" s="12" t="str">
        <f>IFERROR(INDEX(Inspección!$T$9:$T$111,MATCH($B84,Inspección!$A$9:$A$111,0)),"")</f>
        <v>Pendiente</v>
      </c>
      <c r="K84" s="12" t="str">
        <f t="shared" si="2"/>
        <v/>
      </c>
    </row>
    <row r="85" spans="1:11" ht="48" x14ac:dyDescent="0.25">
      <c r="A85" s="12" t="s">
        <v>1156</v>
      </c>
      <c r="B85" s="29" t="s">
        <v>802</v>
      </c>
      <c r="C85" s="13" t="s">
        <v>811</v>
      </c>
      <c r="D85" s="12" t="s">
        <v>134</v>
      </c>
      <c r="E85" s="13" t="s">
        <v>1195</v>
      </c>
      <c r="F85" s="12">
        <v>1</v>
      </c>
      <c r="G85" s="29" t="s">
        <v>795</v>
      </c>
      <c r="H85" s="13" t="s">
        <v>798</v>
      </c>
      <c r="I85" s="13" t="s">
        <v>815</v>
      </c>
      <c r="J85" s="12" t="str">
        <f>IFERROR(INDEX(Inspección!$T$9:$T$111,MATCH($B85,Inspección!$A$9:$A$111,0)),"")</f>
        <v>Pendiente</v>
      </c>
      <c r="K85" s="12" t="str">
        <f t="shared" si="2"/>
        <v/>
      </c>
    </row>
    <row r="86" spans="1:11" ht="72" x14ac:dyDescent="0.25">
      <c r="A86" s="12" t="s">
        <v>1156</v>
      </c>
      <c r="B86" s="29" t="s">
        <v>879</v>
      </c>
      <c r="C86" s="13" t="s">
        <v>880</v>
      </c>
      <c r="D86" s="12" t="s">
        <v>134</v>
      </c>
      <c r="E86" s="13" t="s">
        <v>1196</v>
      </c>
      <c r="F86" s="12">
        <v>1</v>
      </c>
      <c r="G86" s="29" t="s">
        <v>678</v>
      </c>
      <c r="H86" s="13" t="s">
        <v>681</v>
      </c>
      <c r="I86" s="13" t="s">
        <v>885</v>
      </c>
      <c r="J86" s="12" t="str">
        <f>IFERROR(INDEX(Inspección!$T$9:$T$111,MATCH($B86,Inspección!$A$9:$A$111,0)),"")</f>
        <v>Pendiente</v>
      </c>
      <c r="K86" s="12" t="str">
        <f t="shared" si="2"/>
        <v/>
      </c>
    </row>
    <row r="87" spans="1:11" ht="72" x14ac:dyDescent="0.25">
      <c r="A87" s="12" t="s">
        <v>1156</v>
      </c>
      <c r="B87" s="29" t="s">
        <v>879</v>
      </c>
      <c r="C87" s="13" t="s">
        <v>880</v>
      </c>
      <c r="D87" s="12" t="s">
        <v>134</v>
      </c>
      <c r="E87" s="13" t="s">
        <v>1196</v>
      </c>
      <c r="F87" s="12">
        <v>2</v>
      </c>
      <c r="G87" s="29" t="s">
        <v>507</v>
      </c>
      <c r="H87" s="13" t="s">
        <v>509</v>
      </c>
      <c r="I87" s="13" t="s">
        <v>885</v>
      </c>
      <c r="J87" s="12" t="str">
        <f>IFERROR(INDEX(Inspección!$T$9:$T$111,MATCH($B87,Inspección!$A$9:$A$111,0)),"")</f>
        <v>Pendiente</v>
      </c>
      <c r="K87" s="12" t="str">
        <f t="shared" si="2"/>
        <v/>
      </c>
    </row>
    <row r="88" spans="1:11" ht="48" x14ac:dyDescent="0.25">
      <c r="A88" s="12" t="s">
        <v>1156</v>
      </c>
      <c r="B88" s="29" t="s">
        <v>332</v>
      </c>
      <c r="C88" s="13" t="s">
        <v>931</v>
      </c>
      <c r="D88" s="12" t="s">
        <v>134</v>
      </c>
      <c r="E88" s="13" t="s">
        <v>1197</v>
      </c>
      <c r="F88" s="12">
        <v>1</v>
      </c>
      <c r="G88" s="29" t="s">
        <v>326</v>
      </c>
      <c r="H88" s="13" t="s">
        <v>327</v>
      </c>
      <c r="I88" s="13" t="s">
        <v>935</v>
      </c>
      <c r="J88" s="12" t="str">
        <f>IFERROR(INDEX(Inspección!$T$9:$T$111,MATCH($B88,Inspección!$A$9:$A$111,0)),"")</f>
        <v>Pendiente</v>
      </c>
      <c r="K88" s="12" t="str">
        <f t="shared" si="2"/>
        <v/>
      </c>
    </row>
    <row r="89" spans="1:11" ht="48" x14ac:dyDescent="0.25">
      <c r="A89" s="12" t="s">
        <v>1156</v>
      </c>
      <c r="B89" s="29" t="s">
        <v>332</v>
      </c>
      <c r="C89" s="13" t="s">
        <v>931</v>
      </c>
      <c r="D89" s="12" t="s">
        <v>134</v>
      </c>
      <c r="E89" s="13" t="s">
        <v>1197</v>
      </c>
      <c r="F89" s="12">
        <v>2</v>
      </c>
      <c r="G89" s="29" t="s">
        <v>757</v>
      </c>
      <c r="H89" s="13" t="s">
        <v>758</v>
      </c>
      <c r="I89" s="13" t="s">
        <v>935</v>
      </c>
      <c r="J89" s="12" t="str">
        <f>IFERROR(INDEX(Inspección!$T$9:$T$111,MATCH($B89,Inspección!$A$9:$A$111,0)),"")</f>
        <v>Pendiente</v>
      </c>
      <c r="K89" s="12" t="str">
        <f t="shared" si="2"/>
        <v/>
      </c>
    </row>
    <row r="91" spans="1:11" x14ac:dyDescent="0.25">
      <c r="A91" s="14" t="s">
        <v>1198</v>
      </c>
    </row>
    <row r="92" spans="1:11" x14ac:dyDescent="0.25">
      <c r="A92" s="14" t="s">
        <v>1199</v>
      </c>
    </row>
  </sheetData>
  <autoFilter ref="A5:K89" xr:uid="{00000000-0009-0000-0000-000005000000}"/>
  <conditionalFormatting sqref="K6:K89">
    <cfRule type="cellIs" dxfId="0" priority="2" operator="equal">
      <formula>"SÍ — verificar destino"</formula>
    </cfRule>
  </conditionalFormatting>
  <hyperlinks>
    <hyperlink ref="B6" location="Inspección!A9" display="1.1.1" xr:uid="{00000000-0004-0000-0500-000000000000}"/>
    <hyperlink ref="G6" location="Inspección!A21" display="2.1.3" xr:uid="{00000000-0004-0000-0500-000001000000}"/>
    <hyperlink ref="B7" location="Inspección!A9" display="1.1.1" xr:uid="{00000000-0004-0000-0500-000002000000}"/>
    <hyperlink ref="G7" location="Inspección!A80" display="5.3.2" xr:uid="{00000000-0004-0000-0500-000003000000}"/>
    <hyperlink ref="B8" location="Inspección!A9" display="1.1.1" xr:uid="{00000000-0004-0000-0500-000004000000}"/>
    <hyperlink ref="G8" location="Inspección!A95" display="7.1.1" xr:uid="{00000000-0004-0000-0500-000005000000}"/>
    <hyperlink ref="B9" location="Inspección!A10" display="1.1.2" xr:uid="{00000000-0004-0000-0500-000006000000}"/>
    <hyperlink ref="G9" location="Inspección!A9" display="1.1.1" xr:uid="{00000000-0004-0000-0500-000007000000}"/>
    <hyperlink ref="B10" location="Inspección!A11" display="1.1.3" xr:uid="{00000000-0004-0000-0500-000008000000}"/>
    <hyperlink ref="G10" location="Inspección!A45" display="3.2.1" xr:uid="{00000000-0004-0000-0500-000009000000}"/>
    <hyperlink ref="B11" location="Inspección!A11" display="1.1.3" xr:uid="{00000000-0004-0000-0500-00000A000000}"/>
    <hyperlink ref="G11" location="Inspección!A46" display="3.2.2" xr:uid="{00000000-0004-0000-0500-00000B000000}"/>
    <hyperlink ref="B12" location="Inspección!A11" display="1.1.3" xr:uid="{00000000-0004-0000-0500-00000C000000}"/>
    <hyperlink ref="G12" location="Inspección!A34" display="2.4.1" xr:uid="{00000000-0004-0000-0500-00000D000000}"/>
    <hyperlink ref="B13" location="Inspección!A18" display="1.3.3" xr:uid="{00000000-0004-0000-0500-00000E000000}"/>
    <hyperlink ref="G13" location="Inspección!A76" display="5.2.1" xr:uid="{00000000-0004-0000-0500-00000F000000}"/>
    <hyperlink ref="B14" location="Inspección!A18" display="1.3.3" xr:uid="{00000000-0004-0000-0500-000010000000}"/>
    <hyperlink ref="G14" location="Inspección!A66" display="4.3.3" xr:uid="{00000000-0004-0000-0500-000011000000}"/>
    <hyperlink ref="B15" location="Inspección!A28" display="2.2.5" xr:uid="{00000000-0004-0000-0500-000012000000}"/>
    <hyperlink ref="G15" location="Inspección!A48" display="3.3.1" xr:uid="{00000000-0004-0000-0500-000013000000}"/>
    <hyperlink ref="B16" location="Inspección!A29" display="2.2.6" xr:uid="{00000000-0004-0000-0500-000014000000}"/>
    <hyperlink ref="G16" location="Inspección!A105" display="8.1.5" xr:uid="{00000000-0004-0000-0500-000015000000}"/>
    <hyperlink ref="B17" location="Inspección!A34" display="2.4.1" xr:uid="{00000000-0004-0000-0500-000016000000}"/>
    <hyperlink ref="G17" location="Inspección!A35" display="2.4.2" xr:uid="{00000000-0004-0000-0500-000017000000}"/>
    <hyperlink ref="B18" location="Inspección!A34" display="2.4.1" xr:uid="{00000000-0004-0000-0500-000018000000}"/>
    <hyperlink ref="G18" location="Inspección!A11" display="1.1.3" xr:uid="{00000000-0004-0000-0500-000019000000}"/>
    <hyperlink ref="B19" location="Inspección!A34" display="2.4.1" xr:uid="{00000000-0004-0000-0500-00001A000000}"/>
    <hyperlink ref="G19" location="Inspección!A50" display="3.3.3" xr:uid="{00000000-0004-0000-0500-00001B000000}"/>
    <hyperlink ref="B20" location="Inspección!A35" display="2.4.2" xr:uid="{00000000-0004-0000-0500-00001C000000}"/>
    <hyperlink ref="G20" location="Inspección!A34" display="2.4.1" xr:uid="{00000000-0004-0000-0500-00001D000000}"/>
    <hyperlink ref="B21" location="Inspección!A35" display="2.4.2" xr:uid="{00000000-0004-0000-0500-00001E000000}"/>
    <hyperlink ref="G21" location="Inspección!A11" display="1.1.3" xr:uid="{00000000-0004-0000-0500-00001F000000}"/>
    <hyperlink ref="B22" location="Inspección!A36" display="2.4.3" xr:uid="{00000000-0004-0000-0500-000020000000}"/>
    <hyperlink ref="G22" location="Inspección!A48" display="3.3.1" xr:uid="{00000000-0004-0000-0500-000021000000}"/>
    <hyperlink ref="B23" location="Inspección!A36" display="2.4.3" xr:uid="{00000000-0004-0000-0500-000022000000}"/>
    <hyperlink ref="G23" location="Inspección!A68" display="4.4.1" xr:uid="{00000000-0004-0000-0500-000023000000}"/>
    <hyperlink ref="B24" location="Inspección!A39" display="3.1.1" xr:uid="{00000000-0004-0000-0500-000024000000}"/>
    <hyperlink ref="G24" location="Inspección!A40" display="3.1.2" xr:uid="{00000000-0004-0000-0500-000025000000}"/>
    <hyperlink ref="B25" location="Inspección!A39" display="3.1.1" xr:uid="{00000000-0004-0000-0500-000026000000}"/>
    <hyperlink ref="G25" location="Inspección!A45" display="3.2.1" xr:uid="{00000000-0004-0000-0500-000027000000}"/>
    <hyperlink ref="B26" location="Inspección!A39" display="3.1.1" xr:uid="{00000000-0004-0000-0500-000028000000}"/>
    <hyperlink ref="G26" location="Inspección!A51" display="3.4.1" xr:uid="{00000000-0004-0000-0500-000029000000}"/>
    <hyperlink ref="B27" location="Inspección!A40" display="3.1.2" xr:uid="{00000000-0004-0000-0500-00002A000000}"/>
    <hyperlink ref="G27" location="Inspección!A39" display="3.1.1" xr:uid="{00000000-0004-0000-0500-00002B000000}"/>
    <hyperlink ref="B28" location="Inspección!A40" display="3.1.2" xr:uid="{00000000-0004-0000-0500-00002C000000}"/>
    <hyperlink ref="G28" location="Inspección!A51" display="3.4.1" xr:uid="{00000000-0004-0000-0500-00002D000000}"/>
    <hyperlink ref="B29" location="Inspección!A45" display="3.2.1" xr:uid="{00000000-0004-0000-0500-00002E000000}"/>
    <hyperlink ref="G29" location="Inspección!A46" display="3.2.2" xr:uid="{00000000-0004-0000-0500-00002F000000}"/>
    <hyperlink ref="B30" location="Inspección!A45" display="3.2.1" xr:uid="{00000000-0004-0000-0500-000030000000}"/>
    <hyperlink ref="G30" location="Inspección!A11" display="1.1.3" xr:uid="{00000000-0004-0000-0500-000031000000}"/>
    <hyperlink ref="B31" location="Inspección!A45" display="3.2.1" xr:uid="{00000000-0004-0000-0500-000032000000}"/>
    <hyperlink ref="G31" location="Inspección!A50" display="3.3.3" xr:uid="{00000000-0004-0000-0500-000033000000}"/>
    <hyperlink ref="B32" location="Inspección!A46" display="3.2.2" xr:uid="{00000000-0004-0000-0500-000034000000}"/>
    <hyperlink ref="G32" location="Inspección!A48" display="3.3.1" xr:uid="{00000000-0004-0000-0500-000035000000}"/>
    <hyperlink ref="B33" location="Inspección!A46" display="3.2.2" xr:uid="{00000000-0004-0000-0500-000036000000}"/>
    <hyperlink ref="G33" location="Inspección!A52" display="3.4.2" xr:uid="{00000000-0004-0000-0500-000037000000}"/>
    <hyperlink ref="B34" location="Inspección!A46" display="3.2.2" xr:uid="{00000000-0004-0000-0500-000038000000}"/>
    <hyperlink ref="G34" location="Inspección!A39" display="3.1.1" xr:uid="{00000000-0004-0000-0500-000039000000}"/>
    <hyperlink ref="B35" location="Inspección!A48" display="3.3.1" xr:uid="{00000000-0004-0000-0500-00003A000000}"/>
    <hyperlink ref="G35" location="Inspección!A49" display="3.3.2" xr:uid="{00000000-0004-0000-0500-00003B000000}"/>
    <hyperlink ref="B36" location="Inspección!A48" display="3.3.1" xr:uid="{00000000-0004-0000-0500-00003C000000}"/>
    <hyperlink ref="G36" location="Inspección!A28" display="2.2.5" xr:uid="{00000000-0004-0000-0500-00003D000000}"/>
    <hyperlink ref="B37" location="Inspección!A48" display="3.3.1" xr:uid="{00000000-0004-0000-0500-00003E000000}"/>
    <hyperlink ref="G37" location="Inspección!A36" display="2.4.3" xr:uid="{00000000-0004-0000-0500-00003F000000}"/>
    <hyperlink ref="B38" location="Inspección!A49" display="3.3.2" xr:uid="{00000000-0004-0000-0500-000040000000}"/>
    <hyperlink ref="G38" location="Inspección!A48" display="3.3.1" xr:uid="{00000000-0004-0000-0500-000041000000}"/>
    <hyperlink ref="B39" location="Inspección!A50" display="3.3.3" xr:uid="{00000000-0004-0000-0500-000042000000}"/>
    <hyperlink ref="G39" location="Inspección!A45" display="3.2.1" xr:uid="{00000000-0004-0000-0500-000043000000}"/>
    <hyperlink ref="B40" location="Inspección!A50" display="3.3.3" xr:uid="{00000000-0004-0000-0500-000044000000}"/>
    <hyperlink ref="G40" location="Inspección!A46" display="3.2.2" xr:uid="{00000000-0004-0000-0500-000045000000}"/>
    <hyperlink ref="B41" location="Inspección!A50" display="3.3.3" xr:uid="{00000000-0004-0000-0500-000046000000}"/>
    <hyperlink ref="G41" location="Inspección!A34" display="2.4.1" xr:uid="{00000000-0004-0000-0500-000047000000}"/>
    <hyperlink ref="B42" location="Inspección!A50" display="3.3.3" xr:uid="{00000000-0004-0000-0500-000048000000}"/>
    <hyperlink ref="G42" location="Inspección!A35" display="2.4.2" xr:uid="{00000000-0004-0000-0500-000049000000}"/>
    <hyperlink ref="B43" location="Inspección!A51" display="3.4.1" xr:uid="{00000000-0004-0000-0500-00004A000000}"/>
    <hyperlink ref="G43" location="Inspección!A48" display="3.3.1" xr:uid="{00000000-0004-0000-0500-00004B000000}"/>
    <hyperlink ref="B44" location="Inspección!A51" display="3.4.1" xr:uid="{00000000-0004-0000-0500-00004C000000}"/>
    <hyperlink ref="G44" location="Inspección!A52" display="3.4.2" xr:uid="{00000000-0004-0000-0500-00004D000000}"/>
    <hyperlink ref="B45" location="Inspección!A51" display="3.4.1" xr:uid="{00000000-0004-0000-0500-00004E000000}"/>
    <hyperlink ref="G45" location="Inspección!A39" display="3.1.1" xr:uid="{00000000-0004-0000-0500-00004F000000}"/>
    <hyperlink ref="B46" location="Inspección!A51" display="3.4.1" xr:uid="{00000000-0004-0000-0500-000050000000}"/>
    <hyperlink ref="G46" location="Inspección!A40" display="3.1.2" xr:uid="{00000000-0004-0000-0500-000051000000}"/>
    <hyperlink ref="B47" location="Inspección!A51" display="3.4.1" xr:uid="{00000000-0004-0000-0500-000052000000}"/>
    <hyperlink ref="G47" location="Inspección!A72" display="5.1.2" xr:uid="{00000000-0004-0000-0500-000053000000}"/>
    <hyperlink ref="B48" location="Inspección!A51" display="3.4.1" xr:uid="{00000000-0004-0000-0500-000054000000}"/>
    <hyperlink ref="G48" location="Inspección!A98" display="7.1.4" xr:uid="{00000000-0004-0000-0500-000055000000}"/>
    <hyperlink ref="B49" location="Inspección!A52" display="3.4.2" xr:uid="{00000000-0004-0000-0500-000056000000}"/>
    <hyperlink ref="G49" location="Inspección!A51" display="3.4.1" xr:uid="{00000000-0004-0000-0500-000057000000}"/>
    <hyperlink ref="B50" location="Inspección!A52" display="3.4.2" xr:uid="{00000000-0004-0000-0500-000058000000}"/>
    <hyperlink ref="G50" location="Inspección!A72" display="5.1.2" xr:uid="{00000000-0004-0000-0500-000059000000}"/>
    <hyperlink ref="B51" location="Inspección!A53" display="3.4.3" xr:uid="{00000000-0004-0000-0500-00005A000000}"/>
    <hyperlink ref="G51" location="Inspección!A56" display="3.4.6" xr:uid="{00000000-0004-0000-0500-00005B000000}"/>
    <hyperlink ref="B52" location="Inspección!A56" display="3.4.6" xr:uid="{00000000-0004-0000-0500-00005C000000}"/>
    <hyperlink ref="G52" location="Inspección!A53" display="3.4.3" xr:uid="{00000000-0004-0000-0500-00005D000000}"/>
    <hyperlink ref="B53" location="Inspección!A61" display="4.2.2" xr:uid="{00000000-0004-0000-0500-00005E000000}"/>
    <hyperlink ref="G53" location="Inspección!A63" display="4.3.1" xr:uid="{00000000-0004-0000-0500-00005F000000}"/>
    <hyperlink ref="B54" location="Inspección!A61" display="4.2.2" xr:uid="{00000000-0004-0000-0500-000060000000}"/>
    <hyperlink ref="G54" location="Inspección!A64" display="4.3.2" xr:uid="{00000000-0004-0000-0500-000061000000}"/>
    <hyperlink ref="B55" location="Inspección!A63" display="4.3.1" xr:uid="{00000000-0004-0000-0500-000062000000}"/>
    <hyperlink ref="G55" location="Inspección!A64" display="4.3.2" xr:uid="{00000000-0004-0000-0500-000063000000}"/>
    <hyperlink ref="B56" location="Inspección!A63" display="4.3.1" xr:uid="{00000000-0004-0000-0500-000064000000}"/>
    <hyperlink ref="G56" location="Inspección!A74" display="5.1.4" xr:uid="{00000000-0004-0000-0500-000065000000}"/>
    <hyperlink ref="B57" location="Inspección!A64" display="4.3.2" xr:uid="{00000000-0004-0000-0500-000066000000}"/>
    <hyperlink ref="G57" location="Inspección!A63" display="4.3.1" xr:uid="{00000000-0004-0000-0500-000067000000}"/>
    <hyperlink ref="B58" location="Inspección!A64" display="4.3.2" xr:uid="{00000000-0004-0000-0500-000068000000}"/>
    <hyperlink ref="G58" location="Inspección!A61" display="4.2.2" xr:uid="{00000000-0004-0000-0500-000069000000}"/>
    <hyperlink ref="B59" location="Inspección!A65" display="4.3.5" xr:uid="{00000000-0004-0000-0500-00006A000000}"/>
    <hyperlink ref="G59" location="Inspección!A61" display="4.2.2" xr:uid="{00000000-0004-0000-0500-00006B000000}"/>
    <hyperlink ref="B60" location="Inspección!A65" display="4.3.5" xr:uid="{00000000-0004-0000-0500-00006C000000}"/>
    <hyperlink ref="G60" location="Inspección!A74" display="5.1.4" xr:uid="{00000000-0004-0000-0500-00006D000000}"/>
    <hyperlink ref="B61" location="Inspección!A66" display="4.3.3" xr:uid="{00000000-0004-0000-0500-00006E000000}"/>
    <hyperlink ref="G61" location="Inspección!A76" display="5.2.1" xr:uid="{00000000-0004-0000-0500-00006F000000}"/>
    <hyperlink ref="B62" location="Inspección!A66" display="4.3.3" xr:uid="{00000000-0004-0000-0500-000070000000}"/>
    <hyperlink ref="G62" location="Inspección!A18" display="1.3.3" xr:uid="{00000000-0004-0000-0500-000071000000}"/>
    <hyperlink ref="B63" location="Inspección!A68" display="4.4.1" xr:uid="{00000000-0004-0000-0500-000072000000}"/>
    <hyperlink ref="G63" location="Inspección!A70" display="4.4.3" xr:uid="{00000000-0004-0000-0500-000073000000}"/>
    <hyperlink ref="B64" location="Inspección!A68" display="4.4.1" xr:uid="{00000000-0004-0000-0500-000074000000}"/>
    <hyperlink ref="G64" location="Inspección!A48" display="3.3.1" xr:uid="{00000000-0004-0000-0500-000075000000}"/>
    <hyperlink ref="B65" location="Inspección!A68" display="4.4.1" xr:uid="{00000000-0004-0000-0500-000076000000}"/>
    <hyperlink ref="G65" location="Inspección!A36" display="2.4.3" xr:uid="{00000000-0004-0000-0500-000077000000}"/>
    <hyperlink ref="B66" location="Inspección!A68" display="4.4.1" xr:uid="{00000000-0004-0000-0500-000078000000}"/>
    <hyperlink ref="G66" location="Inspección!A72" display="5.1.2" xr:uid="{00000000-0004-0000-0500-000079000000}"/>
    <hyperlink ref="B67" location="Inspección!A68" display="4.4.1" xr:uid="{00000000-0004-0000-0500-00007A000000}"/>
    <hyperlink ref="G67" location="Inspección!A53" display="3.4.3" xr:uid="{00000000-0004-0000-0500-00007B000000}"/>
    <hyperlink ref="B68" location="Inspección!A70" display="4.4.3" xr:uid="{00000000-0004-0000-0500-00007C000000}"/>
    <hyperlink ref="G68" location="Inspección!A68" display="4.4.1" xr:uid="{00000000-0004-0000-0500-00007D000000}"/>
    <hyperlink ref="B69" location="Inspección!A71" display="5.1.1" xr:uid="{00000000-0004-0000-0500-00007E000000}"/>
    <hyperlink ref="G69" location="Inspección!A51" display="3.4.1" xr:uid="{00000000-0004-0000-0500-00007F000000}"/>
    <hyperlink ref="B70" location="Inspección!A72" display="5.1.2" xr:uid="{00000000-0004-0000-0500-000080000000}"/>
    <hyperlink ref="G70" location="Inspección!A71" display="5.1.1" xr:uid="{00000000-0004-0000-0500-000081000000}"/>
    <hyperlink ref="B71" location="Inspección!A72" display="5.1.2" xr:uid="{00000000-0004-0000-0500-000082000000}"/>
    <hyperlink ref="G71" location="Inspección!A51" display="3.4.1" xr:uid="{00000000-0004-0000-0500-000083000000}"/>
    <hyperlink ref="B72" location="Inspección!A74" display="5.1.4" xr:uid="{00000000-0004-0000-0500-000084000000}"/>
    <hyperlink ref="G72" location="Inspección!A63" display="4.3.1" xr:uid="{00000000-0004-0000-0500-000085000000}"/>
    <hyperlink ref="B73" location="Inspección!A76" display="5.2.1" xr:uid="{00000000-0004-0000-0500-000086000000}"/>
    <hyperlink ref="G73" location="Inspección!A77" display="5.2.2" xr:uid="{00000000-0004-0000-0500-000087000000}"/>
    <hyperlink ref="B74" location="Inspección!A76" display="5.2.1" xr:uid="{00000000-0004-0000-0500-000088000000}"/>
    <hyperlink ref="G74" location="Inspección!A78" display="5.2.3" xr:uid="{00000000-0004-0000-0500-000089000000}"/>
    <hyperlink ref="B75" location="Inspección!A76" display="5.2.1" xr:uid="{00000000-0004-0000-0500-00008A000000}"/>
    <hyperlink ref="G75" location="Inspección!A66" display="4.3.3" xr:uid="{00000000-0004-0000-0500-00008B000000}"/>
    <hyperlink ref="B76" location="Inspección!A77" display="5.2.2" xr:uid="{00000000-0004-0000-0500-00008C000000}"/>
    <hyperlink ref="G76" location="Inspección!A76" display="5.2.1" xr:uid="{00000000-0004-0000-0500-00008D000000}"/>
    <hyperlink ref="B77" location="Inspección!A77" display="5.2.2" xr:uid="{00000000-0004-0000-0500-00008E000000}"/>
    <hyperlink ref="G77" location="Inspección!A78" display="5.2.3" xr:uid="{00000000-0004-0000-0500-00008F000000}"/>
    <hyperlink ref="B78" location="Inspección!A78" display="5.2.3" xr:uid="{00000000-0004-0000-0500-000090000000}"/>
    <hyperlink ref="G78" location="Inspección!A76" display="5.2.1" xr:uid="{00000000-0004-0000-0500-000091000000}"/>
    <hyperlink ref="B79" location="Inspección!A78" display="5.2.3" xr:uid="{00000000-0004-0000-0500-000092000000}"/>
    <hyperlink ref="G79" location="Inspección!A77" display="5.2.2" xr:uid="{00000000-0004-0000-0500-000093000000}"/>
    <hyperlink ref="B80" location="Inspección!A79" display="5.3.1" xr:uid="{00000000-0004-0000-0500-000094000000}"/>
    <hyperlink ref="G80" location="Inspección!A80" display="5.3.2" xr:uid="{00000000-0004-0000-0500-000095000000}"/>
    <hyperlink ref="B81" location="Inspección!A80" display="5.3.2" xr:uid="{00000000-0004-0000-0500-000096000000}"/>
    <hyperlink ref="G81" location="Inspección!A79" display="5.3.1" xr:uid="{00000000-0004-0000-0500-000097000000}"/>
    <hyperlink ref="B82" location="Inspección!A81" display="5.3.3" xr:uid="{00000000-0004-0000-0500-000098000000}"/>
    <hyperlink ref="G82" location="Inspección!A105" display="8.1.5" xr:uid="{00000000-0004-0000-0500-000099000000}"/>
    <hyperlink ref="B83" location="Inspección!A84" display="5.5.1" xr:uid="{00000000-0004-0000-0500-00009A000000}"/>
    <hyperlink ref="G83" location="Inspección!A85" display="5.5.2" xr:uid="{00000000-0004-0000-0500-00009B000000}"/>
    <hyperlink ref="B84" location="Inspección!A86" display="6.1.1" xr:uid="{00000000-0004-0000-0500-00009C000000}"/>
    <hyperlink ref="G84" location="Inspección!A88" display="6.1.3" xr:uid="{00000000-0004-0000-0500-00009D000000}"/>
    <hyperlink ref="B85" location="Inspección!A88" display="6.1.3" xr:uid="{00000000-0004-0000-0500-00009E000000}"/>
    <hyperlink ref="G85" location="Inspección!A86" display="6.1.1" xr:uid="{00000000-0004-0000-0500-00009F000000}"/>
    <hyperlink ref="B86" location="Inspección!A98" display="7.1.4" xr:uid="{00000000-0004-0000-0500-0000A0000000}"/>
    <hyperlink ref="G86" location="Inspección!A71" display="5.1.1" xr:uid="{00000000-0004-0000-0500-0000A1000000}"/>
    <hyperlink ref="B87" location="Inspección!A98" display="7.1.4" xr:uid="{00000000-0004-0000-0500-0000A2000000}"/>
    <hyperlink ref="G87" location="Inspección!A51" display="3.4.1" xr:uid="{00000000-0004-0000-0500-0000A3000000}"/>
    <hyperlink ref="B88" location="Inspección!A105" display="8.1.5" xr:uid="{00000000-0004-0000-0500-0000A4000000}"/>
    <hyperlink ref="G88" location="Inspección!A29" display="2.2.6" xr:uid="{00000000-0004-0000-0500-0000A5000000}"/>
    <hyperlink ref="B89" location="Inspección!A105" display="8.1.5" xr:uid="{00000000-0004-0000-0500-0000A6000000}"/>
    <hyperlink ref="G89" location="Inspección!A81" display="5.3.3" xr:uid="{00000000-0004-0000-0500-0000A7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Instrucciones</vt:lpstr>
      <vt:lpstr>Listas</vt:lpstr>
      <vt:lpstr>Inspección</vt:lpstr>
      <vt:lpstr>Resumen</vt:lpstr>
      <vt:lpstr>Flujo No OK</vt:lpstr>
      <vt:lpstr>Flujo No OK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Alfonso García del Pino Beneitez</cp:lastModifiedBy>
  <cp:revision>0</cp:revision>
  <dcterms:created xsi:type="dcterms:W3CDTF">2026-09-03T22:19:54Z</dcterms:created>
  <dcterms:modified xsi:type="dcterms:W3CDTF">2026-09-03T22:31:19Z</dcterms:modified>
  <dc:language>en-US</dc:language>
</cp:coreProperties>
</file>