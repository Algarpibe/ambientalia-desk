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gar\Downloads\"/>
    </mc:Choice>
  </mc:AlternateContent>
  <xr:revisionPtr revIDLastSave="0" documentId="13_ncr:1_{C988A8B1-A7BA-491B-9BA3-79EAC64257A3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Listas" sheetId="2" r:id="rId2"/>
    <sheet name="Catálogo" sheetId="3" r:id="rId3"/>
    <sheet name="Inspección" sheetId="4" r:id="rId4"/>
    <sheet name="Resumen" sheetId="5" r:id="rId5"/>
  </sheets>
  <definedNames>
    <definedName name="_xlnm._FilterDatabase" localSheetId="2" hidden="1">Catálogo!$A$4:$N$73</definedName>
    <definedName name="_xlnm._FilterDatabase" localSheetId="3" hidden="1">Inspección!$A$8:$P$77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5" l="1"/>
  <c r="P77" i="4"/>
  <c r="J77" i="4"/>
  <c r="I77" i="4"/>
  <c r="H77" i="4"/>
  <c r="G77" i="4"/>
  <c r="F77" i="4"/>
  <c r="M77" i="4" s="1"/>
  <c r="E77" i="4"/>
  <c r="D77" i="4"/>
  <c r="C77" i="4"/>
  <c r="B77" i="4"/>
  <c r="P76" i="4"/>
  <c r="J76" i="4"/>
  <c r="I76" i="4"/>
  <c r="H76" i="4"/>
  <c r="G76" i="4"/>
  <c r="F76" i="4"/>
  <c r="M76" i="4" s="1"/>
  <c r="E76" i="4"/>
  <c r="D76" i="4"/>
  <c r="C76" i="4"/>
  <c r="B76" i="4"/>
  <c r="P75" i="4"/>
  <c r="M75" i="4"/>
  <c r="J75" i="4"/>
  <c r="I75" i="4"/>
  <c r="H75" i="4"/>
  <c r="G75" i="4"/>
  <c r="F75" i="4"/>
  <c r="E75" i="4"/>
  <c r="D75" i="4"/>
  <c r="C75" i="4"/>
  <c r="B75" i="4"/>
  <c r="P74" i="4"/>
  <c r="J74" i="4"/>
  <c r="I74" i="4"/>
  <c r="H74" i="4"/>
  <c r="G74" i="4"/>
  <c r="F74" i="4"/>
  <c r="M74" i="4" s="1"/>
  <c r="E74" i="4"/>
  <c r="D74" i="4"/>
  <c r="C74" i="4"/>
  <c r="B74" i="4"/>
  <c r="P73" i="4"/>
  <c r="M73" i="4"/>
  <c r="J73" i="4"/>
  <c r="I73" i="4"/>
  <c r="H73" i="4"/>
  <c r="G73" i="4"/>
  <c r="F73" i="4"/>
  <c r="E73" i="4"/>
  <c r="D73" i="4"/>
  <c r="C73" i="4"/>
  <c r="B73" i="4"/>
  <c r="P72" i="4"/>
  <c r="M72" i="4"/>
  <c r="J72" i="4"/>
  <c r="I72" i="4"/>
  <c r="H72" i="4"/>
  <c r="G72" i="4"/>
  <c r="F72" i="4"/>
  <c r="E72" i="4"/>
  <c r="D72" i="4"/>
  <c r="C72" i="4"/>
  <c r="B72" i="4"/>
  <c r="P71" i="4"/>
  <c r="J71" i="4"/>
  <c r="I71" i="4"/>
  <c r="H71" i="4"/>
  <c r="G71" i="4"/>
  <c r="F71" i="4"/>
  <c r="M71" i="4" s="1"/>
  <c r="E71" i="4"/>
  <c r="D71" i="4"/>
  <c r="C71" i="4"/>
  <c r="B71" i="4"/>
  <c r="P70" i="4"/>
  <c r="M70" i="4"/>
  <c r="J70" i="4"/>
  <c r="I70" i="4"/>
  <c r="H70" i="4"/>
  <c r="G70" i="4"/>
  <c r="F70" i="4"/>
  <c r="E70" i="4"/>
  <c r="D70" i="4"/>
  <c r="C70" i="4"/>
  <c r="B70" i="4"/>
  <c r="P69" i="4"/>
  <c r="J69" i="4"/>
  <c r="I69" i="4"/>
  <c r="H69" i="4"/>
  <c r="G69" i="4"/>
  <c r="F69" i="4"/>
  <c r="M69" i="4" s="1"/>
  <c r="E69" i="4"/>
  <c r="D69" i="4"/>
  <c r="C69" i="4"/>
  <c r="B69" i="4"/>
  <c r="P68" i="4"/>
  <c r="M68" i="4"/>
  <c r="J68" i="4"/>
  <c r="I68" i="4"/>
  <c r="H68" i="4"/>
  <c r="G68" i="4"/>
  <c r="F68" i="4"/>
  <c r="E68" i="4"/>
  <c r="D68" i="4"/>
  <c r="C68" i="4"/>
  <c r="B68" i="4"/>
  <c r="P67" i="4"/>
  <c r="M67" i="4"/>
  <c r="J67" i="4"/>
  <c r="I67" i="4"/>
  <c r="H67" i="4"/>
  <c r="G67" i="4"/>
  <c r="F67" i="4"/>
  <c r="E67" i="4"/>
  <c r="D67" i="4"/>
  <c r="C67" i="4"/>
  <c r="B67" i="4"/>
  <c r="P66" i="4"/>
  <c r="J66" i="4"/>
  <c r="I66" i="4"/>
  <c r="H66" i="4"/>
  <c r="G66" i="4"/>
  <c r="F66" i="4"/>
  <c r="M66" i="4" s="1"/>
  <c r="E66" i="4"/>
  <c r="D66" i="4"/>
  <c r="C66" i="4"/>
  <c r="B66" i="4"/>
  <c r="P65" i="4"/>
  <c r="M65" i="4"/>
  <c r="J65" i="4"/>
  <c r="I65" i="4"/>
  <c r="H65" i="4"/>
  <c r="G65" i="4"/>
  <c r="F65" i="4"/>
  <c r="E65" i="4"/>
  <c r="D65" i="4"/>
  <c r="C65" i="4"/>
  <c r="B65" i="4"/>
  <c r="P64" i="4"/>
  <c r="M64" i="4"/>
  <c r="J64" i="4"/>
  <c r="I64" i="4"/>
  <c r="H64" i="4"/>
  <c r="G64" i="4"/>
  <c r="F64" i="4"/>
  <c r="E64" i="4"/>
  <c r="D64" i="4"/>
  <c r="C64" i="4"/>
  <c r="B64" i="4"/>
  <c r="P63" i="4"/>
  <c r="J63" i="4"/>
  <c r="I63" i="4"/>
  <c r="H63" i="4"/>
  <c r="G63" i="4"/>
  <c r="F63" i="4"/>
  <c r="M63" i="4" s="1"/>
  <c r="E63" i="4"/>
  <c r="D63" i="4"/>
  <c r="C63" i="4"/>
  <c r="B63" i="4"/>
  <c r="P62" i="4"/>
  <c r="M62" i="4"/>
  <c r="J62" i="4"/>
  <c r="I62" i="4"/>
  <c r="H62" i="4"/>
  <c r="G62" i="4"/>
  <c r="F62" i="4"/>
  <c r="E62" i="4"/>
  <c r="D62" i="4"/>
  <c r="C62" i="4"/>
  <c r="B62" i="4"/>
  <c r="P61" i="4"/>
  <c r="M61" i="4"/>
  <c r="J61" i="4"/>
  <c r="I61" i="4"/>
  <c r="H61" i="4"/>
  <c r="G61" i="4"/>
  <c r="F61" i="4"/>
  <c r="E61" i="4"/>
  <c r="D61" i="4"/>
  <c r="C61" i="4"/>
  <c r="B61" i="4"/>
  <c r="P60" i="4"/>
  <c r="J60" i="4"/>
  <c r="I60" i="4"/>
  <c r="H60" i="4"/>
  <c r="G60" i="4"/>
  <c r="F60" i="4"/>
  <c r="M60" i="4" s="1"/>
  <c r="E60" i="4"/>
  <c r="D60" i="4"/>
  <c r="C60" i="4"/>
  <c r="B60" i="4"/>
  <c r="P59" i="4"/>
  <c r="M59" i="4"/>
  <c r="J59" i="4"/>
  <c r="I59" i="4"/>
  <c r="H59" i="4"/>
  <c r="G59" i="4"/>
  <c r="F59" i="4"/>
  <c r="E59" i="4"/>
  <c r="D59" i="4"/>
  <c r="C59" i="4"/>
  <c r="B59" i="4"/>
  <c r="P58" i="4"/>
  <c r="J58" i="4"/>
  <c r="I58" i="4"/>
  <c r="H58" i="4"/>
  <c r="G58" i="4"/>
  <c r="F58" i="4"/>
  <c r="M58" i="4" s="1"/>
  <c r="E58" i="4"/>
  <c r="D58" i="4"/>
  <c r="C58" i="4"/>
  <c r="B58" i="4"/>
  <c r="P57" i="4"/>
  <c r="M57" i="4"/>
  <c r="J57" i="4"/>
  <c r="I57" i="4"/>
  <c r="H57" i="4"/>
  <c r="G57" i="4"/>
  <c r="F57" i="4"/>
  <c r="E57" i="4"/>
  <c r="D57" i="4"/>
  <c r="C57" i="4"/>
  <c r="B57" i="4"/>
  <c r="P56" i="4"/>
  <c r="M56" i="4"/>
  <c r="J56" i="4"/>
  <c r="I56" i="4"/>
  <c r="H56" i="4"/>
  <c r="G56" i="4"/>
  <c r="F56" i="4"/>
  <c r="E56" i="4"/>
  <c r="D56" i="4"/>
  <c r="C56" i="4"/>
  <c r="B56" i="4"/>
  <c r="P55" i="4"/>
  <c r="J55" i="4"/>
  <c r="I55" i="4"/>
  <c r="H55" i="4"/>
  <c r="G55" i="4"/>
  <c r="F55" i="4"/>
  <c r="M55" i="4" s="1"/>
  <c r="E55" i="4"/>
  <c r="D55" i="4"/>
  <c r="C55" i="4"/>
  <c r="B55" i="4"/>
  <c r="P54" i="4"/>
  <c r="M54" i="4"/>
  <c r="J54" i="4"/>
  <c r="I54" i="4"/>
  <c r="H54" i="4"/>
  <c r="G54" i="4"/>
  <c r="F54" i="4"/>
  <c r="E54" i="4"/>
  <c r="D54" i="4"/>
  <c r="C54" i="4"/>
  <c r="B54" i="4"/>
  <c r="P53" i="4"/>
  <c r="J53" i="4"/>
  <c r="I53" i="4"/>
  <c r="H53" i="4"/>
  <c r="G53" i="4"/>
  <c r="F53" i="4"/>
  <c r="M53" i="4" s="1"/>
  <c r="E53" i="4"/>
  <c r="D53" i="4"/>
  <c r="C53" i="4"/>
  <c r="B53" i="4"/>
  <c r="P52" i="4"/>
  <c r="M52" i="4"/>
  <c r="J52" i="4"/>
  <c r="I52" i="4"/>
  <c r="H52" i="4"/>
  <c r="G52" i="4"/>
  <c r="F52" i="4"/>
  <c r="E52" i="4"/>
  <c r="D52" i="4"/>
  <c r="C52" i="4"/>
  <c r="B52" i="4"/>
  <c r="P51" i="4"/>
  <c r="M51" i="4"/>
  <c r="J51" i="4"/>
  <c r="I51" i="4"/>
  <c r="H51" i="4"/>
  <c r="G51" i="4"/>
  <c r="F51" i="4"/>
  <c r="E51" i="4"/>
  <c r="D51" i="4"/>
  <c r="C51" i="4"/>
  <c r="B51" i="4"/>
  <c r="P50" i="4"/>
  <c r="J50" i="4"/>
  <c r="I50" i="4"/>
  <c r="H50" i="4"/>
  <c r="G50" i="4"/>
  <c r="F50" i="4"/>
  <c r="M50" i="4" s="1"/>
  <c r="E50" i="4"/>
  <c r="D50" i="4"/>
  <c r="C50" i="4"/>
  <c r="B50" i="4"/>
  <c r="P49" i="4"/>
  <c r="M49" i="4"/>
  <c r="J49" i="4"/>
  <c r="I49" i="4"/>
  <c r="H49" i="4"/>
  <c r="G49" i="4"/>
  <c r="F49" i="4"/>
  <c r="E49" i="4"/>
  <c r="D49" i="4"/>
  <c r="C49" i="4"/>
  <c r="B49" i="4"/>
  <c r="P48" i="4"/>
  <c r="M48" i="4"/>
  <c r="J48" i="4"/>
  <c r="I48" i="4"/>
  <c r="H48" i="4"/>
  <c r="G48" i="4"/>
  <c r="F48" i="4"/>
  <c r="E48" i="4"/>
  <c r="D48" i="4"/>
  <c r="C48" i="4"/>
  <c r="B48" i="4"/>
  <c r="P47" i="4"/>
  <c r="J47" i="4"/>
  <c r="I47" i="4"/>
  <c r="H47" i="4"/>
  <c r="G47" i="4"/>
  <c r="F47" i="4"/>
  <c r="M47" i="4" s="1"/>
  <c r="E47" i="4"/>
  <c r="D47" i="4"/>
  <c r="C47" i="4"/>
  <c r="B47" i="4"/>
  <c r="P46" i="4"/>
  <c r="M46" i="4"/>
  <c r="J46" i="4"/>
  <c r="I46" i="4"/>
  <c r="H46" i="4"/>
  <c r="G46" i="4"/>
  <c r="F46" i="4"/>
  <c r="E46" i="4"/>
  <c r="D46" i="4"/>
  <c r="C46" i="4"/>
  <c r="B46" i="4"/>
  <c r="P45" i="4"/>
  <c r="M45" i="4"/>
  <c r="J45" i="4"/>
  <c r="I45" i="4"/>
  <c r="H45" i="4"/>
  <c r="G45" i="4"/>
  <c r="F45" i="4"/>
  <c r="E45" i="4"/>
  <c r="D45" i="4"/>
  <c r="C45" i="4"/>
  <c r="B45" i="4"/>
  <c r="P44" i="4"/>
  <c r="J44" i="4"/>
  <c r="I44" i="4"/>
  <c r="H44" i="4"/>
  <c r="G44" i="4"/>
  <c r="F44" i="4"/>
  <c r="M44" i="4" s="1"/>
  <c r="E44" i="4"/>
  <c r="D44" i="4"/>
  <c r="C44" i="4"/>
  <c r="B44" i="4"/>
  <c r="P43" i="4"/>
  <c r="M43" i="4"/>
  <c r="J43" i="4"/>
  <c r="I43" i="4"/>
  <c r="H43" i="4"/>
  <c r="G43" i="4"/>
  <c r="F43" i="4"/>
  <c r="E43" i="4"/>
  <c r="D43" i="4"/>
  <c r="C43" i="4"/>
  <c r="B43" i="4"/>
  <c r="P42" i="4"/>
  <c r="J42" i="4"/>
  <c r="I42" i="4"/>
  <c r="H42" i="4"/>
  <c r="G42" i="4"/>
  <c r="F42" i="4"/>
  <c r="M42" i="4" s="1"/>
  <c r="E42" i="4"/>
  <c r="D42" i="4"/>
  <c r="C42" i="4"/>
  <c r="B42" i="4"/>
  <c r="P41" i="4"/>
  <c r="M41" i="4"/>
  <c r="J41" i="4"/>
  <c r="I41" i="4"/>
  <c r="H41" i="4"/>
  <c r="G41" i="4"/>
  <c r="F41" i="4"/>
  <c r="E41" i="4"/>
  <c r="D41" i="4"/>
  <c r="C41" i="4"/>
  <c r="B41" i="4"/>
  <c r="P40" i="4"/>
  <c r="M40" i="4"/>
  <c r="J40" i="4"/>
  <c r="I40" i="4"/>
  <c r="H40" i="4"/>
  <c r="G40" i="4"/>
  <c r="F40" i="4"/>
  <c r="E40" i="4"/>
  <c r="D40" i="4"/>
  <c r="C40" i="4"/>
  <c r="B40" i="4"/>
  <c r="P39" i="4"/>
  <c r="J39" i="4"/>
  <c r="I39" i="4"/>
  <c r="H39" i="4"/>
  <c r="G39" i="4"/>
  <c r="F39" i="4"/>
  <c r="M39" i="4" s="1"/>
  <c r="E39" i="4"/>
  <c r="D39" i="4"/>
  <c r="C39" i="4"/>
  <c r="B39" i="4"/>
  <c r="P38" i="4"/>
  <c r="M38" i="4"/>
  <c r="J38" i="4"/>
  <c r="I38" i="4"/>
  <c r="H38" i="4"/>
  <c r="G38" i="4"/>
  <c r="F38" i="4"/>
  <c r="E38" i="4"/>
  <c r="D38" i="4"/>
  <c r="C38" i="4"/>
  <c r="B38" i="4"/>
  <c r="P37" i="4"/>
  <c r="J37" i="4"/>
  <c r="I37" i="4"/>
  <c r="H37" i="4"/>
  <c r="G37" i="4"/>
  <c r="F37" i="4"/>
  <c r="M37" i="4" s="1"/>
  <c r="E37" i="4"/>
  <c r="D37" i="4"/>
  <c r="C37" i="4"/>
  <c r="B37" i="4"/>
  <c r="P36" i="4"/>
  <c r="J36" i="4"/>
  <c r="I36" i="4"/>
  <c r="H36" i="4"/>
  <c r="G36" i="4"/>
  <c r="F36" i="4"/>
  <c r="M36" i="4" s="1"/>
  <c r="E36" i="4"/>
  <c r="D36" i="4"/>
  <c r="C36" i="4"/>
  <c r="B36" i="4"/>
  <c r="P35" i="4"/>
  <c r="M35" i="4"/>
  <c r="J35" i="4"/>
  <c r="I35" i="4"/>
  <c r="H35" i="4"/>
  <c r="G35" i="4"/>
  <c r="F35" i="4"/>
  <c r="E35" i="4"/>
  <c r="D35" i="4"/>
  <c r="C35" i="4"/>
  <c r="B35" i="4"/>
  <c r="P34" i="4"/>
  <c r="J34" i="4"/>
  <c r="I34" i="4"/>
  <c r="H34" i="4"/>
  <c r="G34" i="4"/>
  <c r="F34" i="4"/>
  <c r="M34" i="4" s="1"/>
  <c r="E34" i="4"/>
  <c r="D34" i="4"/>
  <c r="C34" i="4"/>
  <c r="B34" i="4"/>
  <c r="P33" i="4"/>
  <c r="M33" i="4"/>
  <c r="J33" i="4"/>
  <c r="I33" i="4"/>
  <c r="H33" i="4"/>
  <c r="G33" i="4"/>
  <c r="F33" i="4"/>
  <c r="E33" i="4"/>
  <c r="D33" i="4"/>
  <c r="C33" i="4"/>
  <c r="B33" i="4"/>
  <c r="P32" i="4"/>
  <c r="M32" i="4"/>
  <c r="J32" i="4"/>
  <c r="I32" i="4"/>
  <c r="H32" i="4"/>
  <c r="G32" i="4"/>
  <c r="F32" i="4"/>
  <c r="E32" i="4"/>
  <c r="D32" i="4"/>
  <c r="C32" i="4"/>
  <c r="B32" i="4"/>
  <c r="P31" i="4"/>
  <c r="J31" i="4"/>
  <c r="I31" i="4"/>
  <c r="H31" i="4"/>
  <c r="G31" i="4"/>
  <c r="F31" i="4"/>
  <c r="M31" i="4" s="1"/>
  <c r="E31" i="4"/>
  <c r="D31" i="4"/>
  <c r="C31" i="4"/>
  <c r="B31" i="4"/>
  <c r="P30" i="4"/>
  <c r="M30" i="4"/>
  <c r="J30" i="4"/>
  <c r="I30" i="4"/>
  <c r="H30" i="4"/>
  <c r="G30" i="4"/>
  <c r="F30" i="4"/>
  <c r="E30" i="4"/>
  <c r="D30" i="4"/>
  <c r="C30" i="4"/>
  <c r="B30" i="4"/>
  <c r="P29" i="4"/>
  <c r="M29" i="4"/>
  <c r="J29" i="4"/>
  <c r="I29" i="4"/>
  <c r="H29" i="4"/>
  <c r="G29" i="4"/>
  <c r="F29" i="4"/>
  <c r="E29" i="4"/>
  <c r="D29" i="4"/>
  <c r="C29" i="4"/>
  <c r="B29" i="4"/>
  <c r="P28" i="4"/>
  <c r="J28" i="4"/>
  <c r="I28" i="4"/>
  <c r="H28" i="4"/>
  <c r="G28" i="4"/>
  <c r="F28" i="4"/>
  <c r="M28" i="4" s="1"/>
  <c r="E28" i="4"/>
  <c r="D28" i="4"/>
  <c r="C28" i="4"/>
  <c r="B28" i="4"/>
  <c r="P27" i="4"/>
  <c r="M27" i="4"/>
  <c r="J27" i="4"/>
  <c r="I27" i="4"/>
  <c r="H27" i="4"/>
  <c r="G27" i="4"/>
  <c r="F27" i="4"/>
  <c r="E27" i="4"/>
  <c r="D27" i="4"/>
  <c r="C27" i="4"/>
  <c r="B27" i="4"/>
  <c r="P26" i="4"/>
  <c r="J26" i="4"/>
  <c r="I26" i="4"/>
  <c r="H26" i="4"/>
  <c r="G26" i="4"/>
  <c r="F26" i="4"/>
  <c r="M26" i="4" s="1"/>
  <c r="E26" i="4"/>
  <c r="D26" i="4"/>
  <c r="C26" i="4"/>
  <c r="B26" i="4"/>
  <c r="P25" i="4"/>
  <c r="M25" i="4"/>
  <c r="J25" i="4"/>
  <c r="I25" i="4"/>
  <c r="H25" i="4"/>
  <c r="G25" i="4"/>
  <c r="F25" i="4"/>
  <c r="E25" i="4"/>
  <c r="D25" i="4"/>
  <c r="C25" i="4"/>
  <c r="B25" i="4"/>
  <c r="P24" i="4"/>
  <c r="M24" i="4"/>
  <c r="J24" i="4"/>
  <c r="I24" i="4"/>
  <c r="H24" i="4"/>
  <c r="G24" i="4"/>
  <c r="F24" i="4"/>
  <c r="E24" i="4"/>
  <c r="D24" i="4"/>
  <c r="C24" i="4"/>
  <c r="B24" i="4"/>
  <c r="P23" i="4"/>
  <c r="J23" i="4"/>
  <c r="I23" i="4"/>
  <c r="H23" i="4"/>
  <c r="G23" i="4"/>
  <c r="F23" i="4"/>
  <c r="M23" i="4" s="1"/>
  <c r="E23" i="4"/>
  <c r="D23" i="4"/>
  <c r="C23" i="4"/>
  <c r="B23" i="4"/>
  <c r="P22" i="4"/>
  <c r="M22" i="4"/>
  <c r="J22" i="4"/>
  <c r="I22" i="4"/>
  <c r="H22" i="4"/>
  <c r="G22" i="4"/>
  <c r="F22" i="4"/>
  <c r="E22" i="4"/>
  <c r="D22" i="4"/>
  <c r="C22" i="4"/>
  <c r="B22" i="4"/>
  <c r="P21" i="4"/>
  <c r="J21" i="4"/>
  <c r="I21" i="4"/>
  <c r="H21" i="4"/>
  <c r="G21" i="4"/>
  <c r="F21" i="4"/>
  <c r="M21" i="4" s="1"/>
  <c r="E21" i="4"/>
  <c r="D21" i="4"/>
  <c r="C21" i="4"/>
  <c r="B21" i="4"/>
  <c r="P20" i="4"/>
  <c r="J20" i="4"/>
  <c r="I20" i="4"/>
  <c r="H20" i="4"/>
  <c r="G20" i="4"/>
  <c r="F20" i="4"/>
  <c r="M20" i="4" s="1"/>
  <c r="E20" i="4"/>
  <c r="D20" i="4"/>
  <c r="C20" i="4"/>
  <c r="B20" i="4"/>
  <c r="P19" i="4"/>
  <c r="M19" i="4"/>
  <c r="J19" i="4"/>
  <c r="I19" i="4"/>
  <c r="H19" i="4"/>
  <c r="G19" i="4"/>
  <c r="F19" i="4"/>
  <c r="E19" i="4"/>
  <c r="D19" i="4"/>
  <c r="C19" i="4"/>
  <c r="B19" i="4"/>
  <c r="P18" i="4"/>
  <c r="J18" i="4"/>
  <c r="I18" i="4"/>
  <c r="H18" i="4"/>
  <c r="G18" i="4"/>
  <c r="F18" i="4"/>
  <c r="M18" i="4" s="1"/>
  <c r="E18" i="4"/>
  <c r="D18" i="4"/>
  <c r="C18" i="4"/>
  <c r="B18" i="4"/>
  <c r="P17" i="4"/>
  <c r="M17" i="4"/>
  <c r="J17" i="4"/>
  <c r="I17" i="4"/>
  <c r="H17" i="4"/>
  <c r="G17" i="4"/>
  <c r="F17" i="4"/>
  <c r="E17" i="4"/>
  <c r="D17" i="4"/>
  <c r="C17" i="4"/>
  <c r="B17" i="4"/>
  <c r="P16" i="4"/>
  <c r="M16" i="4"/>
  <c r="J16" i="4"/>
  <c r="I16" i="4"/>
  <c r="H16" i="4"/>
  <c r="G16" i="4"/>
  <c r="F16" i="4"/>
  <c r="E16" i="4"/>
  <c r="D16" i="4"/>
  <c r="C16" i="4"/>
  <c r="B16" i="4"/>
  <c r="P15" i="4"/>
  <c r="J15" i="4"/>
  <c r="I15" i="4"/>
  <c r="H15" i="4"/>
  <c r="G15" i="4"/>
  <c r="F15" i="4"/>
  <c r="M15" i="4" s="1"/>
  <c r="E15" i="4"/>
  <c r="D15" i="4"/>
  <c r="C15" i="4"/>
  <c r="B15" i="4"/>
  <c r="P14" i="4"/>
  <c r="M14" i="4"/>
  <c r="J14" i="4"/>
  <c r="I14" i="4"/>
  <c r="H14" i="4"/>
  <c r="G14" i="4"/>
  <c r="F14" i="4"/>
  <c r="E14" i="4"/>
  <c r="D14" i="4"/>
  <c r="C14" i="4"/>
  <c r="B14" i="4"/>
  <c r="P13" i="4"/>
  <c r="M13" i="4"/>
  <c r="J13" i="4"/>
  <c r="I13" i="4"/>
  <c r="H13" i="4"/>
  <c r="G13" i="4"/>
  <c r="F13" i="4"/>
  <c r="E13" i="4"/>
  <c r="D13" i="4"/>
  <c r="C13" i="4"/>
  <c r="B13" i="4"/>
  <c r="P12" i="4"/>
  <c r="J12" i="4"/>
  <c r="I12" i="4"/>
  <c r="H12" i="4"/>
  <c r="G12" i="4"/>
  <c r="F12" i="4"/>
  <c r="M12" i="4" s="1"/>
  <c r="E12" i="4"/>
  <c r="D12" i="4"/>
  <c r="C12" i="4"/>
  <c r="B12" i="4"/>
  <c r="P11" i="4"/>
  <c r="M11" i="4"/>
  <c r="J11" i="4"/>
  <c r="I11" i="4"/>
  <c r="H11" i="4"/>
  <c r="G11" i="4"/>
  <c r="F11" i="4"/>
  <c r="E11" i="4"/>
  <c r="D11" i="4"/>
  <c r="C11" i="4"/>
  <c r="B11" i="4"/>
  <c r="P10" i="4"/>
  <c r="J10" i="4"/>
  <c r="I10" i="4"/>
  <c r="H10" i="4"/>
  <c r="G10" i="4"/>
  <c r="F10" i="4"/>
  <c r="M10" i="4" s="1"/>
  <c r="E10" i="4"/>
  <c r="D10" i="4"/>
  <c r="C10" i="4"/>
  <c r="B10" i="4"/>
  <c r="P9" i="4"/>
  <c r="M9" i="4"/>
  <c r="J9" i="4"/>
  <c r="I9" i="4"/>
  <c r="H9" i="4"/>
  <c r="G9" i="4"/>
  <c r="F9" i="4"/>
  <c r="E9" i="4"/>
  <c r="D9" i="4"/>
  <c r="C9" i="4"/>
  <c r="B9" i="4"/>
  <c r="I11" i="5" s="1"/>
  <c r="B6" i="5" l="1"/>
  <c r="B8" i="5"/>
  <c r="B10" i="5"/>
  <c r="B12" i="5"/>
  <c r="C12" i="5"/>
  <c r="H12" i="5" s="1"/>
  <c r="C8" i="5"/>
  <c r="D6" i="5"/>
  <c r="D8" i="5"/>
  <c r="D10" i="5"/>
  <c r="D12" i="5"/>
  <c r="C6" i="5"/>
  <c r="H6" i="5" s="1"/>
  <c r="E10" i="5"/>
  <c r="F6" i="5"/>
  <c r="F8" i="5"/>
  <c r="F10" i="5"/>
  <c r="F12" i="5"/>
  <c r="C10" i="5"/>
  <c r="E6" i="5"/>
  <c r="E8" i="5"/>
  <c r="G6" i="5"/>
  <c r="G8" i="5"/>
  <c r="G10" i="5"/>
  <c r="G12" i="5"/>
  <c r="I6" i="5"/>
  <c r="I8" i="5"/>
  <c r="I10" i="5"/>
  <c r="I12" i="5"/>
  <c r="B11" i="5"/>
  <c r="C5" i="5"/>
  <c r="C7" i="5"/>
  <c r="H7" i="5" s="1"/>
  <c r="C9" i="5"/>
  <c r="H9" i="5" s="1"/>
  <c r="C11" i="5"/>
  <c r="H11" i="5" s="1"/>
  <c r="B5" i="5"/>
  <c r="D5" i="5"/>
  <c r="D7" i="5"/>
  <c r="D9" i="5"/>
  <c r="D11" i="5"/>
  <c r="E11" i="5"/>
  <c r="B7" i="5"/>
  <c r="E7" i="5"/>
  <c r="F5" i="5"/>
  <c r="F7" i="5"/>
  <c r="F9" i="5"/>
  <c r="F11" i="5"/>
  <c r="B9" i="5"/>
  <c r="E5" i="5"/>
  <c r="E13" i="5" s="1"/>
  <c r="E9" i="5"/>
  <c r="G5" i="5"/>
  <c r="G13" i="5" s="1"/>
  <c r="G7" i="5"/>
  <c r="G9" i="5"/>
  <c r="G11" i="5"/>
  <c r="I5" i="5"/>
  <c r="I7" i="5"/>
  <c r="I9" i="5"/>
  <c r="H5" i="5" l="1"/>
  <c r="C13" i="5"/>
  <c r="F13" i="5"/>
  <c r="H8" i="5"/>
  <c r="I13" i="5"/>
  <c r="D13" i="5"/>
  <c r="B13" i="5"/>
  <c r="H10" i="5"/>
  <c r="H13" i="5" l="1"/>
</calcChain>
</file>

<file path=xl/sharedStrings.xml><?xml version="1.0" encoding="utf-8"?>
<sst xmlns="http://schemas.openxmlformats.org/spreadsheetml/2006/main" count="989" uniqueCount="421">
  <si>
    <t>INSPECCIÓN FÍSICA DEL EQUIPO — GRIMM EDM180 (C/D)</t>
  </si>
  <si>
    <t>Prototipo de estructura jerárquica en Excel · Ambientalia — Servicio Técnico</t>
  </si>
  <si>
    <t>Origen de la estructura</t>
  </si>
  <si>
    <t>Los niveles macro, subniveles e ítems se derivaron de los informes de mantenimiento (MT) del</t>
  </si>
  <si>
    <t>notebook «ST Grimm EDM180» en NotebookLM (223 fuentes). Los informes actuales son narrativos:</t>
  </si>
  <si>
    <t>no existe hoy una lista de chequeo formalizada, por lo que esta jerarquía es una propuesta</t>
  </si>
  <si>
    <t>construida a partir de los hallazgos que se repiten en ellos.</t>
  </si>
  <si>
    <t>Cómo está organizado el libro</t>
  </si>
  <si>
    <t>Catálogo    Maestro de la jerarquía: 8 niveles macro (N1), 24 subniveles (N2) y 69 ítems (N3).</t>
  </si>
  <si>
    <t xml:space="preserve">            Es la única fuente de verdad. Para añadir o quitar ítems se edita AQUÍ.</t>
  </si>
  <si>
    <t>Inspección  Hoja de captura de una visita. Las columnas B–J y P se traen del Catálogo con</t>
  </si>
  <si>
    <t xml:space="preserve">            fórmulas; el técnico solo diligencia las celdas en amarillo.</t>
  </si>
  <si>
    <t>Resumen     Conformidad por nivel macro, calculada automáticamente.</t>
  </si>
  <si>
    <t>Listas      Dominios de las listas desplegables.</t>
  </si>
  <si>
    <t>Qué diligencia el técnico (celdas en amarillo)</t>
  </si>
  <si>
    <t>Resultado         Lista desplegable: Conforme / No conforme / Requiere reemplazo / No aplica / Pendiente.</t>
  </si>
  <si>
    <t>Valor medido      Solo para ítems de tipo Numérico o Fecha. Se contrasta contra los límites del catálogo.</t>
  </si>
  <si>
    <t>Foto adjunta      Sí / No / No aplica.</t>
  </si>
  <si>
    <t>Observación       Texto libre: es lo que después alimenta la redacción del informe.</t>
  </si>
  <si>
    <t>Ejemplo de diligenciamiento</t>
  </si>
  <si>
    <t>ID</t>
  </si>
  <si>
    <t>Ítem</t>
  </si>
  <si>
    <t>Resultado</t>
  </si>
  <si>
    <t>Valor medido</t>
  </si>
  <si>
    <t>Foto</t>
  </si>
  <si>
    <t>Observación</t>
  </si>
  <si>
    <t>3.1.1</t>
  </si>
  <si>
    <t>Flujo de la bomba de secado</t>
  </si>
  <si>
    <t>Requiere reemplazo</t>
  </si>
  <si>
    <t>Sí</t>
  </si>
  <si>
    <t>Flujo cercano al límite de reemplazo; desgaste en el empaque del pistón.</t>
  </si>
  <si>
    <t>Los únicos criterios numéricos explícitos en los informes son: ganancias de los canales F y G</t>
  </si>
  <si>
    <t>entre -2 % y +5 % respecto al espectrómetro de referencia, y el flujo de la bomba de secado, donde</t>
  </si>
  <si>
    <t>2,45 L/min se registró como valor cercano al límite de reemplazo. El resto de límites inferiores y</t>
  </si>
  <si>
    <t>superiores del Catálogo están marcados como PENDIENTE DE VALIDAR: deben confirmarse contra el</t>
  </si>
  <si>
    <t>manual de servicio GRIMM antes de usar el formato en campo.</t>
  </si>
  <si>
    <t>Foto adjunta</t>
  </si>
  <si>
    <t>Obligatorio</t>
  </si>
  <si>
    <t>Conforme</t>
  </si>
  <si>
    <t>No conforme</t>
  </si>
  <si>
    <t>No</t>
  </si>
  <si>
    <t>No aplica</t>
  </si>
  <si>
    <t>Pendiente</t>
  </si>
  <si>
    <t>CATÁLOGO MAESTRO DE INSPECCIÓN FÍSICA — GRIMM EDM180</t>
  </si>
  <si>
    <t>Fuente: informes MT del notebook «ST Grimm EDM180» (NotebookLM). Los límites sin criterio explícito en los informes están marcados como PENDIENTE DE VALIDAR.</t>
  </si>
  <si>
    <t>Nivel macro (N1)</t>
  </si>
  <si>
    <t>Subnivel (N2)</t>
  </si>
  <si>
    <t>Ítem (N3)</t>
  </si>
  <si>
    <t>Qué se verifica</t>
  </si>
  <si>
    <t>Tipo de dato</t>
  </si>
  <si>
    <t>Unidad</t>
  </si>
  <si>
    <t>Criterio de aceptación</t>
  </si>
  <si>
    <t>Límite inferior</t>
  </si>
  <si>
    <t>Límite superior</t>
  </si>
  <si>
    <t>Evidencia fotográfica</t>
  </si>
  <si>
    <t>Repuesto / parte asociada</t>
  </si>
  <si>
    <t>Informe de referencia</t>
  </si>
  <si>
    <t>1.1.1</t>
  </si>
  <si>
    <t>1. Verificación funcional inicial</t>
  </si>
  <si>
    <t>1.1 Encendido y autodiagnóstico</t>
  </si>
  <si>
    <t>Ciclo self-test</t>
  </si>
  <si>
    <t>El equipo enciende y supera el ciclo self test</t>
  </si>
  <si>
    <t>Sí/No</t>
  </si>
  <si>
    <t>Debe superar el self test</t>
  </si>
  <si>
    <t>MT_18A12051_260811</t>
  </si>
  <si>
    <t>1.1.2</t>
  </si>
  <si>
    <t>Inicio de medición</t>
  </si>
  <si>
    <t>El equipo comienza a medir tras el self test</t>
  </si>
  <si>
    <t>Debe iniciar medición</t>
  </si>
  <si>
    <t>1.1.3</t>
  </si>
  <si>
    <t>Alarmas activas</t>
  </si>
  <si>
    <t>Alarmas o avisos en pantalla al arranque (p. ej. alerta "Dryer")</t>
  </si>
  <si>
    <t>Texto</t>
  </si>
  <si>
    <t>Sin alarmas activas</t>
  </si>
  <si>
    <t>MT_18A21062_260227</t>
  </si>
  <si>
    <t>1.2.1</t>
  </si>
  <si>
    <t>1.2 Identificación y trazabilidad</t>
  </si>
  <si>
    <t>Serial del monitor</t>
  </si>
  <si>
    <t>El serial del monitor coincide con la placa y con la orden de servicio</t>
  </si>
  <si>
    <t>Debe coincidir</t>
  </si>
  <si>
    <t>MT_18A19035_260727</t>
  </si>
  <si>
    <t>1.2.2</t>
  </si>
  <si>
    <t>Serial del espectrómetro</t>
  </si>
  <si>
    <t>El espectrómetro instalado corresponde al del equipo (no de otro monitor)</t>
  </si>
  <si>
    <t>Debe corresponder</t>
  </si>
  <si>
    <t>1.2.3</t>
  </si>
  <si>
    <t>Accesorios recibidos</t>
  </si>
  <si>
    <t>Inventario de accesorios: tubo de muestra, cabezal TSP, sensor T/HR, cables</t>
  </si>
  <si>
    <t>Inventario completo</t>
  </si>
  <si>
    <t>1.3.1</t>
  </si>
  <si>
    <t>1.3 Estado de calibración</t>
  </si>
  <si>
    <t>Vigencia de calibración en Torre GRIMM</t>
  </si>
  <si>
    <t>Fecha de la última calibración en torre patrón</t>
  </si>
  <si>
    <t>Fecha</t>
  </si>
  <si>
    <t>Vigencia máxima 12 meses</t>
  </si>
  <si>
    <t>AMB-STCALENVIRO-01</t>
  </si>
  <si>
    <t>1.3.2</t>
  </si>
  <si>
    <t>Certificado disponible</t>
  </si>
  <si>
    <t>Existe certificado de la última calibración</t>
  </si>
  <si>
    <t>Debe existir</t>
  </si>
  <si>
    <t>2.1.1</t>
  </si>
  <si>
    <t>2. Línea de muestreo y cabezal</t>
  </si>
  <si>
    <t>2.1 Cabezal TSP</t>
  </si>
  <si>
    <t>Estado físico del cabezal</t>
  </si>
  <si>
    <t>Golpes, deformación, corrosión del cabezal TSP</t>
  </si>
  <si>
    <t>OK / No OK</t>
  </si>
  <si>
    <t>Sin deformación ni corrosión</t>
  </si>
  <si>
    <t>MT_18A20087_260512</t>
  </si>
  <si>
    <t>2.1.2</t>
  </si>
  <si>
    <t>Tornillo de seguridad del cabezal</t>
  </si>
  <si>
    <t>Presencia y estado del tornillo de seguridad del cabezal TSP</t>
  </si>
  <si>
    <t>Presente / Ausente</t>
  </si>
  <si>
    <t>Debe estar presente</t>
  </si>
  <si>
    <t>M02M2X4D912A4</t>
  </si>
  <si>
    <t>2.1.3</t>
  </si>
  <si>
    <t>Limpieza interna del cabezal</t>
  </si>
  <si>
    <t>Acumulación de material particulado en el interior del cabezal</t>
  </si>
  <si>
    <t>Libre de acumulación</t>
  </si>
  <si>
    <t>2.2.1</t>
  </si>
  <si>
    <t>2.2 Tubo de muestra (1.5 m)</t>
  </si>
  <si>
    <t>Rectitud del tubo</t>
  </si>
  <si>
    <t>Deformación o torcedura del tubo de muestra</t>
  </si>
  <si>
    <t>Sin deformación mecánica</t>
  </si>
  <si>
    <t>GR-TI-01</t>
  </si>
  <si>
    <t>2.2.2</t>
  </si>
  <si>
    <t>Fugas internas</t>
  </si>
  <si>
    <t>Prueba de estanqueidad del tubo de muestra</t>
  </si>
  <si>
    <t>Sin fugas</t>
  </si>
  <si>
    <t>2.2.3</t>
  </si>
  <si>
    <t>Estructura interna de bronce</t>
  </si>
  <si>
    <t>Integridad de la estructura de bronce y su base respecto a las líneas neumáticas</t>
  </si>
  <si>
    <t>Base unida a las líneas neumáticas</t>
  </si>
  <si>
    <t>2.2.4</t>
  </si>
  <si>
    <t>Tornillería del tubo</t>
  </si>
  <si>
    <t>Deformación mecánica de la tornillería del tubo de muestra</t>
  </si>
  <si>
    <t>Sin deformación</t>
  </si>
  <si>
    <t>4037489 / M00M3X3D913A2</t>
  </si>
  <si>
    <t>2.2.5</t>
  </si>
  <si>
    <t>O-Ring de la boquilla de entrada</t>
  </si>
  <si>
    <t>Desgaste de la junta tórica interna de la boquilla de ingreso de muestreo</t>
  </si>
  <si>
    <t>Sin desgaste que genere fuga</t>
  </si>
  <si>
    <t>C0004x1</t>
  </si>
  <si>
    <t>2.3.1</t>
  </si>
  <si>
    <t>2.3 Protección contra intemperie</t>
  </si>
  <si>
    <t>Rain protector / deflector</t>
  </si>
  <si>
    <t>Presencia e integridad del protector de lluvia del tubo de muestra</t>
  </si>
  <si>
    <t>Presente y sin roturas</t>
  </si>
  <si>
    <t>4019827</t>
  </si>
  <si>
    <t>2.3.2</t>
  </si>
  <si>
    <t>Acople de sellado tubo–shelter</t>
  </si>
  <si>
    <t>Acople de protección para filtrado de agua hacia el shelter</t>
  </si>
  <si>
    <t>Acople original instalado</t>
  </si>
  <si>
    <t>2.3.3</t>
  </si>
  <si>
    <t>Sellados provisionales</t>
  </si>
  <si>
    <t>Uso de cinta u otros sellos provisionales en la conexión</t>
  </si>
  <si>
    <t>No debe haber sellos provisionales</t>
  </si>
  <si>
    <t>2.4.1</t>
  </si>
  <si>
    <t>2.4 Secador Nafion y drenaje</t>
  </si>
  <si>
    <t>Estado del Nafion</t>
  </si>
  <si>
    <t>Deterioro del secador Nafion integrado</t>
  </si>
  <si>
    <t>Sin deterioro</t>
  </si>
  <si>
    <t>2.4.2</t>
  </si>
  <si>
    <t>Water drain</t>
  </si>
  <si>
    <t>Drenaje de agua despejado y operativo</t>
  </si>
  <si>
    <t>Despejado</t>
  </si>
  <si>
    <t>2.4.3</t>
  </si>
  <si>
    <t>Mangueras de la línea neumática</t>
  </si>
  <si>
    <t>Roturas, fisuras o endurecimiento de las mangueras</t>
  </si>
  <si>
    <t>Sin roturas</t>
  </si>
  <si>
    <t>3. Sistema neumático y etapa de secado</t>
  </si>
  <si>
    <t>3.1 Bomba de vacío / secado</t>
  </si>
  <si>
    <t>Medición del flujo de la bomba de secado</t>
  </si>
  <si>
    <t>Numérico</t>
  </si>
  <si>
    <t>L/min</t>
  </si>
  <si>
    <t>Dentro del rango del fabricante; 2,45 L/min es el valor registrado como cercano al límite de reemplazo</t>
  </si>
  <si>
    <t>1205273</t>
  </si>
  <si>
    <t>MT_18A24064_260609</t>
  </si>
  <si>
    <t>3.1.2</t>
  </si>
  <si>
    <t>Estado del kit de la bomba</t>
  </si>
  <si>
    <t>Desgaste de los componentes internos del kit de la bomba de vacío</t>
  </si>
  <si>
    <t>Sin desgaste significativo</t>
  </si>
  <si>
    <t>3.1.3</t>
  </si>
  <si>
    <t>Empaque del pistón (sealing sleeve)</t>
  </si>
  <si>
    <t>Desgaste del empaque del pistón de la bomba de secado</t>
  </si>
  <si>
    <t>Sin desgaste</t>
  </si>
  <si>
    <t>1204480</t>
  </si>
  <si>
    <t>3.1.4</t>
  </si>
  <si>
    <t>Ruido y vibración</t>
  </si>
  <si>
    <t>Ruido o vibración anómala de la bomba</t>
  </si>
  <si>
    <t>Sin ruido anómalo</t>
  </si>
  <si>
    <t>Derivado</t>
  </si>
  <si>
    <t>3.2.1</t>
  </si>
  <si>
    <t>3.2 Instrumentación de presión</t>
  </si>
  <si>
    <t>Manómetro de vacío</t>
  </si>
  <si>
    <t>El manómetro entrega lectura y no presenta falla mecánica</t>
  </si>
  <si>
    <t>Debe entregar lectura</t>
  </si>
  <si>
    <t>1201007</t>
  </si>
  <si>
    <t>3.2.2</t>
  </si>
  <si>
    <t>Presión negativa de succión</t>
  </si>
  <si>
    <t>Presión negativa generada por la etapa de secado</t>
  </si>
  <si>
    <t>bar</t>
  </si>
  <si>
    <t>Dentro del rango del fabricante</t>
  </si>
  <si>
    <t>PENDIENTE DE VALIDAR</t>
  </si>
  <si>
    <t>3.3.1</t>
  </si>
  <si>
    <t>3.3 Estanqueidad</t>
  </si>
  <si>
    <t>Prueba de fugas del circuito</t>
  </si>
  <si>
    <t>Prueba de fugas del circuito neumático completo</t>
  </si>
  <si>
    <t>MT_18A18033_260108</t>
  </si>
  <si>
    <t>3.3.2</t>
  </si>
  <si>
    <t>O-Rings y conectores del holder</t>
  </si>
  <si>
    <t>Estado de los O-Rings y conectores del cabezal de muestra (holder)</t>
  </si>
  <si>
    <t>C0004x1.2N70 / 1201011</t>
  </si>
  <si>
    <t>3.3.3</t>
  </si>
  <si>
    <t>Alerta "Dryer"</t>
  </si>
  <si>
    <t>Alerta activa de la etapa de secado en el equipo</t>
  </si>
  <si>
    <t>No debe estar activa</t>
  </si>
  <si>
    <t>4.1.1</t>
  </si>
  <si>
    <t>4. Espectrómetro: cámara de medida y óptica</t>
  </si>
  <si>
    <t>4.1 Estado del recinto</t>
  </si>
  <si>
    <t>Humedad / condensación</t>
  </si>
  <si>
    <t>Presencia de humedad o condensación en el gabinete del espectrómetro</t>
  </si>
  <si>
    <t>Ausencia de humedad</t>
  </si>
  <si>
    <t>4.1.2</t>
  </si>
  <si>
    <t>Óxido y corrosión</t>
  </si>
  <si>
    <t>Óxido o corrosión en componentes internos por ingreso de humedad</t>
  </si>
  <si>
    <t>Sin óxido ni corrosión</t>
  </si>
  <si>
    <t>4.1.3</t>
  </si>
  <si>
    <t>Limpieza de la cámara de medida</t>
  </si>
  <si>
    <t>Necesidad de limpieza integral de la cámara de medición</t>
  </si>
  <si>
    <t>Cámara limpia</t>
  </si>
  <si>
    <t>4.2.1</t>
  </si>
  <si>
    <t>4.2 Componentes ópticos</t>
  </si>
  <si>
    <t>Espejo y tornillo del espejo</t>
  </si>
  <si>
    <t>Estado del espejo y de su O-Ring de montaje</t>
  </si>
  <si>
    <t>Sin daño ni fuga</t>
  </si>
  <si>
    <t>C00014x2.5NBR70</t>
  </si>
  <si>
    <t>4.2.2</t>
  </si>
  <si>
    <t>Manchas en la óptica</t>
  </si>
  <si>
    <t>Manchas o suciedad que generen ruido electrónico en la medida</t>
  </si>
  <si>
    <t>Óptica libre de manchas</t>
  </si>
  <si>
    <t>MT_18A20034_250703_Mantenimiento</t>
  </si>
  <si>
    <t>4.2.3</t>
  </si>
  <si>
    <t>Boquilla de ingreso de material particulado</t>
  </si>
  <si>
    <t>Estado de la boquilla y su sello neumático</t>
  </si>
  <si>
    <t>Sello neumático íntegro</t>
  </si>
  <si>
    <t>4.3.1</t>
  </si>
  <si>
    <t>4.3 Unidad láser</t>
  </si>
  <si>
    <t>Corriente de operación en alta (La_h)</t>
  </si>
  <si>
    <t>Corriente del diodo láser en alta según software Diagnosis GRIMM</t>
  </si>
  <si>
    <t>mA</t>
  </si>
  <si>
    <t>No debe superar el máximo permitido por el fabricante</t>
  </si>
  <si>
    <t>X187LDRVR-R</t>
  </si>
  <si>
    <t>4.3.2</t>
  </si>
  <si>
    <t>Valor diferencial DC_diff</t>
  </si>
  <si>
    <t>DC_diff acorde a la corriente alta del láser (indicador de ruido electrónico)</t>
  </si>
  <si>
    <t>Acorde a La_h</t>
  </si>
  <si>
    <t>4.3.3</t>
  </si>
  <si>
    <t>Respuesta a verificación con dolomita</t>
  </si>
  <si>
    <t>El láser reacciona durante el procedimiento de verificación con dolomita</t>
  </si>
  <si>
    <t>Debe presentar reacción</t>
  </si>
  <si>
    <t>4.3.4</t>
  </si>
  <si>
    <t>Capacidad de ajuste de potenciómetros</t>
  </si>
  <si>
    <t>Los potenciómetros permiten llevar la ganancia al rango operativo</t>
  </si>
  <si>
    <t>Debe permitir el ajuste</t>
  </si>
  <si>
    <t>5.1.1</t>
  </si>
  <si>
    <t>5. Electrónica y control</t>
  </si>
  <si>
    <t>5.1 Tarjetas</t>
  </si>
  <si>
    <t>Tarjeta digital del espectrómetro</t>
  </si>
  <si>
    <t>Operatividad de la tarjeta digital</t>
  </si>
  <si>
    <t>Debe permitir la operación del equipo</t>
  </si>
  <si>
    <t>X187486</t>
  </si>
  <si>
    <t>5.1.2</t>
  </si>
  <si>
    <t>Tarjeta análoga</t>
  </si>
  <si>
    <t>Estado y operatividad de la tarjeta análoga</t>
  </si>
  <si>
    <t>Operativa</t>
  </si>
  <si>
    <t>5.1.3</t>
  </si>
  <si>
    <t>Aislante de apantallamiento</t>
  </si>
  <si>
    <t>Presencia del aislante entre la tarjeta digital y la análoga</t>
  </si>
  <si>
    <t>Debe estar presente (su ausencia genera ruido electrónico)</t>
  </si>
  <si>
    <t>5.2.1</t>
  </si>
  <si>
    <t>5.2 Ajustes y ganancias</t>
  </si>
  <si>
    <t>Ganancia canal F</t>
  </si>
  <si>
    <t>Desviación de la ganancia del canal F respecto al espectrómetro de referencia</t>
  </si>
  <si>
    <t>%</t>
  </si>
  <si>
    <t>Entre -2 % y +5 %</t>
  </si>
  <si>
    <t>5.2.2</t>
  </si>
  <si>
    <t>Ganancia canal G</t>
  </si>
  <si>
    <t>Desviación de la ganancia del canal G respecto al espectrómetro de referencia</t>
  </si>
  <si>
    <t>5.3.1</t>
  </si>
  <si>
    <t>5.3 Alimentación y memoria</t>
  </si>
  <si>
    <t>Batería 3V tarjeta PCMCIA</t>
  </si>
  <si>
    <t>Estado / tensión de la batería CR2025</t>
  </si>
  <si>
    <t>V</t>
  </si>
  <si>
    <t>Tensión mínima 2,8 V</t>
  </si>
  <si>
    <t>CR2025</t>
  </si>
  <si>
    <t>5.3.2</t>
  </si>
  <si>
    <t>Tarjeta PCMCIA / almacenamiento</t>
  </si>
  <si>
    <t>Lectura y escritura de datos en la tarjeta de memoria</t>
  </si>
  <si>
    <t>Debe leer y escribir</t>
  </si>
  <si>
    <t>5.3.3</t>
  </si>
  <si>
    <t>Cableado y conectores internos</t>
  </si>
  <si>
    <t>Estado de cableado, conectores y bornes internos</t>
  </si>
  <si>
    <t>Sin daño ni corrosión</t>
  </si>
  <si>
    <t>5.4.1</t>
  </si>
  <si>
    <t>5.4 Software de diagnóstico</t>
  </si>
  <si>
    <t>Lectura en Diagnosis GRIMM</t>
  </si>
  <si>
    <t>Los valores del software oficial indican operación correcta</t>
  </si>
  <si>
    <t>Valores dentro de rango</t>
  </si>
  <si>
    <t>5.4.2</t>
  </si>
  <si>
    <t>Captura del diagnóstico</t>
  </si>
  <si>
    <t>Se adjunta captura de pantalla del software de diagnóstico</t>
  </si>
  <si>
    <t>Debe adjuntarse</t>
  </si>
  <si>
    <t>6.1.1</t>
  </si>
  <si>
    <t>6. Filtros y consumibles</t>
  </si>
  <si>
    <t>6.1 Filtros</t>
  </si>
  <si>
    <t>Filtro de disposición 9933-05-BQ</t>
  </si>
  <si>
    <t>Colmatación y estado del filtro de disposición</t>
  </si>
  <si>
    <t>Sin colmatación</t>
  </si>
  <si>
    <t>J04993305BQ</t>
  </si>
  <si>
    <t>6.1.2</t>
  </si>
  <si>
    <t>Fecha del último cambio de filtro</t>
  </si>
  <si>
    <t>Registro de la fecha del último reemplazo</t>
  </si>
  <si>
    <t>Según periodicidad del plan de mantenimiento</t>
  </si>
  <si>
    <t>6.2.1</t>
  </si>
  <si>
    <t>6.2 Juntas y sellos</t>
  </si>
  <si>
    <t>O-Ring 4x1 mm entrada de muestreo</t>
  </si>
  <si>
    <t>Estado de la junta tórica de la entrada de muestreo</t>
  </si>
  <si>
    <t>6.2.2</t>
  </si>
  <si>
    <t>O-Ring 44x3 mm</t>
  </si>
  <si>
    <t>Estado de la junta tórica 44x3 mm</t>
  </si>
  <si>
    <t>C00044X3S70</t>
  </si>
  <si>
    <t>6.2.3</t>
  </si>
  <si>
    <t>Set de tornillería</t>
  </si>
  <si>
    <t>Estado y completitud de la tornillería de servicio</t>
  </si>
  <si>
    <t>Completa y sin deformación</t>
  </si>
  <si>
    <t>7.1.1</t>
  </si>
  <si>
    <t>7. Sensores auxiliares</t>
  </si>
  <si>
    <t>7.1 Sensor ambiental</t>
  </si>
  <si>
    <t>Sensor de T y HR ambiente</t>
  </si>
  <si>
    <t>Presencia del sensor de humedad y temperatura ambiente</t>
  </si>
  <si>
    <t>Debe estar presente para poder verificar los parámetros</t>
  </si>
  <si>
    <t>7.1.2</t>
  </si>
  <si>
    <t>Lectura de temperatura ambiente</t>
  </si>
  <si>
    <t>Valor de temperatura ambiente reportado por el equipo</t>
  </si>
  <si>
    <t>°C</t>
  </si>
  <si>
    <t>Coherente con patrón de referencia</t>
  </si>
  <si>
    <t>7.1.3</t>
  </si>
  <si>
    <t>Lectura de humedad relativa</t>
  </si>
  <si>
    <t>Valor de humedad relativa reportado por el equipo</t>
  </si>
  <si>
    <t>%HR</t>
  </si>
  <si>
    <t>7.2.1</t>
  </si>
  <si>
    <t>7.2 Sensores internos</t>
  </si>
  <si>
    <t>Temperatura interna del equipo</t>
  </si>
  <si>
    <t>Temperatura interna reportada en el software de diagnóstico</t>
  </si>
  <si>
    <t>7.2.2</t>
  </si>
  <si>
    <t>Sensor de flujo</t>
  </si>
  <si>
    <t>Coherencia de la lectura del sensor de flujo</t>
  </si>
  <si>
    <t>Coherente con la medición externa</t>
  </si>
  <si>
    <t>8.1.1</t>
  </si>
  <si>
    <t>8. Gabinete, montaje e instalación</t>
  </si>
  <si>
    <t>8.1 Gabinete</t>
  </si>
  <si>
    <t>Estado externo de la carcasa</t>
  </si>
  <si>
    <t>Golpes, corrosión y pintura de la carcasa</t>
  </si>
  <si>
    <t>Sin daño estructural</t>
  </si>
  <si>
    <t>8.1.2</t>
  </si>
  <si>
    <t>Sellado y hermeticidad</t>
  </si>
  <si>
    <t>Hermeticidad del gabinete frente al ingreso de humedad</t>
  </si>
  <si>
    <t>Hermético</t>
  </si>
  <si>
    <t>8.1.3</t>
  </si>
  <si>
    <t>Ventilación y disipación</t>
  </si>
  <si>
    <t>Rejillas y ventilación libres de obstrucción</t>
  </si>
  <si>
    <t>Libre de obstrucción</t>
  </si>
  <si>
    <t>8.2.1</t>
  </si>
  <si>
    <t>8.2 Montaje en estación</t>
  </si>
  <si>
    <t>Fijación mecánica del equipo</t>
  </si>
  <si>
    <t>Anclaje y fijación del equipo en la estación</t>
  </si>
  <si>
    <t>Firme y sin holgura</t>
  </si>
  <si>
    <t>8.2.2</t>
  </si>
  <si>
    <t>Paso del tubo por el shelter</t>
  </si>
  <si>
    <t>Sellado del paso del tubo de muestra a través del shelter</t>
  </si>
  <si>
    <t>Sellado con acople original</t>
  </si>
  <si>
    <t>8.2.3</t>
  </si>
  <si>
    <t>Ingreso de agua al shelter</t>
  </si>
  <si>
    <t>Evidencia de filtraciones o humedad en el shelter</t>
  </si>
  <si>
    <t>Sin filtraciones</t>
  </si>
  <si>
    <t>8.3.1</t>
  </si>
  <si>
    <t>8.3 Servicios</t>
  </si>
  <si>
    <t>Alimentación eléctrica y tierra</t>
  </si>
  <si>
    <t>Tensión de alimentación y puesta a tierra</t>
  </si>
  <si>
    <t>Conforme a la instalación requerida</t>
  </si>
  <si>
    <t>8.3.2</t>
  </si>
  <si>
    <t>Comunicaciones / adquisición de datos</t>
  </si>
  <si>
    <t>Enlace de comunicaciones con el datalogger o sistema de adquisición</t>
  </si>
  <si>
    <t>Enlace estable</t>
  </si>
  <si>
    <t>FASE 1 — INSPECCIÓN FÍSICA DEL EQUIPO</t>
  </si>
  <si>
    <t>Cliente:</t>
  </si>
  <si>
    <t>Serie del espectrómetro:</t>
  </si>
  <si>
    <t>NIT:</t>
  </si>
  <si>
    <t>Fecha de inspección:</t>
  </si>
  <si>
    <t>Equipo / Modelo:</t>
  </si>
  <si>
    <t>Monitor de partículas GRIMM EDM180</t>
  </si>
  <si>
    <t>Técnico responsable:</t>
  </si>
  <si>
    <t>Número de serie:</t>
  </si>
  <si>
    <t>N.º de informe (MT):</t>
  </si>
  <si>
    <t>Tipo</t>
  </si>
  <si>
    <t>LI</t>
  </si>
  <si>
    <t>LS</t>
  </si>
  <si>
    <t>Verificación de rango</t>
  </si>
  <si>
    <t>EJEMPLO — Flujo en el límite superior del rango; desgaste en el empaque del pistón. Borrar antes de usar el formato.</t>
  </si>
  <si>
    <t>Leyenda:</t>
  </si>
  <si>
    <t>Celdas en amarillo = diligencia el técnico (Resultado, Valor medido, Foto adjunta, Observación).</t>
  </si>
  <si>
    <t>El resto de columnas se traen del Catálogo con fórmulas: no se editan aquí.</t>
  </si>
  <si>
    <t>LI / LS = límite inferior y superior del criterio numérico. «PENDIENTE DE VALIDAR» = falta confirmar contra el manual GRIMM.</t>
  </si>
  <si>
    <t>RESUMEN DE CONFORMIDAD POR NIVEL MACRO</t>
  </si>
  <si>
    <t>Calculado automáticamente sobre la hoja Inspección.</t>
  </si>
  <si>
    <t>Ítems</t>
  </si>
  <si>
    <t>% conformidad</t>
  </si>
  <si>
    <t>Fuera de rango</t>
  </si>
  <si>
    <t>TOTAL</t>
  </si>
  <si>
    <t>% conformidad = Conforme / (Ítems − No aplica − Pendiente).</t>
  </si>
  <si>
    <t>Nota: con la hoja recién abierta todos los ítems están en «Pendiente», por lo que el % queda vacío hasta diligenciar.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</si>
</sst>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i/>
      <sz val="8"/>
      <color rgb="FFC00000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1" fillId="0" borderId="0" xfId="0" applyFont="1"/>
    <xf numFmtId="0" fontId="12" fillId="0" borderId="0" xfId="0" applyFont="1"/>
    <xf numFmtId="0" fontId="3" fillId="3" borderId="1" xfId="0" applyFont="1" applyFill="1" applyBorder="1"/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13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12" fillId="4" borderId="1" xfId="0" applyFont="1" applyFill="1" applyBorder="1"/>
    <xf numFmtId="164" fontId="12" fillId="4" borderId="1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4"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57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34" customWidth="1"/>
    <col min="3" max="3" width="20" customWidth="1"/>
    <col min="4" max="4" width="14" customWidth="1"/>
    <col min="5" max="5" width="10" customWidth="1"/>
    <col min="6" max="6" width="60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6" x14ac:dyDescent="0.25">
      <c r="A17" s="3"/>
    </row>
    <row r="18" spans="1:6" x14ac:dyDescent="0.25">
      <c r="A18" s="4" t="s">
        <v>14</v>
      </c>
    </row>
    <row r="19" spans="1:6" x14ac:dyDescent="0.25">
      <c r="A19" s="3" t="s">
        <v>15</v>
      </c>
    </row>
    <row r="20" spans="1:6" x14ac:dyDescent="0.25">
      <c r="A20" s="3" t="s">
        <v>16</v>
      </c>
    </row>
    <row r="21" spans="1:6" x14ac:dyDescent="0.25">
      <c r="A21" s="3" t="s">
        <v>17</v>
      </c>
    </row>
    <row r="22" spans="1:6" x14ac:dyDescent="0.25">
      <c r="A22" s="3" t="s">
        <v>18</v>
      </c>
    </row>
    <row r="23" spans="1:6" x14ac:dyDescent="0.25">
      <c r="A23" s="3"/>
    </row>
    <row r="24" spans="1:6" x14ac:dyDescent="0.25">
      <c r="A24" s="4" t="s">
        <v>19</v>
      </c>
    </row>
    <row r="25" spans="1:6" x14ac:dyDescent="0.25">
      <c r="A25" s="5" t="s">
        <v>20</v>
      </c>
      <c r="B25" s="5" t="s">
        <v>21</v>
      </c>
      <c r="C25" s="5" t="s">
        <v>22</v>
      </c>
      <c r="D25" s="5" t="s">
        <v>23</v>
      </c>
      <c r="E25" s="5" t="s">
        <v>24</v>
      </c>
      <c r="F25" s="5" t="s">
        <v>25</v>
      </c>
    </row>
    <row r="26" spans="1:6" x14ac:dyDescent="0.25">
      <c r="A26" s="6" t="s">
        <v>26</v>
      </c>
      <c r="B26" s="6" t="s">
        <v>27</v>
      </c>
      <c r="C26" s="6" t="s">
        <v>28</v>
      </c>
      <c r="D26" s="6">
        <v>2.4500000000000002</v>
      </c>
      <c r="E26" s="6" t="s">
        <v>29</v>
      </c>
      <c r="F26" s="6" t="s">
        <v>30</v>
      </c>
    </row>
    <row r="27" spans="1:6" x14ac:dyDescent="0.25">
      <c r="A27" s="3" t="s">
        <v>31</v>
      </c>
    </row>
    <row r="28" spans="1:6" x14ac:dyDescent="0.25">
      <c r="A28" s="3" t="s">
        <v>32</v>
      </c>
    </row>
    <row r="29" spans="1:6" x14ac:dyDescent="0.25">
      <c r="A29" s="3" t="s">
        <v>33</v>
      </c>
    </row>
    <row r="30" spans="1:6" x14ac:dyDescent="0.25">
      <c r="A30" s="3" t="s">
        <v>34</v>
      </c>
    </row>
    <row r="31" spans="1:6" x14ac:dyDescent="0.25">
      <c r="A31" s="3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16" customWidth="1"/>
    <col min="3" max="3" width="14" customWidth="1"/>
  </cols>
  <sheetData>
    <row r="1" spans="1:3" x14ac:dyDescent="0.25">
      <c r="A1" s="7" t="s">
        <v>22</v>
      </c>
      <c r="B1" s="7" t="s">
        <v>36</v>
      </c>
      <c r="C1" s="7" t="s">
        <v>37</v>
      </c>
    </row>
    <row r="2" spans="1:3" x14ac:dyDescent="0.25">
      <c r="A2" s="3" t="s">
        <v>38</v>
      </c>
      <c r="B2" s="3" t="s">
        <v>29</v>
      </c>
      <c r="C2" s="3" t="s">
        <v>29</v>
      </c>
    </row>
    <row r="3" spans="1:3" x14ac:dyDescent="0.25">
      <c r="A3" s="3" t="s">
        <v>39</v>
      </c>
      <c r="B3" s="3" t="s">
        <v>40</v>
      </c>
      <c r="C3" s="3" t="s">
        <v>40</v>
      </c>
    </row>
    <row r="4" spans="1:3" x14ac:dyDescent="0.25">
      <c r="A4" s="3" t="s">
        <v>28</v>
      </c>
      <c r="B4" s="3" t="s">
        <v>41</v>
      </c>
    </row>
    <row r="5" spans="1:3" x14ac:dyDescent="0.25">
      <c r="A5" s="3" t="s">
        <v>41</v>
      </c>
    </row>
    <row r="6" spans="1:3" x14ac:dyDescent="0.25">
      <c r="A6" s="3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4" sqref="D4"/>
    </sheetView>
  </sheetViews>
  <sheetFormatPr baseColWidth="10" defaultColWidth="8.7109375" defaultRowHeight="15" outlineLevelRow="1" x14ac:dyDescent="0.25"/>
  <cols>
    <col min="1" max="1" width="8" customWidth="1"/>
    <col min="2" max="2" width="37.140625" bestFit="1" customWidth="1"/>
    <col min="3" max="3" width="26" customWidth="1"/>
    <col min="4" max="4" width="30" customWidth="1"/>
    <col min="5" max="5" width="44" customWidth="1"/>
    <col min="6" max="6" width="14" customWidth="1"/>
    <col min="7" max="7" width="8" customWidth="1"/>
    <col min="8" max="8" width="40" customWidth="1"/>
    <col min="9" max="10" width="13" customWidth="1"/>
    <col min="11" max="11" width="11" customWidth="1"/>
    <col min="12" max="12" width="12" customWidth="1"/>
    <col min="13" max="14" width="24" customWidth="1"/>
  </cols>
  <sheetData>
    <row r="1" spans="1:14" ht="16.5" x14ac:dyDescent="0.25">
      <c r="A1" s="8" t="s">
        <v>43</v>
      </c>
    </row>
    <row r="2" spans="1:14" x14ac:dyDescent="0.25">
      <c r="A2" s="9" t="s">
        <v>44</v>
      </c>
    </row>
    <row r="4" spans="1:14" ht="31.5" customHeight="1" x14ac:dyDescent="0.25">
      <c r="A4" s="10" t="s">
        <v>20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37</v>
      </c>
      <c r="L4" s="10" t="s">
        <v>54</v>
      </c>
      <c r="M4" s="10" t="s">
        <v>55</v>
      </c>
      <c r="N4" s="10" t="s">
        <v>56</v>
      </c>
    </row>
    <row r="5" spans="1:14" x14ac:dyDescent="0.25">
      <c r="A5" s="11" t="s">
        <v>57</v>
      </c>
      <c r="B5" s="11" t="s">
        <v>58</v>
      </c>
      <c r="C5" s="11" t="s">
        <v>59</v>
      </c>
      <c r="D5" s="11" t="s">
        <v>60</v>
      </c>
      <c r="E5" s="12" t="s">
        <v>61</v>
      </c>
      <c r="F5" s="11" t="s">
        <v>62</v>
      </c>
      <c r="G5" s="11"/>
      <c r="H5" s="12" t="s">
        <v>63</v>
      </c>
      <c r="I5" s="11"/>
      <c r="J5" s="11"/>
      <c r="K5" s="11" t="s">
        <v>29</v>
      </c>
      <c r="L5" s="11" t="s">
        <v>40</v>
      </c>
      <c r="M5" s="12"/>
      <c r="N5" s="11" t="s">
        <v>64</v>
      </c>
    </row>
    <row r="6" spans="1:14" outlineLevel="1" x14ac:dyDescent="0.25">
      <c r="A6" s="13" t="s">
        <v>65</v>
      </c>
      <c r="B6" s="13" t="s">
        <v>58</v>
      </c>
      <c r="C6" s="13" t="s">
        <v>59</v>
      </c>
      <c r="D6" s="13" t="s">
        <v>66</v>
      </c>
      <c r="E6" s="14" t="s">
        <v>67</v>
      </c>
      <c r="F6" s="13" t="s">
        <v>62</v>
      </c>
      <c r="G6" s="13"/>
      <c r="H6" s="14" t="s">
        <v>68</v>
      </c>
      <c r="I6" s="13"/>
      <c r="J6" s="13"/>
      <c r="K6" s="13" t="s">
        <v>29</v>
      </c>
      <c r="L6" s="13" t="s">
        <v>40</v>
      </c>
      <c r="M6" s="14"/>
      <c r="N6" s="13" t="s">
        <v>64</v>
      </c>
    </row>
    <row r="7" spans="1:14" ht="24" outlineLevel="1" x14ac:dyDescent="0.25">
      <c r="A7" s="13" t="s">
        <v>69</v>
      </c>
      <c r="B7" s="13" t="s">
        <v>58</v>
      </c>
      <c r="C7" s="13" t="s">
        <v>59</v>
      </c>
      <c r="D7" s="13" t="s">
        <v>70</v>
      </c>
      <c r="E7" s="14" t="s">
        <v>71</v>
      </c>
      <c r="F7" s="13" t="s">
        <v>72</v>
      </c>
      <c r="G7" s="13"/>
      <c r="H7" s="14" t="s">
        <v>73</v>
      </c>
      <c r="I7" s="13"/>
      <c r="J7" s="13"/>
      <c r="K7" s="13" t="s">
        <v>29</v>
      </c>
      <c r="L7" s="13" t="s">
        <v>29</v>
      </c>
      <c r="M7" s="14"/>
      <c r="N7" s="13" t="s">
        <v>74</v>
      </c>
    </row>
    <row r="8" spans="1:14" ht="24" outlineLevel="1" x14ac:dyDescent="0.25">
      <c r="A8" s="13" t="s">
        <v>75</v>
      </c>
      <c r="B8" s="13" t="s">
        <v>58</v>
      </c>
      <c r="C8" s="13" t="s">
        <v>76</v>
      </c>
      <c r="D8" s="13" t="s">
        <v>77</v>
      </c>
      <c r="E8" s="14" t="s">
        <v>78</v>
      </c>
      <c r="F8" s="13" t="s">
        <v>62</v>
      </c>
      <c r="G8" s="13"/>
      <c r="H8" s="14" t="s">
        <v>79</v>
      </c>
      <c r="I8" s="13"/>
      <c r="J8" s="13"/>
      <c r="K8" s="13" t="s">
        <v>29</v>
      </c>
      <c r="L8" s="13" t="s">
        <v>29</v>
      </c>
      <c r="M8" s="14"/>
      <c r="N8" s="13" t="s">
        <v>80</v>
      </c>
    </row>
    <row r="9" spans="1:14" ht="24" outlineLevel="1" x14ac:dyDescent="0.25">
      <c r="A9" s="13" t="s">
        <v>81</v>
      </c>
      <c r="B9" s="13" t="s">
        <v>58</v>
      </c>
      <c r="C9" s="13" t="s">
        <v>76</v>
      </c>
      <c r="D9" s="13" t="s">
        <v>82</v>
      </c>
      <c r="E9" s="14" t="s">
        <v>83</v>
      </c>
      <c r="F9" s="13" t="s">
        <v>62</v>
      </c>
      <c r="G9" s="13"/>
      <c r="H9" s="14" t="s">
        <v>84</v>
      </c>
      <c r="I9" s="13"/>
      <c r="J9" s="13"/>
      <c r="K9" s="13" t="s">
        <v>29</v>
      </c>
      <c r="L9" s="13" t="s">
        <v>29</v>
      </c>
      <c r="M9" s="14"/>
      <c r="N9" s="13" t="s">
        <v>80</v>
      </c>
    </row>
    <row r="10" spans="1:14" ht="24" outlineLevel="1" x14ac:dyDescent="0.25">
      <c r="A10" s="13" t="s">
        <v>85</v>
      </c>
      <c r="B10" s="13" t="s">
        <v>58</v>
      </c>
      <c r="C10" s="13" t="s">
        <v>76</v>
      </c>
      <c r="D10" s="13" t="s">
        <v>86</v>
      </c>
      <c r="E10" s="14" t="s">
        <v>87</v>
      </c>
      <c r="F10" s="13" t="s">
        <v>72</v>
      </c>
      <c r="G10" s="13"/>
      <c r="H10" s="14" t="s">
        <v>88</v>
      </c>
      <c r="I10" s="13"/>
      <c r="J10" s="13"/>
      <c r="K10" s="13" t="s">
        <v>29</v>
      </c>
      <c r="L10" s="13" t="s">
        <v>29</v>
      </c>
      <c r="M10" s="14"/>
      <c r="N10" s="13" t="s">
        <v>80</v>
      </c>
    </row>
    <row r="11" spans="1:14" outlineLevel="1" x14ac:dyDescent="0.25">
      <c r="A11" s="13" t="s">
        <v>89</v>
      </c>
      <c r="B11" s="13" t="s">
        <v>58</v>
      </c>
      <c r="C11" s="13" t="s">
        <v>90</v>
      </c>
      <c r="D11" s="13" t="s">
        <v>91</v>
      </c>
      <c r="E11" s="14" t="s">
        <v>92</v>
      </c>
      <c r="F11" s="13" t="s">
        <v>93</v>
      </c>
      <c r="G11" s="13"/>
      <c r="H11" s="14" t="s">
        <v>94</v>
      </c>
      <c r="I11" s="13"/>
      <c r="J11" s="13"/>
      <c r="K11" s="13" t="s">
        <v>29</v>
      </c>
      <c r="L11" s="13" t="s">
        <v>40</v>
      </c>
      <c r="M11" s="14" t="s">
        <v>95</v>
      </c>
      <c r="N11" s="13" t="s">
        <v>64</v>
      </c>
    </row>
    <row r="12" spans="1:14" outlineLevel="1" x14ac:dyDescent="0.25">
      <c r="A12" s="13" t="s">
        <v>96</v>
      </c>
      <c r="B12" s="13" t="s">
        <v>58</v>
      </c>
      <c r="C12" s="13" t="s">
        <v>90</v>
      </c>
      <c r="D12" s="13" t="s">
        <v>97</v>
      </c>
      <c r="E12" s="14" t="s">
        <v>98</v>
      </c>
      <c r="F12" s="13" t="s">
        <v>62</v>
      </c>
      <c r="G12" s="13"/>
      <c r="H12" s="14" t="s">
        <v>99</v>
      </c>
      <c r="I12" s="13"/>
      <c r="J12" s="13"/>
      <c r="K12" s="13" t="s">
        <v>40</v>
      </c>
      <c r="L12" s="13" t="s">
        <v>40</v>
      </c>
      <c r="M12" s="14"/>
      <c r="N12" s="13" t="s">
        <v>80</v>
      </c>
    </row>
    <row r="13" spans="1:14" x14ac:dyDescent="0.25">
      <c r="A13" s="11" t="s">
        <v>100</v>
      </c>
      <c r="B13" s="11" t="s">
        <v>101</v>
      </c>
      <c r="C13" s="11" t="s">
        <v>102</v>
      </c>
      <c r="D13" s="11" t="s">
        <v>103</v>
      </c>
      <c r="E13" s="12" t="s">
        <v>104</v>
      </c>
      <c r="F13" s="11" t="s">
        <v>105</v>
      </c>
      <c r="G13" s="11"/>
      <c r="H13" s="12" t="s">
        <v>106</v>
      </c>
      <c r="I13" s="11"/>
      <c r="J13" s="11"/>
      <c r="K13" s="11" t="s">
        <v>29</v>
      </c>
      <c r="L13" s="11" t="s">
        <v>29</v>
      </c>
      <c r="M13" s="12"/>
      <c r="N13" s="11" t="s">
        <v>107</v>
      </c>
    </row>
    <row r="14" spans="1:14" ht="24" outlineLevel="1" x14ac:dyDescent="0.25">
      <c r="A14" s="13" t="s">
        <v>108</v>
      </c>
      <c r="B14" s="13" t="s">
        <v>101</v>
      </c>
      <c r="C14" s="13" t="s">
        <v>102</v>
      </c>
      <c r="D14" s="13" t="s">
        <v>109</v>
      </c>
      <c r="E14" s="14" t="s">
        <v>110</v>
      </c>
      <c r="F14" s="13" t="s">
        <v>111</v>
      </c>
      <c r="G14" s="13"/>
      <c r="H14" s="14" t="s">
        <v>112</v>
      </c>
      <c r="I14" s="13"/>
      <c r="J14" s="13"/>
      <c r="K14" s="13" t="s">
        <v>29</v>
      </c>
      <c r="L14" s="13" t="s">
        <v>29</v>
      </c>
      <c r="M14" s="14" t="s">
        <v>113</v>
      </c>
      <c r="N14" s="13" t="s">
        <v>107</v>
      </c>
    </row>
    <row r="15" spans="1:14" ht="24" outlineLevel="1" x14ac:dyDescent="0.25">
      <c r="A15" s="13" t="s">
        <v>114</v>
      </c>
      <c r="B15" s="13" t="s">
        <v>101</v>
      </c>
      <c r="C15" s="13" t="s">
        <v>102</v>
      </c>
      <c r="D15" s="13" t="s">
        <v>115</v>
      </c>
      <c r="E15" s="14" t="s">
        <v>116</v>
      </c>
      <c r="F15" s="13" t="s">
        <v>105</v>
      </c>
      <c r="G15" s="13"/>
      <c r="H15" s="14" t="s">
        <v>117</v>
      </c>
      <c r="I15" s="13"/>
      <c r="J15" s="13"/>
      <c r="K15" s="13" t="s">
        <v>29</v>
      </c>
      <c r="L15" s="13" t="s">
        <v>40</v>
      </c>
      <c r="M15" s="14"/>
      <c r="N15" s="13" t="s">
        <v>107</v>
      </c>
    </row>
    <row r="16" spans="1:14" outlineLevel="1" x14ac:dyDescent="0.25">
      <c r="A16" s="13" t="s">
        <v>118</v>
      </c>
      <c r="B16" s="13" t="s">
        <v>101</v>
      </c>
      <c r="C16" s="13" t="s">
        <v>119</v>
      </c>
      <c r="D16" s="13" t="s">
        <v>120</v>
      </c>
      <c r="E16" s="14" t="s">
        <v>121</v>
      </c>
      <c r="F16" s="13" t="s">
        <v>105</v>
      </c>
      <c r="G16" s="13"/>
      <c r="H16" s="14" t="s">
        <v>122</v>
      </c>
      <c r="I16" s="13"/>
      <c r="J16" s="13"/>
      <c r="K16" s="13" t="s">
        <v>29</v>
      </c>
      <c r="L16" s="13" t="s">
        <v>29</v>
      </c>
      <c r="M16" s="14" t="s">
        <v>123</v>
      </c>
      <c r="N16" s="13" t="s">
        <v>64</v>
      </c>
    </row>
    <row r="17" spans="1:14" outlineLevel="1" x14ac:dyDescent="0.25">
      <c r="A17" s="13" t="s">
        <v>124</v>
      </c>
      <c r="B17" s="13" t="s">
        <v>101</v>
      </c>
      <c r="C17" s="13" t="s">
        <v>119</v>
      </c>
      <c r="D17" s="13" t="s">
        <v>125</v>
      </c>
      <c r="E17" s="14" t="s">
        <v>126</v>
      </c>
      <c r="F17" s="13" t="s">
        <v>105</v>
      </c>
      <c r="G17" s="13"/>
      <c r="H17" s="14" t="s">
        <v>127</v>
      </c>
      <c r="I17" s="13"/>
      <c r="J17" s="13"/>
      <c r="K17" s="13" t="s">
        <v>29</v>
      </c>
      <c r="L17" s="13" t="s">
        <v>40</v>
      </c>
      <c r="M17" s="14"/>
      <c r="N17" s="13" t="s">
        <v>64</v>
      </c>
    </row>
    <row r="18" spans="1:14" ht="24" outlineLevel="1" x14ac:dyDescent="0.25">
      <c r="A18" s="13" t="s">
        <v>128</v>
      </c>
      <c r="B18" s="13" t="s">
        <v>101</v>
      </c>
      <c r="C18" s="13" t="s">
        <v>119</v>
      </c>
      <c r="D18" s="13" t="s">
        <v>129</v>
      </c>
      <c r="E18" s="14" t="s">
        <v>130</v>
      </c>
      <c r="F18" s="13" t="s">
        <v>105</v>
      </c>
      <c r="G18" s="13"/>
      <c r="H18" s="14" t="s">
        <v>131</v>
      </c>
      <c r="I18" s="13"/>
      <c r="J18" s="13"/>
      <c r="K18" s="13" t="s">
        <v>29</v>
      </c>
      <c r="L18" s="13" t="s">
        <v>29</v>
      </c>
      <c r="M18" s="14" t="s">
        <v>123</v>
      </c>
      <c r="N18" s="13" t="s">
        <v>64</v>
      </c>
    </row>
    <row r="19" spans="1:14" ht="24" outlineLevel="1" x14ac:dyDescent="0.25">
      <c r="A19" s="13" t="s">
        <v>132</v>
      </c>
      <c r="B19" s="13" t="s">
        <v>101</v>
      </c>
      <c r="C19" s="13" t="s">
        <v>119</v>
      </c>
      <c r="D19" s="13" t="s">
        <v>133</v>
      </c>
      <c r="E19" s="14" t="s">
        <v>134</v>
      </c>
      <c r="F19" s="13" t="s">
        <v>105</v>
      </c>
      <c r="G19" s="13"/>
      <c r="H19" s="14" t="s">
        <v>135</v>
      </c>
      <c r="I19" s="13"/>
      <c r="J19" s="13"/>
      <c r="K19" s="13" t="s">
        <v>29</v>
      </c>
      <c r="L19" s="13" t="s">
        <v>29</v>
      </c>
      <c r="M19" s="14" t="s">
        <v>136</v>
      </c>
      <c r="N19" s="13" t="s">
        <v>107</v>
      </c>
    </row>
    <row r="20" spans="1:14" ht="24" outlineLevel="1" x14ac:dyDescent="0.25">
      <c r="A20" s="13" t="s">
        <v>137</v>
      </c>
      <c r="B20" s="13" t="s">
        <v>101</v>
      </c>
      <c r="C20" s="13" t="s">
        <v>119</v>
      </c>
      <c r="D20" s="13" t="s">
        <v>138</v>
      </c>
      <c r="E20" s="14" t="s">
        <v>139</v>
      </c>
      <c r="F20" s="13" t="s">
        <v>105</v>
      </c>
      <c r="G20" s="13"/>
      <c r="H20" s="14" t="s">
        <v>140</v>
      </c>
      <c r="I20" s="13"/>
      <c r="J20" s="13"/>
      <c r="K20" s="13" t="s">
        <v>29</v>
      </c>
      <c r="L20" s="13" t="s">
        <v>29</v>
      </c>
      <c r="M20" s="14" t="s">
        <v>141</v>
      </c>
      <c r="N20" s="13" t="s">
        <v>74</v>
      </c>
    </row>
    <row r="21" spans="1:14" ht="24" outlineLevel="1" x14ac:dyDescent="0.25">
      <c r="A21" s="13" t="s">
        <v>142</v>
      </c>
      <c r="B21" s="13" t="s">
        <v>101</v>
      </c>
      <c r="C21" s="13" t="s">
        <v>143</v>
      </c>
      <c r="D21" s="13" t="s">
        <v>144</v>
      </c>
      <c r="E21" s="14" t="s">
        <v>145</v>
      </c>
      <c r="F21" s="13" t="s">
        <v>111</v>
      </c>
      <c r="G21" s="13"/>
      <c r="H21" s="14" t="s">
        <v>146</v>
      </c>
      <c r="I21" s="13"/>
      <c r="J21" s="13"/>
      <c r="K21" s="13" t="s">
        <v>29</v>
      </c>
      <c r="L21" s="13" t="s">
        <v>29</v>
      </c>
      <c r="M21" s="14" t="s">
        <v>147</v>
      </c>
      <c r="N21" s="13" t="s">
        <v>107</v>
      </c>
    </row>
    <row r="22" spans="1:14" ht="24" outlineLevel="1" x14ac:dyDescent="0.25">
      <c r="A22" s="13" t="s">
        <v>148</v>
      </c>
      <c r="B22" s="13" t="s">
        <v>101</v>
      </c>
      <c r="C22" s="13" t="s">
        <v>143</v>
      </c>
      <c r="D22" s="13" t="s">
        <v>149</v>
      </c>
      <c r="E22" s="14" t="s">
        <v>150</v>
      </c>
      <c r="F22" s="13" t="s">
        <v>105</v>
      </c>
      <c r="G22" s="13"/>
      <c r="H22" s="14" t="s">
        <v>151</v>
      </c>
      <c r="I22" s="13"/>
      <c r="J22" s="13"/>
      <c r="K22" s="13" t="s">
        <v>29</v>
      </c>
      <c r="L22" s="13" t="s">
        <v>29</v>
      </c>
      <c r="M22" s="14"/>
      <c r="N22" s="13" t="s">
        <v>107</v>
      </c>
    </row>
    <row r="23" spans="1:14" ht="24" outlineLevel="1" x14ac:dyDescent="0.25">
      <c r="A23" s="13" t="s">
        <v>152</v>
      </c>
      <c r="B23" s="13" t="s">
        <v>101</v>
      </c>
      <c r="C23" s="13" t="s">
        <v>143</v>
      </c>
      <c r="D23" s="13" t="s">
        <v>153</v>
      </c>
      <c r="E23" s="14" t="s">
        <v>154</v>
      </c>
      <c r="F23" s="13" t="s">
        <v>62</v>
      </c>
      <c r="G23" s="13"/>
      <c r="H23" s="14" t="s">
        <v>155</v>
      </c>
      <c r="I23" s="13"/>
      <c r="J23" s="13"/>
      <c r="K23" s="13" t="s">
        <v>29</v>
      </c>
      <c r="L23" s="13" t="s">
        <v>29</v>
      </c>
      <c r="M23" s="14"/>
      <c r="N23" s="13" t="s">
        <v>107</v>
      </c>
    </row>
    <row r="24" spans="1:14" outlineLevel="1" x14ac:dyDescent="0.25">
      <c r="A24" s="13" t="s">
        <v>156</v>
      </c>
      <c r="B24" s="13" t="s">
        <v>101</v>
      </c>
      <c r="C24" s="13" t="s">
        <v>157</v>
      </c>
      <c r="D24" s="13" t="s">
        <v>158</v>
      </c>
      <c r="E24" s="14" t="s">
        <v>159</v>
      </c>
      <c r="F24" s="13" t="s">
        <v>105</v>
      </c>
      <c r="G24" s="13"/>
      <c r="H24" s="14" t="s">
        <v>160</v>
      </c>
      <c r="I24" s="13"/>
      <c r="J24" s="13"/>
      <c r="K24" s="13" t="s">
        <v>29</v>
      </c>
      <c r="L24" s="13" t="s">
        <v>29</v>
      </c>
      <c r="M24" s="14"/>
      <c r="N24" s="13" t="s">
        <v>64</v>
      </c>
    </row>
    <row r="25" spans="1:14" outlineLevel="1" x14ac:dyDescent="0.25">
      <c r="A25" s="13" t="s">
        <v>161</v>
      </c>
      <c r="B25" s="13" t="s">
        <v>101</v>
      </c>
      <c r="C25" s="13" t="s">
        <v>157</v>
      </c>
      <c r="D25" s="13" t="s">
        <v>162</v>
      </c>
      <c r="E25" s="14" t="s">
        <v>163</v>
      </c>
      <c r="F25" s="13" t="s">
        <v>105</v>
      </c>
      <c r="G25" s="13"/>
      <c r="H25" s="14" t="s">
        <v>164</v>
      </c>
      <c r="I25" s="13"/>
      <c r="J25" s="13"/>
      <c r="K25" s="13" t="s">
        <v>29</v>
      </c>
      <c r="L25" s="13" t="s">
        <v>40</v>
      </c>
      <c r="M25" s="14"/>
      <c r="N25" s="13" t="s">
        <v>64</v>
      </c>
    </row>
    <row r="26" spans="1:14" outlineLevel="1" x14ac:dyDescent="0.25">
      <c r="A26" s="13" t="s">
        <v>165</v>
      </c>
      <c r="B26" s="13" t="s">
        <v>101</v>
      </c>
      <c r="C26" s="13" t="s">
        <v>157</v>
      </c>
      <c r="D26" s="13" t="s">
        <v>166</v>
      </c>
      <c r="E26" s="14" t="s">
        <v>167</v>
      </c>
      <c r="F26" s="13" t="s">
        <v>105</v>
      </c>
      <c r="G26" s="13"/>
      <c r="H26" s="14" t="s">
        <v>168</v>
      </c>
      <c r="I26" s="13"/>
      <c r="J26" s="13"/>
      <c r="K26" s="13" t="s">
        <v>29</v>
      </c>
      <c r="L26" s="13" t="s">
        <v>29</v>
      </c>
      <c r="M26" s="14"/>
      <c r="N26" s="13" t="s">
        <v>64</v>
      </c>
    </row>
    <row r="27" spans="1:14" ht="36" x14ac:dyDescent="0.25">
      <c r="A27" s="11" t="s">
        <v>26</v>
      </c>
      <c r="B27" s="11" t="s">
        <v>169</v>
      </c>
      <c r="C27" s="11" t="s">
        <v>170</v>
      </c>
      <c r="D27" s="11" t="s">
        <v>27</v>
      </c>
      <c r="E27" s="12" t="s">
        <v>171</v>
      </c>
      <c r="F27" s="11" t="s">
        <v>172</v>
      </c>
      <c r="G27" s="11" t="s">
        <v>173</v>
      </c>
      <c r="H27" s="12" t="s">
        <v>174</v>
      </c>
      <c r="I27" s="11">
        <v>1.8</v>
      </c>
      <c r="J27" s="11">
        <v>2.4500000000000002</v>
      </c>
      <c r="K27" s="11" t="s">
        <v>29</v>
      </c>
      <c r="L27" s="11" t="s">
        <v>40</v>
      </c>
      <c r="M27" s="12" t="s">
        <v>175</v>
      </c>
      <c r="N27" s="11" t="s">
        <v>176</v>
      </c>
    </row>
    <row r="28" spans="1:14" ht="24" outlineLevel="1" x14ac:dyDescent="0.25">
      <c r="A28" s="13" t="s">
        <v>177</v>
      </c>
      <c r="B28" s="13" t="s">
        <v>169</v>
      </c>
      <c r="C28" s="13" t="s">
        <v>170</v>
      </c>
      <c r="D28" s="13" t="s">
        <v>178</v>
      </c>
      <c r="E28" s="14" t="s">
        <v>179</v>
      </c>
      <c r="F28" s="13" t="s">
        <v>105</v>
      </c>
      <c r="G28" s="13"/>
      <c r="H28" s="14" t="s">
        <v>180</v>
      </c>
      <c r="I28" s="13"/>
      <c r="J28" s="13"/>
      <c r="K28" s="13" t="s">
        <v>29</v>
      </c>
      <c r="L28" s="13" t="s">
        <v>29</v>
      </c>
      <c r="M28" s="14" t="s">
        <v>175</v>
      </c>
      <c r="N28" s="13" t="s">
        <v>107</v>
      </c>
    </row>
    <row r="29" spans="1:14" ht="24" outlineLevel="1" x14ac:dyDescent="0.25">
      <c r="A29" s="13" t="s">
        <v>181</v>
      </c>
      <c r="B29" s="13" t="s">
        <v>169</v>
      </c>
      <c r="C29" s="13" t="s">
        <v>170</v>
      </c>
      <c r="D29" s="13" t="s">
        <v>182</v>
      </c>
      <c r="E29" s="14" t="s">
        <v>183</v>
      </c>
      <c r="F29" s="13" t="s">
        <v>105</v>
      </c>
      <c r="G29" s="13"/>
      <c r="H29" s="14" t="s">
        <v>184</v>
      </c>
      <c r="I29" s="13"/>
      <c r="J29" s="13"/>
      <c r="K29" s="13" t="s">
        <v>29</v>
      </c>
      <c r="L29" s="13" t="s">
        <v>29</v>
      </c>
      <c r="M29" s="14" t="s">
        <v>185</v>
      </c>
      <c r="N29" s="13" t="s">
        <v>176</v>
      </c>
    </row>
    <row r="30" spans="1:14" outlineLevel="1" x14ac:dyDescent="0.25">
      <c r="A30" s="13" t="s">
        <v>186</v>
      </c>
      <c r="B30" s="13" t="s">
        <v>169</v>
      </c>
      <c r="C30" s="13" t="s">
        <v>170</v>
      </c>
      <c r="D30" s="13" t="s">
        <v>187</v>
      </c>
      <c r="E30" s="14" t="s">
        <v>188</v>
      </c>
      <c r="F30" s="13" t="s">
        <v>105</v>
      </c>
      <c r="G30" s="13"/>
      <c r="H30" s="14" t="s">
        <v>189</v>
      </c>
      <c r="I30" s="13"/>
      <c r="J30" s="13"/>
      <c r="K30" s="13" t="s">
        <v>40</v>
      </c>
      <c r="L30" s="13" t="s">
        <v>40</v>
      </c>
      <c r="M30" s="14"/>
      <c r="N30" s="13" t="s">
        <v>190</v>
      </c>
    </row>
    <row r="31" spans="1:14" ht="24" outlineLevel="1" x14ac:dyDescent="0.25">
      <c r="A31" s="13" t="s">
        <v>191</v>
      </c>
      <c r="B31" s="13" t="s">
        <v>169</v>
      </c>
      <c r="C31" s="13" t="s">
        <v>192</v>
      </c>
      <c r="D31" s="13" t="s">
        <v>193</v>
      </c>
      <c r="E31" s="14" t="s">
        <v>194</v>
      </c>
      <c r="F31" s="13" t="s">
        <v>105</v>
      </c>
      <c r="G31" s="13"/>
      <c r="H31" s="14" t="s">
        <v>195</v>
      </c>
      <c r="I31" s="13"/>
      <c r="J31" s="13"/>
      <c r="K31" s="13" t="s">
        <v>29</v>
      </c>
      <c r="L31" s="13" t="s">
        <v>29</v>
      </c>
      <c r="M31" s="14" t="s">
        <v>196</v>
      </c>
      <c r="N31" s="13" t="s">
        <v>80</v>
      </c>
    </row>
    <row r="32" spans="1:14" outlineLevel="1" x14ac:dyDescent="0.25">
      <c r="A32" s="13" t="s">
        <v>197</v>
      </c>
      <c r="B32" s="13" t="s">
        <v>169</v>
      </c>
      <c r="C32" s="13" t="s">
        <v>192</v>
      </c>
      <c r="D32" s="13" t="s">
        <v>198</v>
      </c>
      <c r="E32" s="14" t="s">
        <v>199</v>
      </c>
      <c r="F32" s="13" t="s">
        <v>172</v>
      </c>
      <c r="G32" s="13" t="s">
        <v>200</v>
      </c>
      <c r="H32" s="14" t="s">
        <v>201</v>
      </c>
      <c r="I32" s="15" t="s">
        <v>202</v>
      </c>
      <c r="J32" s="15" t="s">
        <v>202</v>
      </c>
      <c r="K32" s="13" t="s">
        <v>29</v>
      </c>
      <c r="L32" s="13" t="s">
        <v>40</v>
      </c>
      <c r="M32" s="14"/>
      <c r="N32" s="13" t="s">
        <v>80</v>
      </c>
    </row>
    <row r="33" spans="1:14" outlineLevel="1" x14ac:dyDescent="0.25">
      <c r="A33" s="13" t="s">
        <v>203</v>
      </c>
      <c r="B33" s="13" t="s">
        <v>169</v>
      </c>
      <c r="C33" s="13" t="s">
        <v>204</v>
      </c>
      <c r="D33" s="13" t="s">
        <v>205</v>
      </c>
      <c r="E33" s="14" t="s">
        <v>206</v>
      </c>
      <c r="F33" s="13" t="s">
        <v>105</v>
      </c>
      <c r="G33" s="13"/>
      <c r="H33" s="14" t="s">
        <v>127</v>
      </c>
      <c r="I33" s="13"/>
      <c r="J33" s="13"/>
      <c r="K33" s="13" t="s">
        <v>29</v>
      </c>
      <c r="L33" s="13" t="s">
        <v>40</v>
      </c>
      <c r="M33" s="14"/>
      <c r="N33" s="13" t="s">
        <v>207</v>
      </c>
    </row>
    <row r="34" spans="1:14" ht="24" outlineLevel="1" x14ac:dyDescent="0.25">
      <c r="A34" s="13" t="s">
        <v>208</v>
      </c>
      <c r="B34" s="13" t="s">
        <v>169</v>
      </c>
      <c r="C34" s="13" t="s">
        <v>204</v>
      </c>
      <c r="D34" s="13" t="s">
        <v>209</v>
      </c>
      <c r="E34" s="14" t="s">
        <v>210</v>
      </c>
      <c r="F34" s="13" t="s">
        <v>105</v>
      </c>
      <c r="G34" s="13"/>
      <c r="H34" s="14" t="s">
        <v>184</v>
      </c>
      <c r="I34" s="13"/>
      <c r="J34" s="13"/>
      <c r="K34" s="13" t="s">
        <v>29</v>
      </c>
      <c r="L34" s="13" t="s">
        <v>29</v>
      </c>
      <c r="M34" s="14" t="s">
        <v>211</v>
      </c>
      <c r="N34" s="13" t="s">
        <v>64</v>
      </c>
    </row>
    <row r="35" spans="1:14" outlineLevel="1" x14ac:dyDescent="0.25">
      <c r="A35" s="13" t="s">
        <v>212</v>
      </c>
      <c r="B35" s="13" t="s">
        <v>169</v>
      </c>
      <c r="C35" s="13" t="s">
        <v>204</v>
      </c>
      <c r="D35" s="13" t="s">
        <v>213</v>
      </c>
      <c r="E35" s="14" t="s">
        <v>214</v>
      </c>
      <c r="F35" s="13" t="s">
        <v>62</v>
      </c>
      <c r="G35" s="13"/>
      <c r="H35" s="14" t="s">
        <v>215</v>
      </c>
      <c r="I35" s="13"/>
      <c r="J35" s="13"/>
      <c r="K35" s="13" t="s">
        <v>29</v>
      </c>
      <c r="L35" s="13" t="s">
        <v>29</v>
      </c>
      <c r="M35" s="14"/>
      <c r="N35" s="13" t="s">
        <v>74</v>
      </c>
    </row>
    <row r="36" spans="1:14" ht="24" x14ac:dyDescent="0.25">
      <c r="A36" s="11" t="s">
        <v>216</v>
      </c>
      <c r="B36" s="11" t="s">
        <v>217</v>
      </c>
      <c r="C36" s="11" t="s">
        <v>218</v>
      </c>
      <c r="D36" s="11" t="s">
        <v>219</v>
      </c>
      <c r="E36" s="12" t="s">
        <v>220</v>
      </c>
      <c r="F36" s="11" t="s">
        <v>62</v>
      </c>
      <c r="G36" s="11"/>
      <c r="H36" s="12" t="s">
        <v>221</v>
      </c>
      <c r="I36" s="11"/>
      <c r="J36" s="11"/>
      <c r="K36" s="11" t="s">
        <v>29</v>
      </c>
      <c r="L36" s="11" t="s">
        <v>29</v>
      </c>
      <c r="M36" s="12"/>
      <c r="N36" s="11" t="s">
        <v>207</v>
      </c>
    </row>
    <row r="37" spans="1:14" ht="24" outlineLevel="1" x14ac:dyDescent="0.25">
      <c r="A37" s="13" t="s">
        <v>222</v>
      </c>
      <c r="B37" s="13" t="s">
        <v>217</v>
      </c>
      <c r="C37" s="13" t="s">
        <v>218</v>
      </c>
      <c r="D37" s="13" t="s">
        <v>223</v>
      </c>
      <c r="E37" s="14" t="s">
        <v>224</v>
      </c>
      <c r="F37" s="13" t="s">
        <v>62</v>
      </c>
      <c r="G37" s="13"/>
      <c r="H37" s="14" t="s">
        <v>225</v>
      </c>
      <c r="I37" s="13"/>
      <c r="J37" s="13"/>
      <c r="K37" s="13" t="s">
        <v>29</v>
      </c>
      <c r="L37" s="13" t="s">
        <v>29</v>
      </c>
      <c r="M37" s="14"/>
      <c r="N37" s="13" t="s">
        <v>207</v>
      </c>
    </row>
    <row r="38" spans="1:14" ht="24" outlineLevel="1" x14ac:dyDescent="0.25">
      <c r="A38" s="13" t="s">
        <v>226</v>
      </c>
      <c r="B38" s="13" t="s">
        <v>217</v>
      </c>
      <c r="C38" s="13" t="s">
        <v>218</v>
      </c>
      <c r="D38" s="13" t="s">
        <v>227</v>
      </c>
      <c r="E38" s="14" t="s">
        <v>228</v>
      </c>
      <c r="F38" s="13" t="s">
        <v>105</v>
      </c>
      <c r="G38" s="13"/>
      <c r="H38" s="14" t="s">
        <v>229</v>
      </c>
      <c r="I38" s="13"/>
      <c r="J38" s="13"/>
      <c r="K38" s="13" t="s">
        <v>29</v>
      </c>
      <c r="L38" s="13" t="s">
        <v>29</v>
      </c>
      <c r="M38" s="14"/>
      <c r="N38" s="13" t="s">
        <v>176</v>
      </c>
    </row>
    <row r="39" spans="1:14" outlineLevel="1" x14ac:dyDescent="0.25">
      <c r="A39" s="13" t="s">
        <v>230</v>
      </c>
      <c r="B39" s="13" t="s">
        <v>217</v>
      </c>
      <c r="C39" s="13" t="s">
        <v>231</v>
      </c>
      <c r="D39" s="13" t="s">
        <v>232</v>
      </c>
      <c r="E39" s="14" t="s">
        <v>233</v>
      </c>
      <c r="F39" s="13" t="s">
        <v>105</v>
      </c>
      <c r="G39" s="13"/>
      <c r="H39" s="14" t="s">
        <v>234</v>
      </c>
      <c r="I39" s="13"/>
      <c r="J39" s="13"/>
      <c r="K39" s="13" t="s">
        <v>29</v>
      </c>
      <c r="L39" s="13" t="s">
        <v>29</v>
      </c>
      <c r="M39" s="14" t="s">
        <v>235</v>
      </c>
      <c r="N39" s="13" t="s">
        <v>107</v>
      </c>
    </row>
    <row r="40" spans="1:14" ht="24" outlineLevel="1" x14ac:dyDescent="0.25">
      <c r="A40" s="13" t="s">
        <v>236</v>
      </c>
      <c r="B40" s="13" t="s">
        <v>217</v>
      </c>
      <c r="C40" s="13" t="s">
        <v>231</v>
      </c>
      <c r="D40" s="13" t="s">
        <v>237</v>
      </c>
      <c r="E40" s="14" t="s">
        <v>238</v>
      </c>
      <c r="F40" s="13" t="s">
        <v>62</v>
      </c>
      <c r="G40" s="13"/>
      <c r="H40" s="14" t="s">
        <v>239</v>
      </c>
      <c r="I40" s="13"/>
      <c r="J40" s="13"/>
      <c r="K40" s="13" t="s">
        <v>29</v>
      </c>
      <c r="L40" s="13" t="s">
        <v>29</v>
      </c>
      <c r="M40" s="14"/>
      <c r="N40" s="13" t="s">
        <v>240</v>
      </c>
    </row>
    <row r="41" spans="1:14" outlineLevel="1" x14ac:dyDescent="0.25">
      <c r="A41" s="13" t="s">
        <v>241</v>
      </c>
      <c r="B41" s="13" t="s">
        <v>217</v>
      </c>
      <c r="C41" s="13" t="s">
        <v>231</v>
      </c>
      <c r="D41" s="13" t="s">
        <v>242</v>
      </c>
      <c r="E41" s="14" t="s">
        <v>243</v>
      </c>
      <c r="F41" s="13" t="s">
        <v>105</v>
      </c>
      <c r="G41" s="13"/>
      <c r="H41" s="14" t="s">
        <v>244</v>
      </c>
      <c r="I41" s="13"/>
      <c r="J41" s="13"/>
      <c r="K41" s="13" t="s">
        <v>29</v>
      </c>
      <c r="L41" s="13" t="s">
        <v>29</v>
      </c>
      <c r="M41" s="14" t="s">
        <v>141</v>
      </c>
      <c r="N41" s="13" t="s">
        <v>207</v>
      </c>
    </row>
    <row r="42" spans="1:14" ht="24" outlineLevel="1" x14ac:dyDescent="0.25">
      <c r="A42" s="13" t="s">
        <v>245</v>
      </c>
      <c r="B42" s="13" t="s">
        <v>217</v>
      </c>
      <c r="C42" s="13" t="s">
        <v>246</v>
      </c>
      <c r="D42" s="13" t="s">
        <v>247</v>
      </c>
      <c r="E42" s="14" t="s">
        <v>248</v>
      </c>
      <c r="F42" s="13" t="s">
        <v>172</v>
      </c>
      <c r="G42" s="13" t="s">
        <v>249</v>
      </c>
      <c r="H42" s="14" t="s">
        <v>250</v>
      </c>
      <c r="I42" s="15" t="s">
        <v>202</v>
      </c>
      <c r="J42" s="15" t="s">
        <v>202</v>
      </c>
      <c r="K42" s="13" t="s">
        <v>29</v>
      </c>
      <c r="L42" s="13" t="s">
        <v>29</v>
      </c>
      <c r="M42" s="14" t="s">
        <v>251</v>
      </c>
      <c r="N42" s="13" t="s">
        <v>176</v>
      </c>
    </row>
    <row r="43" spans="1:14" ht="24" outlineLevel="1" x14ac:dyDescent="0.25">
      <c r="A43" s="13" t="s">
        <v>252</v>
      </c>
      <c r="B43" s="13" t="s">
        <v>217</v>
      </c>
      <c r="C43" s="13" t="s">
        <v>246</v>
      </c>
      <c r="D43" s="13" t="s">
        <v>253</v>
      </c>
      <c r="E43" s="14" t="s">
        <v>254</v>
      </c>
      <c r="F43" s="13" t="s">
        <v>105</v>
      </c>
      <c r="G43" s="13"/>
      <c r="H43" s="14" t="s">
        <v>255</v>
      </c>
      <c r="I43" s="13"/>
      <c r="J43" s="13"/>
      <c r="K43" s="13" t="s">
        <v>29</v>
      </c>
      <c r="L43" s="13" t="s">
        <v>29</v>
      </c>
      <c r="M43" s="14"/>
      <c r="N43" s="13" t="s">
        <v>240</v>
      </c>
    </row>
    <row r="44" spans="1:14" ht="24" outlineLevel="1" x14ac:dyDescent="0.25">
      <c r="A44" s="13" t="s">
        <v>256</v>
      </c>
      <c r="B44" s="13" t="s">
        <v>217</v>
      </c>
      <c r="C44" s="13" t="s">
        <v>246</v>
      </c>
      <c r="D44" s="13" t="s">
        <v>257</v>
      </c>
      <c r="E44" s="14" t="s">
        <v>258</v>
      </c>
      <c r="F44" s="13" t="s">
        <v>105</v>
      </c>
      <c r="G44" s="13"/>
      <c r="H44" s="14" t="s">
        <v>259</v>
      </c>
      <c r="I44" s="13"/>
      <c r="J44" s="13"/>
      <c r="K44" s="13" t="s">
        <v>29</v>
      </c>
      <c r="L44" s="13" t="s">
        <v>40</v>
      </c>
      <c r="M44" s="14" t="s">
        <v>251</v>
      </c>
      <c r="N44" s="13" t="s">
        <v>107</v>
      </c>
    </row>
    <row r="45" spans="1:14" ht="24" outlineLevel="1" x14ac:dyDescent="0.25">
      <c r="A45" s="13" t="s">
        <v>260</v>
      </c>
      <c r="B45" s="13" t="s">
        <v>217</v>
      </c>
      <c r="C45" s="13" t="s">
        <v>246</v>
      </c>
      <c r="D45" s="13" t="s">
        <v>261</v>
      </c>
      <c r="E45" s="14" t="s">
        <v>262</v>
      </c>
      <c r="F45" s="13" t="s">
        <v>62</v>
      </c>
      <c r="G45" s="13"/>
      <c r="H45" s="14" t="s">
        <v>263</v>
      </c>
      <c r="I45" s="13"/>
      <c r="J45" s="13"/>
      <c r="K45" s="13" t="s">
        <v>29</v>
      </c>
      <c r="L45" s="13" t="s">
        <v>29</v>
      </c>
      <c r="M45" s="14" t="s">
        <v>251</v>
      </c>
      <c r="N45" s="13" t="s">
        <v>107</v>
      </c>
    </row>
    <row r="46" spans="1:14" x14ac:dyDescent="0.25">
      <c r="A46" s="11" t="s">
        <v>264</v>
      </c>
      <c r="B46" s="11" t="s">
        <v>265</v>
      </c>
      <c r="C46" s="11" t="s">
        <v>266</v>
      </c>
      <c r="D46" s="11" t="s">
        <v>267</v>
      </c>
      <c r="E46" s="12" t="s">
        <v>268</v>
      </c>
      <c r="F46" s="11" t="s">
        <v>105</v>
      </c>
      <c r="G46" s="11"/>
      <c r="H46" s="12" t="s">
        <v>269</v>
      </c>
      <c r="I46" s="11"/>
      <c r="J46" s="11"/>
      <c r="K46" s="11" t="s">
        <v>29</v>
      </c>
      <c r="L46" s="11" t="s">
        <v>29</v>
      </c>
      <c r="M46" s="12" t="s">
        <v>270</v>
      </c>
      <c r="N46" s="11" t="s">
        <v>80</v>
      </c>
    </row>
    <row r="47" spans="1:14" outlineLevel="1" x14ac:dyDescent="0.25">
      <c r="A47" s="13" t="s">
        <v>271</v>
      </c>
      <c r="B47" s="13" t="s">
        <v>265</v>
      </c>
      <c r="C47" s="13" t="s">
        <v>266</v>
      </c>
      <c r="D47" s="13" t="s">
        <v>272</v>
      </c>
      <c r="E47" s="14" t="s">
        <v>273</v>
      </c>
      <c r="F47" s="13" t="s">
        <v>105</v>
      </c>
      <c r="G47" s="13"/>
      <c r="H47" s="14" t="s">
        <v>274</v>
      </c>
      <c r="I47" s="13"/>
      <c r="J47" s="13"/>
      <c r="K47" s="13" t="s">
        <v>29</v>
      </c>
      <c r="L47" s="13" t="s">
        <v>29</v>
      </c>
      <c r="M47" s="14"/>
      <c r="N47" s="13" t="s">
        <v>80</v>
      </c>
    </row>
    <row r="48" spans="1:14" ht="24" outlineLevel="1" x14ac:dyDescent="0.25">
      <c r="A48" s="13" t="s">
        <v>275</v>
      </c>
      <c r="B48" s="13" t="s">
        <v>265</v>
      </c>
      <c r="C48" s="13" t="s">
        <v>266</v>
      </c>
      <c r="D48" s="13" t="s">
        <v>276</v>
      </c>
      <c r="E48" s="14" t="s">
        <v>277</v>
      </c>
      <c r="F48" s="13" t="s">
        <v>111</v>
      </c>
      <c r="G48" s="13"/>
      <c r="H48" s="14" t="s">
        <v>278</v>
      </c>
      <c r="I48" s="13"/>
      <c r="J48" s="13"/>
      <c r="K48" s="13" t="s">
        <v>29</v>
      </c>
      <c r="L48" s="13" t="s">
        <v>29</v>
      </c>
      <c r="M48" s="14"/>
      <c r="N48" s="13" t="s">
        <v>80</v>
      </c>
    </row>
    <row r="49" spans="1:14" ht="24" outlineLevel="1" x14ac:dyDescent="0.25">
      <c r="A49" s="13" t="s">
        <v>279</v>
      </c>
      <c r="B49" s="13" t="s">
        <v>265</v>
      </c>
      <c r="C49" s="13" t="s">
        <v>280</v>
      </c>
      <c r="D49" s="13" t="s">
        <v>281</v>
      </c>
      <c r="E49" s="14" t="s">
        <v>282</v>
      </c>
      <c r="F49" s="13" t="s">
        <v>172</v>
      </c>
      <c r="G49" s="13" t="s">
        <v>283</v>
      </c>
      <c r="H49" s="14" t="s">
        <v>284</v>
      </c>
      <c r="I49" s="13">
        <v>-2</v>
      </c>
      <c r="J49" s="13">
        <v>5</v>
      </c>
      <c r="K49" s="13" t="s">
        <v>29</v>
      </c>
      <c r="L49" s="13" t="s">
        <v>29</v>
      </c>
      <c r="M49" s="14"/>
      <c r="N49" s="13" t="s">
        <v>176</v>
      </c>
    </row>
    <row r="50" spans="1:14" ht="24" outlineLevel="1" x14ac:dyDescent="0.25">
      <c r="A50" s="13" t="s">
        <v>285</v>
      </c>
      <c r="B50" s="13" t="s">
        <v>265</v>
      </c>
      <c r="C50" s="13" t="s">
        <v>280</v>
      </c>
      <c r="D50" s="13" t="s">
        <v>286</v>
      </c>
      <c r="E50" s="14" t="s">
        <v>287</v>
      </c>
      <c r="F50" s="13" t="s">
        <v>172</v>
      </c>
      <c r="G50" s="13" t="s">
        <v>283</v>
      </c>
      <c r="H50" s="14" t="s">
        <v>284</v>
      </c>
      <c r="I50" s="13">
        <v>-2</v>
      </c>
      <c r="J50" s="13">
        <v>5</v>
      </c>
      <c r="K50" s="13" t="s">
        <v>29</v>
      </c>
      <c r="L50" s="13" t="s">
        <v>29</v>
      </c>
      <c r="M50" s="14"/>
      <c r="N50" s="13" t="s">
        <v>176</v>
      </c>
    </row>
    <row r="51" spans="1:14" outlineLevel="1" x14ac:dyDescent="0.25">
      <c r="A51" s="13" t="s">
        <v>288</v>
      </c>
      <c r="B51" s="13" t="s">
        <v>265</v>
      </c>
      <c r="C51" s="13" t="s">
        <v>289</v>
      </c>
      <c r="D51" s="13" t="s">
        <v>290</v>
      </c>
      <c r="E51" s="14" t="s">
        <v>291</v>
      </c>
      <c r="F51" s="13" t="s">
        <v>172</v>
      </c>
      <c r="G51" s="13" t="s">
        <v>292</v>
      </c>
      <c r="H51" s="14" t="s">
        <v>293</v>
      </c>
      <c r="I51" s="13">
        <v>2.8</v>
      </c>
      <c r="J51" s="13">
        <v>3.3</v>
      </c>
      <c r="K51" s="13" t="s">
        <v>29</v>
      </c>
      <c r="L51" s="13" t="s">
        <v>40</v>
      </c>
      <c r="M51" s="14" t="s">
        <v>294</v>
      </c>
      <c r="N51" s="13" t="s">
        <v>107</v>
      </c>
    </row>
    <row r="52" spans="1:14" outlineLevel="1" x14ac:dyDescent="0.25">
      <c r="A52" s="13" t="s">
        <v>295</v>
      </c>
      <c r="B52" s="13" t="s">
        <v>265</v>
      </c>
      <c r="C52" s="13" t="s">
        <v>289</v>
      </c>
      <c r="D52" s="13" t="s">
        <v>296</v>
      </c>
      <c r="E52" s="14" t="s">
        <v>297</v>
      </c>
      <c r="F52" s="13" t="s">
        <v>105</v>
      </c>
      <c r="G52" s="13"/>
      <c r="H52" s="14" t="s">
        <v>298</v>
      </c>
      <c r="I52" s="13"/>
      <c r="J52" s="13"/>
      <c r="K52" s="13" t="s">
        <v>29</v>
      </c>
      <c r="L52" s="13" t="s">
        <v>40</v>
      </c>
      <c r="M52" s="14"/>
      <c r="N52" s="13" t="s">
        <v>107</v>
      </c>
    </row>
    <row r="53" spans="1:14" outlineLevel="1" x14ac:dyDescent="0.25">
      <c r="A53" s="13" t="s">
        <v>299</v>
      </c>
      <c r="B53" s="13" t="s">
        <v>265</v>
      </c>
      <c r="C53" s="13" t="s">
        <v>289</v>
      </c>
      <c r="D53" s="13" t="s">
        <v>300</v>
      </c>
      <c r="E53" s="14" t="s">
        <v>301</v>
      </c>
      <c r="F53" s="13" t="s">
        <v>105</v>
      </c>
      <c r="G53" s="13"/>
      <c r="H53" s="14" t="s">
        <v>302</v>
      </c>
      <c r="I53" s="13"/>
      <c r="J53" s="13"/>
      <c r="K53" s="13" t="s">
        <v>29</v>
      </c>
      <c r="L53" s="13" t="s">
        <v>29</v>
      </c>
      <c r="M53" s="14"/>
      <c r="N53" s="13" t="s">
        <v>190</v>
      </c>
    </row>
    <row r="54" spans="1:14" ht="24" outlineLevel="1" x14ac:dyDescent="0.25">
      <c r="A54" s="13" t="s">
        <v>303</v>
      </c>
      <c r="B54" s="13" t="s">
        <v>265</v>
      </c>
      <c r="C54" s="13" t="s">
        <v>304</v>
      </c>
      <c r="D54" s="13" t="s">
        <v>305</v>
      </c>
      <c r="E54" s="14" t="s">
        <v>306</v>
      </c>
      <c r="F54" s="13" t="s">
        <v>105</v>
      </c>
      <c r="G54" s="13"/>
      <c r="H54" s="14" t="s">
        <v>307</v>
      </c>
      <c r="I54" s="13"/>
      <c r="J54" s="13"/>
      <c r="K54" s="13" t="s">
        <v>29</v>
      </c>
      <c r="L54" s="13" t="s">
        <v>29</v>
      </c>
      <c r="M54" s="14"/>
      <c r="N54" s="13" t="s">
        <v>207</v>
      </c>
    </row>
    <row r="55" spans="1:14" ht="24" outlineLevel="1" x14ac:dyDescent="0.25">
      <c r="A55" s="13" t="s">
        <v>308</v>
      </c>
      <c r="B55" s="13" t="s">
        <v>265</v>
      </c>
      <c r="C55" s="13" t="s">
        <v>304</v>
      </c>
      <c r="D55" s="13" t="s">
        <v>309</v>
      </c>
      <c r="E55" s="14" t="s">
        <v>310</v>
      </c>
      <c r="F55" s="13" t="s">
        <v>62</v>
      </c>
      <c r="G55" s="13"/>
      <c r="H55" s="14" t="s">
        <v>311</v>
      </c>
      <c r="I55" s="13"/>
      <c r="J55" s="13"/>
      <c r="K55" s="13" t="s">
        <v>29</v>
      </c>
      <c r="L55" s="13" t="s">
        <v>29</v>
      </c>
      <c r="M55" s="14"/>
      <c r="N55" s="13" t="s">
        <v>74</v>
      </c>
    </row>
    <row r="56" spans="1:14" x14ac:dyDescent="0.25">
      <c r="A56" s="11" t="s">
        <v>312</v>
      </c>
      <c r="B56" s="11" t="s">
        <v>313</v>
      </c>
      <c r="C56" s="11" t="s">
        <v>314</v>
      </c>
      <c r="D56" s="11" t="s">
        <v>315</v>
      </c>
      <c r="E56" s="12" t="s">
        <v>316</v>
      </c>
      <c r="F56" s="11" t="s">
        <v>105</v>
      </c>
      <c r="G56" s="11"/>
      <c r="H56" s="12" t="s">
        <v>317</v>
      </c>
      <c r="I56" s="11"/>
      <c r="J56" s="11"/>
      <c r="K56" s="11" t="s">
        <v>29</v>
      </c>
      <c r="L56" s="11" t="s">
        <v>29</v>
      </c>
      <c r="M56" s="12" t="s">
        <v>318</v>
      </c>
      <c r="N56" s="11" t="s">
        <v>107</v>
      </c>
    </row>
    <row r="57" spans="1:14" outlineLevel="1" x14ac:dyDescent="0.25">
      <c r="A57" s="13" t="s">
        <v>319</v>
      </c>
      <c r="B57" s="13" t="s">
        <v>313</v>
      </c>
      <c r="C57" s="13" t="s">
        <v>314</v>
      </c>
      <c r="D57" s="13" t="s">
        <v>320</v>
      </c>
      <c r="E57" s="14" t="s">
        <v>321</v>
      </c>
      <c r="F57" s="13" t="s">
        <v>93</v>
      </c>
      <c r="G57" s="13"/>
      <c r="H57" s="14" t="s">
        <v>322</v>
      </c>
      <c r="I57" s="13"/>
      <c r="J57" s="13"/>
      <c r="K57" s="13" t="s">
        <v>40</v>
      </c>
      <c r="L57" s="13" t="s">
        <v>40</v>
      </c>
      <c r="M57" s="14" t="s">
        <v>318</v>
      </c>
      <c r="N57" s="13" t="s">
        <v>190</v>
      </c>
    </row>
    <row r="58" spans="1:14" outlineLevel="1" x14ac:dyDescent="0.25">
      <c r="A58" s="13" t="s">
        <v>323</v>
      </c>
      <c r="B58" s="13" t="s">
        <v>313</v>
      </c>
      <c r="C58" s="13" t="s">
        <v>324</v>
      </c>
      <c r="D58" s="13" t="s">
        <v>325</v>
      </c>
      <c r="E58" s="14" t="s">
        <v>326</v>
      </c>
      <c r="F58" s="13" t="s">
        <v>105</v>
      </c>
      <c r="G58" s="13"/>
      <c r="H58" s="14" t="s">
        <v>184</v>
      </c>
      <c r="I58" s="13"/>
      <c r="J58" s="13"/>
      <c r="K58" s="13" t="s">
        <v>29</v>
      </c>
      <c r="L58" s="13" t="s">
        <v>29</v>
      </c>
      <c r="M58" s="14" t="s">
        <v>141</v>
      </c>
      <c r="N58" s="13" t="s">
        <v>207</v>
      </c>
    </row>
    <row r="59" spans="1:14" outlineLevel="1" x14ac:dyDescent="0.25">
      <c r="A59" s="13" t="s">
        <v>327</v>
      </c>
      <c r="B59" s="13" t="s">
        <v>313</v>
      </c>
      <c r="C59" s="13" t="s">
        <v>324</v>
      </c>
      <c r="D59" s="13" t="s">
        <v>328</v>
      </c>
      <c r="E59" s="14" t="s">
        <v>329</v>
      </c>
      <c r="F59" s="13" t="s">
        <v>105</v>
      </c>
      <c r="G59" s="13"/>
      <c r="H59" s="14" t="s">
        <v>184</v>
      </c>
      <c r="I59" s="13"/>
      <c r="J59" s="13"/>
      <c r="K59" s="13" t="s">
        <v>40</v>
      </c>
      <c r="L59" s="13" t="s">
        <v>40</v>
      </c>
      <c r="M59" s="14" t="s">
        <v>330</v>
      </c>
      <c r="N59" s="13" t="s">
        <v>107</v>
      </c>
    </row>
    <row r="60" spans="1:14" outlineLevel="1" x14ac:dyDescent="0.25">
      <c r="A60" s="13" t="s">
        <v>331</v>
      </c>
      <c r="B60" s="13" t="s">
        <v>313</v>
      </c>
      <c r="C60" s="13" t="s">
        <v>324</v>
      </c>
      <c r="D60" s="13" t="s">
        <v>332</v>
      </c>
      <c r="E60" s="14" t="s">
        <v>333</v>
      </c>
      <c r="F60" s="13" t="s">
        <v>105</v>
      </c>
      <c r="G60" s="13"/>
      <c r="H60" s="14" t="s">
        <v>334</v>
      </c>
      <c r="I60" s="13"/>
      <c r="J60" s="13"/>
      <c r="K60" s="13" t="s">
        <v>40</v>
      </c>
      <c r="L60" s="13" t="s">
        <v>40</v>
      </c>
      <c r="M60" s="14" t="s">
        <v>136</v>
      </c>
      <c r="N60" s="13" t="s">
        <v>107</v>
      </c>
    </row>
    <row r="61" spans="1:14" ht="24" x14ac:dyDescent="0.25">
      <c r="A61" s="11" t="s">
        <v>335</v>
      </c>
      <c r="B61" s="11" t="s">
        <v>336</v>
      </c>
      <c r="C61" s="11" t="s">
        <v>337</v>
      </c>
      <c r="D61" s="11" t="s">
        <v>338</v>
      </c>
      <c r="E61" s="12" t="s">
        <v>339</v>
      </c>
      <c r="F61" s="11" t="s">
        <v>111</v>
      </c>
      <c r="G61" s="11"/>
      <c r="H61" s="12" t="s">
        <v>340</v>
      </c>
      <c r="I61" s="11"/>
      <c r="J61" s="11"/>
      <c r="K61" s="11" t="s">
        <v>29</v>
      </c>
      <c r="L61" s="11" t="s">
        <v>40</v>
      </c>
      <c r="M61" s="12"/>
      <c r="N61" s="11" t="s">
        <v>80</v>
      </c>
    </row>
    <row r="62" spans="1:14" ht="24" outlineLevel="1" x14ac:dyDescent="0.25">
      <c r="A62" s="13" t="s">
        <v>341</v>
      </c>
      <c r="B62" s="13" t="s">
        <v>336</v>
      </c>
      <c r="C62" s="13" t="s">
        <v>337</v>
      </c>
      <c r="D62" s="13" t="s">
        <v>342</v>
      </c>
      <c r="E62" s="14" t="s">
        <v>343</v>
      </c>
      <c r="F62" s="13" t="s">
        <v>172</v>
      </c>
      <c r="G62" s="13" t="s">
        <v>344</v>
      </c>
      <c r="H62" s="14" t="s">
        <v>345</v>
      </c>
      <c r="I62" s="15" t="s">
        <v>202</v>
      </c>
      <c r="J62" s="15" t="s">
        <v>202</v>
      </c>
      <c r="K62" s="13" t="s">
        <v>29</v>
      </c>
      <c r="L62" s="13" t="s">
        <v>40</v>
      </c>
      <c r="M62" s="14"/>
      <c r="N62" s="13" t="s">
        <v>80</v>
      </c>
    </row>
    <row r="63" spans="1:14" outlineLevel="1" x14ac:dyDescent="0.25">
      <c r="A63" s="13" t="s">
        <v>346</v>
      </c>
      <c r="B63" s="13" t="s">
        <v>336</v>
      </c>
      <c r="C63" s="13" t="s">
        <v>337</v>
      </c>
      <c r="D63" s="13" t="s">
        <v>347</v>
      </c>
      <c r="E63" s="14" t="s">
        <v>348</v>
      </c>
      <c r="F63" s="13" t="s">
        <v>172</v>
      </c>
      <c r="G63" s="13" t="s">
        <v>349</v>
      </c>
      <c r="H63" s="14" t="s">
        <v>345</v>
      </c>
      <c r="I63" s="13">
        <v>0</v>
      </c>
      <c r="J63" s="13">
        <v>100</v>
      </c>
      <c r="K63" s="13" t="s">
        <v>29</v>
      </c>
      <c r="L63" s="13" t="s">
        <v>40</v>
      </c>
      <c r="M63" s="14"/>
      <c r="N63" s="13" t="s">
        <v>80</v>
      </c>
    </row>
    <row r="64" spans="1:14" ht="24" outlineLevel="1" x14ac:dyDescent="0.25">
      <c r="A64" s="13" t="s">
        <v>350</v>
      </c>
      <c r="B64" s="13" t="s">
        <v>336</v>
      </c>
      <c r="C64" s="13" t="s">
        <v>351</v>
      </c>
      <c r="D64" s="13" t="s">
        <v>352</v>
      </c>
      <c r="E64" s="14" t="s">
        <v>353</v>
      </c>
      <c r="F64" s="13" t="s">
        <v>172</v>
      </c>
      <c r="G64" s="13" t="s">
        <v>344</v>
      </c>
      <c r="H64" s="14" t="s">
        <v>201</v>
      </c>
      <c r="I64" s="15" t="s">
        <v>202</v>
      </c>
      <c r="J64" s="15" t="s">
        <v>202</v>
      </c>
      <c r="K64" s="13" t="s">
        <v>40</v>
      </c>
      <c r="L64" s="13" t="s">
        <v>40</v>
      </c>
      <c r="M64" s="14"/>
      <c r="N64" s="13" t="s">
        <v>190</v>
      </c>
    </row>
    <row r="65" spans="1:14" outlineLevel="1" x14ac:dyDescent="0.25">
      <c r="A65" s="13" t="s">
        <v>354</v>
      </c>
      <c r="B65" s="13" t="s">
        <v>336</v>
      </c>
      <c r="C65" s="13" t="s">
        <v>351</v>
      </c>
      <c r="D65" s="13" t="s">
        <v>355</v>
      </c>
      <c r="E65" s="14" t="s">
        <v>356</v>
      </c>
      <c r="F65" s="13" t="s">
        <v>105</v>
      </c>
      <c r="G65" s="13"/>
      <c r="H65" s="14" t="s">
        <v>357</v>
      </c>
      <c r="I65" s="13"/>
      <c r="J65" s="13"/>
      <c r="K65" s="13" t="s">
        <v>29</v>
      </c>
      <c r="L65" s="13" t="s">
        <v>40</v>
      </c>
      <c r="M65" s="14"/>
      <c r="N65" s="13" t="s">
        <v>190</v>
      </c>
    </row>
    <row r="66" spans="1:14" x14ac:dyDescent="0.25">
      <c r="A66" s="11" t="s">
        <v>358</v>
      </c>
      <c r="B66" s="11" t="s">
        <v>359</v>
      </c>
      <c r="C66" s="11" t="s">
        <v>360</v>
      </c>
      <c r="D66" s="11" t="s">
        <v>361</v>
      </c>
      <c r="E66" s="12" t="s">
        <v>362</v>
      </c>
      <c r="F66" s="11" t="s">
        <v>105</v>
      </c>
      <c r="G66" s="11"/>
      <c r="H66" s="12" t="s">
        <v>363</v>
      </c>
      <c r="I66" s="11"/>
      <c r="J66" s="11"/>
      <c r="K66" s="11" t="s">
        <v>29</v>
      </c>
      <c r="L66" s="11" t="s">
        <v>29</v>
      </c>
      <c r="M66" s="12"/>
      <c r="N66" s="11" t="s">
        <v>207</v>
      </c>
    </row>
    <row r="67" spans="1:14" ht="24" outlineLevel="1" x14ac:dyDescent="0.25">
      <c r="A67" s="13" t="s">
        <v>364</v>
      </c>
      <c r="B67" s="13" t="s">
        <v>359</v>
      </c>
      <c r="C67" s="13" t="s">
        <v>360</v>
      </c>
      <c r="D67" s="13" t="s">
        <v>365</v>
      </c>
      <c r="E67" s="14" t="s">
        <v>366</v>
      </c>
      <c r="F67" s="13" t="s">
        <v>105</v>
      </c>
      <c r="G67" s="13"/>
      <c r="H67" s="14" t="s">
        <v>367</v>
      </c>
      <c r="I67" s="13"/>
      <c r="J67" s="13"/>
      <c r="K67" s="13" t="s">
        <v>29</v>
      </c>
      <c r="L67" s="13" t="s">
        <v>29</v>
      </c>
      <c r="M67" s="14"/>
      <c r="N67" s="13" t="s">
        <v>207</v>
      </c>
    </row>
    <row r="68" spans="1:14" outlineLevel="1" x14ac:dyDescent="0.25">
      <c r="A68" s="13" t="s">
        <v>368</v>
      </c>
      <c r="B68" s="13" t="s">
        <v>359</v>
      </c>
      <c r="C68" s="13" t="s">
        <v>360</v>
      </c>
      <c r="D68" s="13" t="s">
        <v>369</v>
      </c>
      <c r="E68" s="14" t="s">
        <v>370</v>
      </c>
      <c r="F68" s="13" t="s">
        <v>105</v>
      </c>
      <c r="G68" s="13"/>
      <c r="H68" s="14" t="s">
        <v>371</v>
      </c>
      <c r="I68" s="13"/>
      <c r="J68" s="13"/>
      <c r="K68" s="13" t="s">
        <v>40</v>
      </c>
      <c r="L68" s="13" t="s">
        <v>40</v>
      </c>
      <c r="M68" s="14"/>
      <c r="N68" s="13" t="s">
        <v>190</v>
      </c>
    </row>
    <row r="69" spans="1:14" outlineLevel="1" x14ac:dyDescent="0.25">
      <c r="A69" s="13" t="s">
        <v>372</v>
      </c>
      <c r="B69" s="13" t="s">
        <v>359</v>
      </c>
      <c r="C69" s="13" t="s">
        <v>373</v>
      </c>
      <c r="D69" s="13" t="s">
        <v>374</v>
      </c>
      <c r="E69" s="14" t="s">
        <v>375</v>
      </c>
      <c r="F69" s="13" t="s">
        <v>105</v>
      </c>
      <c r="G69" s="13"/>
      <c r="H69" s="14" t="s">
        <v>376</v>
      </c>
      <c r="I69" s="13"/>
      <c r="J69" s="13"/>
      <c r="K69" s="13" t="s">
        <v>29</v>
      </c>
      <c r="L69" s="13" t="s">
        <v>29</v>
      </c>
      <c r="M69" s="14"/>
      <c r="N69" s="13" t="s">
        <v>107</v>
      </c>
    </row>
    <row r="70" spans="1:14" ht="24" outlineLevel="1" x14ac:dyDescent="0.25">
      <c r="A70" s="13" t="s">
        <v>377</v>
      </c>
      <c r="B70" s="13" t="s">
        <v>359</v>
      </c>
      <c r="C70" s="13" t="s">
        <v>373</v>
      </c>
      <c r="D70" s="13" t="s">
        <v>378</v>
      </c>
      <c r="E70" s="14" t="s">
        <v>379</v>
      </c>
      <c r="F70" s="13" t="s">
        <v>105</v>
      </c>
      <c r="G70" s="13"/>
      <c r="H70" s="14" t="s">
        <v>380</v>
      </c>
      <c r="I70" s="13"/>
      <c r="J70" s="13"/>
      <c r="K70" s="13" t="s">
        <v>29</v>
      </c>
      <c r="L70" s="13" t="s">
        <v>29</v>
      </c>
      <c r="M70" s="14" t="s">
        <v>147</v>
      </c>
      <c r="N70" s="13" t="s">
        <v>107</v>
      </c>
    </row>
    <row r="71" spans="1:14" outlineLevel="1" x14ac:dyDescent="0.25">
      <c r="A71" s="13" t="s">
        <v>381</v>
      </c>
      <c r="B71" s="13" t="s">
        <v>359</v>
      </c>
      <c r="C71" s="13" t="s">
        <v>373</v>
      </c>
      <c r="D71" s="13" t="s">
        <v>382</v>
      </c>
      <c r="E71" s="14" t="s">
        <v>383</v>
      </c>
      <c r="F71" s="13" t="s">
        <v>62</v>
      </c>
      <c r="G71" s="13"/>
      <c r="H71" s="14" t="s">
        <v>384</v>
      </c>
      <c r="I71" s="13"/>
      <c r="J71" s="13"/>
      <c r="K71" s="13" t="s">
        <v>29</v>
      </c>
      <c r="L71" s="13" t="s">
        <v>29</v>
      </c>
      <c r="M71" s="14"/>
      <c r="N71" s="13" t="s">
        <v>107</v>
      </c>
    </row>
    <row r="72" spans="1:14" outlineLevel="1" x14ac:dyDescent="0.25">
      <c r="A72" s="13" t="s">
        <v>385</v>
      </c>
      <c r="B72" s="13" t="s">
        <v>359</v>
      </c>
      <c r="C72" s="13" t="s">
        <v>386</v>
      </c>
      <c r="D72" s="13" t="s">
        <v>387</v>
      </c>
      <c r="E72" s="14" t="s">
        <v>388</v>
      </c>
      <c r="F72" s="13" t="s">
        <v>105</v>
      </c>
      <c r="G72" s="13"/>
      <c r="H72" s="14" t="s">
        <v>389</v>
      </c>
      <c r="I72" s="13"/>
      <c r="J72" s="13"/>
      <c r="K72" s="13" t="s">
        <v>29</v>
      </c>
      <c r="L72" s="13" t="s">
        <v>40</v>
      </c>
      <c r="M72" s="14"/>
      <c r="N72" s="13" t="s">
        <v>190</v>
      </c>
    </row>
    <row r="73" spans="1:14" ht="24" outlineLevel="1" x14ac:dyDescent="0.25">
      <c r="A73" s="13" t="s">
        <v>390</v>
      </c>
      <c r="B73" s="13" t="s">
        <v>359</v>
      </c>
      <c r="C73" s="13" t="s">
        <v>386</v>
      </c>
      <c r="D73" s="13" t="s">
        <v>391</v>
      </c>
      <c r="E73" s="14" t="s">
        <v>392</v>
      </c>
      <c r="F73" s="13" t="s">
        <v>105</v>
      </c>
      <c r="G73" s="13"/>
      <c r="H73" s="14" t="s">
        <v>393</v>
      </c>
      <c r="I73" s="13"/>
      <c r="J73" s="13"/>
      <c r="K73" s="13" t="s">
        <v>29</v>
      </c>
      <c r="L73" s="13" t="s">
        <v>40</v>
      </c>
      <c r="M73" s="14"/>
      <c r="N73" s="13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I55" sqref="I55"/>
    </sheetView>
  </sheetViews>
  <sheetFormatPr baseColWidth="10" defaultColWidth="8.7109375" defaultRowHeight="15" x14ac:dyDescent="0.25"/>
  <cols>
    <col min="1" max="1" width="8" customWidth="1"/>
    <col min="2" max="2" width="39.28515625" customWidth="1"/>
    <col min="3" max="3" width="26" customWidth="1"/>
    <col min="4" max="4" width="30" customWidth="1"/>
    <col min="5" max="5" width="42" customWidth="1"/>
    <col min="6" max="6" width="13" customWidth="1"/>
    <col min="7" max="7" width="8" customWidth="1"/>
    <col min="8" max="8" width="38" customWidth="1"/>
    <col min="9" max="10" width="10.85546875" customWidth="1"/>
    <col min="11" max="11" width="19" customWidth="1"/>
    <col min="12" max="12" width="13" customWidth="1"/>
    <col min="13" max="13" width="18" customWidth="1"/>
    <col min="14" max="14" width="13" customWidth="1"/>
    <col min="15" max="15" width="46" customWidth="1"/>
    <col min="16" max="16" width="24" customWidth="1"/>
  </cols>
  <sheetData>
    <row r="1" spans="1:16" ht="18" x14ac:dyDescent="0.25">
      <c r="A1" s="16" t="s">
        <v>394</v>
      </c>
    </row>
    <row r="3" spans="1:16" x14ac:dyDescent="0.25">
      <c r="A3" s="17" t="s">
        <v>395</v>
      </c>
      <c r="B3" s="18"/>
      <c r="D3" s="17" t="s">
        <v>396</v>
      </c>
      <c r="E3" s="18"/>
    </row>
    <row r="4" spans="1:16" x14ac:dyDescent="0.25">
      <c r="A4" s="17" t="s">
        <v>397</v>
      </c>
      <c r="B4" s="18"/>
      <c r="D4" s="17" t="s">
        <v>398</v>
      </c>
      <c r="E4" s="18"/>
    </row>
    <row r="5" spans="1:16" x14ac:dyDescent="0.25">
      <c r="A5" s="17" t="s">
        <v>399</v>
      </c>
      <c r="B5" s="18" t="s">
        <v>400</v>
      </c>
      <c r="D5" s="17" t="s">
        <v>401</v>
      </c>
      <c r="E5" s="18"/>
    </row>
    <row r="6" spans="1:16" x14ac:dyDescent="0.25">
      <c r="A6" s="17" t="s">
        <v>402</v>
      </c>
      <c r="B6" s="18"/>
      <c r="D6" s="17" t="s">
        <v>403</v>
      </c>
      <c r="E6" s="18"/>
    </row>
    <row r="8" spans="1:16" ht="31.5" customHeight="1" x14ac:dyDescent="0.25">
      <c r="A8" s="10" t="s">
        <v>20</v>
      </c>
      <c r="B8" s="10" t="s">
        <v>45</v>
      </c>
      <c r="C8" s="10" t="s">
        <v>46</v>
      </c>
      <c r="D8" s="10" t="s">
        <v>47</v>
      </c>
      <c r="E8" s="10" t="s">
        <v>48</v>
      </c>
      <c r="F8" s="10" t="s">
        <v>404</v>
      </c>
      <c r="G8" s="10" t="s">
        <v>50</v>
      </c>
      <c r="H8" s="10" t="s">
        <v>51</v>
      </c>
      <c r="I8" s="10" t="s">
        <v>405</v>
      </c>
      <c r="J8" s="10" t="s">
        <v>406</v>
      </c>
      <c r="K8" s="10" t="s">
        <v>22</v>
      </c>
      <c r="L8" s="10" t="s">
        <v>23</v>
      </c>
      <c r="M8" s="10" t="s">
        <v>407</v>
      </c>
      <c r="N8" s="10" t="s">
        <v>36</v>
      </c>
      <c r="O8" s="10" t="s">
        <v>25</v>
      </c>
      <c r="P8" s="10" t="s">
        <v>55</v>
      </c>
    </row>
    <row r="9" spans="1:16" x14ac:dyDescent="0.25">
      <c r="A9" s="11" t="s">
        <v>57</v>
      </c>
      <c r="B9" s="11" t="str">
        <f>IF(INDEX(Catálogo!B$5:B$73,MATCH($A9,Catálogo!$A$5:$A$73,0))="","",INDEX(Catálogo!B$5:B$73,MATCH($A9,Catálogo!$A$5:$A$73,0)))</f>
        <v>1. Verificación funcional inicial</v>
      </c>
      <c r="C9" s="11" t="str">
        <f>IF(INDEX(Catálogo!C$5:C$73,MATCH($A9,Catálogo!$A$5:$A$73,0))="","",INDEX(Catálogo!C$5:C$73,MATCH($A9,Catálogo!$A$5:$A$73,0)))</f>
        <v>1.1 Encendido y autodiagnóstico</v>
      </c>
      <c r="D9" s="11" t="str">
        <f>IF(INDEX(Catálogo!D$5:D$73,MATCH($A9,Catálogo!$A$5:$A$73,0))="","",INDEX(Catálogo!D$5:D$73,MATCH($A9,Catálogo!$A$5:$A$73,0)))</f>
        <v>Ciclo self-test</v>
      </c>
      <c r="E9" s="12" t="str">
        <f>IF(INDEX(Catálogo!E$5:E$73,MATCH($A9,Catálogo!$A$5:$A$73,0))="","",INDEX(Catálogo!E$5:E$73,MATCH($A9,Catálogo!$A$5:$A$73,0)))</f>
        <v>El equipo enciende y supera el ciclo self test</v>
      </c>
      <c r="F9" s="11" t="str">
        <f>IF(INDEX(Catálogo!F$5:F$73,MATCH($A9,Catálogo!$A$5:$A$73,0))="","",INDEX(Catálogo!F$5:F$73,MATCH($A9,Catálogo!$A$5:$A$73,0)))</f>
        <v>Sí/No</v>
      </c>
      <c r="G9" s="11" t="str">
        <f>IF(INDEX(Catálogo!G$5:G$73,MATCH($A9,Catálogo!$A$5:$A$73,0))="","",INDEX(Catálogo!G$5:G$73,MATCH($A9,Catálogo!$A$5:$A$73,0)))</f>
        <v/>
      </c>
      <c r="H9" s="12" t="str">
        <f>IF(INDEX(Catálogo!H$5:H$73,MATCH($A9,Catálogo!$A$5:$A$73,0))="","",INDEX(Catálogo!H$5:H$73,MATCH($A9,Catálogo!$A$5:$A$73,0)))</f>
        <v>Debe superar el self test</v>
      </c>
      <c r="I9" s="11" t="str">
        <f>IF(INDEX(Catálogo!I$5:I$73,MATCH($A9,Catálogo!$A$5:$A$73,0))="","",INDEX(Catálogo!I$5:I$73,MATCH($A9,Catálogo!$A$5:$A$73,0)))</f>
        <v/>
      </c>
      <c r="J9" s="11" t="str">
        <f>IF(INDEX(Catálogo!J$5:J$73,MATCH($A9,Catálogo!$A$5:$A$73,0))="","",INDEX(Catálogo!J$5:J$73,MATCH($A9,Catálogo!$A$5:$A$73,0)))</f>
        <v/>
      </c>
      <c r="K9" s="19" t="s">
        <v>42</v>
      </c>
      <c r="L9" s="19"/>
      <c r="M9" s="11" t="str">
        <f t="shared" ref="M9:M40" si="0">IF($F9&lt;&gt;"Numérico","",IF($L9="","Sin dato",IF(AND(OR(NOT(ISNUMBER($I9)),$L9&gt;=$I9),OR(NOT(ISNUMBER($J9)),$L9&lt;=$J9)),"Dentro de rango","Fuera de rango")))</f>
        <v/>
      </c>
      <c r="N9" s="19"/>
      <c r="O9" s="20"/>
      <c r="P9" s="11" t="str">
        <f>IF(INDEX(Catálogo!M$5:M$73,MATCH($A9,Catálogo!$A$5:$A$73,0))="","",INDEX(Catálogo!M$5:M$73,MATCH($A9,Catálogo!$A$5:$A$73,0)))</f>
        <v/>
      </c>
    </row>
    <row r="10" spans="1:16" x14ac:dyDescent="0.25">
      <c r="A10" s="13" t="s">
        <v>65</v>
      </c>
      <c r="B10" s="13" t="str">
        <f>IF(INDEX(Catálogo!B$5:B$73,MATCH($A10,Catálogo!$A$5:$A$73,0))="","",INDEX(Catálogo!B$5:B$73,MATCH($A10,Catálogo!$A$5:$A$73,0)))</f>
        <v>1. Verificación funcional inicial</v>
      </c>
      <c r="C10" s="13" t="str">
        <f>IF(INDEX(Catálogo!C$5:C$73,MATCH($A10,Catálogo!$A$5:$A$73,0))="","",INDEX(Catálogo!C$5:C$73,MATCH($A10,Catálogo!$A$5:$A$73,0)))</f>
        <v>1.1 Encendido y autodiagnóstico</v>
      </c>
      <c r="D10" s="13" t="str">
        <f>IF(INDEX(Catálogo!D$5:D$73,MATCH($A10,Catálogo!$A$5:$A$73,0))="","",INDEX(Catálogo!D$5:D$73,MATCH($A10,Catálogo!$A$5:$A$73,0)))</f>
        <v>Inicio de medición</v>
      </c>
      <c r="E10" s="14" t="str">
        <f>IF(INDEX(Catálogo!E$5:E$73,MATCH($A10,Catálogo!$A$5:$A$73,0))="","",INDEX(Catálogo!E$5:E$73,MATCH($A10,Catálogo!$A$5:$A$73,0)))</f>
        <v>El equipo comienza a medir tras el self test</v>
      </c>
      <c r="F10" s="13" t="str">
        <f>IF(INDEX(Catálogo!F$5:F$73,MATCH($A10,Catálogo!$A$5:$A$73,0))="","",INDEX(Catálogo!F$5:F$73,MATCH($A10,Catálogo!$A$5:$A$73,0)))</f>
        <v>Sí/No</v>
      </c>
      <c r="G10" s="13" t="str">
        <f>IF(INDEX(Catálogo!G$5:G$73,MATCH($A10,Catálogo!$A$5:$A$73,0))="","",INDEX(Catálogo!G$5:G$73,MATCH($A10,Catálogo!$A$5:$A$73,0)))</f>
        <v/>
      </c>
      <c r="H10" s="14" t="str">
        <f>IF(INDEX(Catálogo!H$5:H$73,MATCH($A10,Catálogo!$A$5:$A$73,0))="","",INDEX(Catálogo!H$5:H$73,MATCH($A10,Catálogo!$A$5:$A$73,0)))</f>
        <v>Debe iniciar medición</v>
      </c>
      <c r="I10" s="13" t="str">
        <f>IF(INDEX(Catálogo!I$5:I$73,MATCH($A10,Catálogo!$A$5:$A$73,0))="","",INDEX(Catálogo!I$5:I$73,MATCH($A10,Catálogo!$A$5:$A$73,0)))</f>
        <v/>
      </c>
      <c r="J10" s="13" t="str">
        <f>IF(INDEX(Catálogo!J$5:J$73,MATCH($A10,Catálogo!$A$5:$A$73,0))="","",INDEX(Catálogo!J$5:J$73,MATCH($A10,Catálogo!$A$5:$A$73,0)))</f>
        <v/>
      </c>
      <c r="K10" s="19" t="s">
        <v>42</v>
      </c>
      <c r="L10" s="19"/>
      <c r="M10" s="13" t="str">
        <f t="shared" si="0"/>
        <v/>
      </c>
      <c r="N10" s="19"/>
      <c r="O10" s="20"/>
      <c r="P10" s="13" t="str">
        <f>IF(INDEX(Catálogo!M$5:M$73,MATCH($A10,Catálogo!$A$5:$A$73,0))="","",INDEX(Catálogo!M$5:M$73,MATCH($A10,Catálogo!$A$5:$A$73,0)))</f>
        <v/>
      </c>
    </row>
    <row r="11" spans="1:16" ht="24" x14ac:dyDescent="0.25">
      <c r="A11" s="13" t="s">
        <v>69</v>
      </c>
      <c r="B11" s="13" t="str">
        <f>IF(INDEX(Catálogo!B$5:B$73,MATCH($A11,Catálogo!$A$5:$A$73,0))="","",INDEX(Catálogo!B$5:B$73,MATCH($A11,Catálogo!$A$5:$A$73,0)))</f>
        <v>1. Verificación funcional inicial</v>
      </c>
      <c r="C11" s="13" t="str">
        <f>IF(INDEX(Catálogo!C$5:C$73,MATCH($A11,Catálogo!$A$5:$A$73,0))="","",INDEX(Catálogo!C$5:C$73,MATCH($A11,Catálogo!$A$5:$A$73,0)))</f>
        <v>1.1 Encendido y autodiagnóstico</v>
      </c>
      <c r="D11" s="13" t="str">
        <f>IF(INDEX(Catálogo!D$5:D$73,MATCH($A11,Catálogo!$A$5:$A$73,0))="","",INDEX(Catálogo!D$5:D$73,MATCH($A11,Catálogo!$A$5:$A$73,0)))</f>
        <v>Alarmas activas</v>
      </c>
      <c r="E11" s="14" t="str">
        <f>IF(INDEX(Catálogo!E$5:E$73,MATCH($A11,Catálogo!$A$5:$A$73,0))="","",INDEX(Catálogo!E$5:E$73,MATCH($A11,Catálogo!$A$5:$A$73,0)))</f>
        <v>Alarmas o avisos en pantalla al arranque (p. ej. alerta "Dryer")</v>
      </c>
      <c r="F11" s="13" t="str">
        <f>IF(INDEX(Catálogo!F$5:F$73,MATCH($A11,Catálogo!$A$5:$A$73,0))="","",INDEX(Catálogo!F$5:F$73,MATCH($A11,Catálogo!$A$5:$A$73,0)))</f>
        <v>Texto</v>
      </c>
      <c r="G11" s="13" t="str">
        <f>IF(INDEX(Catálogo!G$5:G$73,MATCH($A11,Catálogo!$A$5:$A$73,0))="","",INDEX(Catálogo!G$5:G$73,MATCH($A11,Catálogo!$A$5:$A$73,0)))</f>
        <v/>
      </c>
      <c r="H11" s="14" t="str">
        <f>IF(INDEX(Catálogo!H$5:H$73,MATCH($A11,Catálogo!$A$5:$A$73,0))="","",INDEX(Catálogo!H$5:H$73,MATCH($A11,Catálogo!$A$5:$A$73,0)))</f>
        <v>Sin alarmas activas</v>
      </c>
      <c r="I11" s="13" t="str">
        <f>IF(INDEX(Catálogo!I$5:I$73,MATCH($A11,Catálogo!$A$5:$A$73,0))="","",INDEX(Catálogo!I$5:I$73,MATCH($A11,Catálogo!$A$5:$A$73,0)))</f>
        <v/>
      </c>
      <c r="J11" s="13" t="str">
        <f>IF(INDEX(Catálogo!J$5:J$73,MATCH($A11,Catálogo!$A$5:$A$73,0))="","",INDEX(Catálogo!J$5:J$73,MATCH($A11,Catálogo!$A$5:$A$73,0)))</f>
        <v/>
      </c>
      <c r="K11" s="19" t="s">
        <v>42</v>
      </c>
      <c r="L11" s="19"/>
      <c r="M11" s="13" t="str">
        <f t="shared" si="0"/>
        <v/>
      </c>
      <c r="N11" s="19"/>
      <c r="O11" s="20"/>
      <c r="P11" s="13" t="str">
        <f>IF(INDEX(Catálogo!M$5:M$73,MATCH($A11,Catálogo!$A$5:$A$73,0))="","",INDEX(Catálogo!M$5:M$73,MATCH($A11,Catálogo!$A$5:$A$73,0)))</f>
        <v/>
      </c>
    </row>
    <row r="12" spans="1:16" ht="24" x14ac:dyDescent="0.25">
      <c r="A12" s="13" t="s">
        <v>75</v>
      </c>
      <c r="B12" s="13" t="str">
        <f>IF(INDEX(Catálogo!B$5:B$73,MATCH($A12,Catálogo!$A$5:$A$73,0))="","",INDEX(Catálogo!B$5:B$73,MATCH($A12,Catálogo!$A$5:$A$73,0)))</f>
        <v>1. Verificación funcional inicial</v>
      </c>
      <c r="C12" s="13" t="str">
        <f>IF(INDEX(Catálogo!C$5:C$73,MATCH($A12,Catálogo!$A$5:$A$73,0))="","",INDEX(Catálogo!C$5:C$73,MATCH($A12,Catálogo!$A$5:$A$73,0)))</f>
        <v>1.2 Identificación y trazabilidad</v>
      </c>
      <c r="D12" s="13" t="str">
        <f>IF(INDEX(Catálogo!D$5:D$73,MATCH($A12,Catálogo!$A$5:$A$73,0))="","",INDEX(Catálogo!D$5:D$73,MATCH($A12,Catálogo!$A$5:$A$73,0)))</f>
        <v>Serial del monitor</v>
      </c>
      <c r="E12" s="14" t="str">
        <f>IF(INDEX(Catálogo!E$5:E$73,MATCH($A12,Catálogo!$A$5:$A$73,0))="","",INDEX(Catálogo!E$5:E$73,MATCH($A12,Catálogo!$A$5:$A$73,0)))</f>
        <v>El serial del monitor coincide con la placa y con la orden de servicio</v>
      </c>
      <c r="F12" s="13" t="str">
        <f>IF(INDEX(Catálogo!F$5:F$73,MATCH($A12,Catálogo!$A$5:$A$73,0))="","",INDEX(Catálogo!F$5:F$73,MATCH($A12,Catálogo!$A$5:$A$73,0)))</f>
        <v>Sí/No</v>
      </c>
      <c r="G12" s="13" t="str">
        <f>IF(INDEX(Catálogo!G$5:G$73,MATCH($A12,Catálogo!$A$5:$A$73,0))="","",INDEX(Catálogo!G$5:G$73,MATCH($A12,Catálogo!$A$5:$A$73,0)))</f>
        <v/>
      </c>
      <c r="H12" s="14" t="str">
        <f>IF(INDEX(Catálogo!H$5:H$73,MATCH($A12,Catálogo!$A$5:$A$73,0))="","",INDEX(Catálogo!H$5:H$73,MATCH($A12,Catálogo!$A$5:$A$73,0)))</f>
        <v>Debe coincidir</v>
      </c>
      <c r="I12" s="13" t="str">
        <f>IF(INDEX(Catálogo!I$5:I$73,MATCH($A12,Catálogo!$A$5:$A$73,0))="","",INDEX(Catálogo!I$5:I$73,MATCH($A12,Catálogo!$A$5:$A$73,0)))</f>
        <v/>
      </c>
      <c r="J12" s="13" t="str">
        <f>IF(INDEX(Catálogo!J$5:J$73,MATCH($A12,Catálogo!$A$5:$A$73,0))="","",INDEX(Catálogo!J$5:J$73,MATCH($A12,Catálogo!$A$5:$A$73,0)))</f>
        <v/>
      </c>
      <c r="K12" s="19" t="s">
        <v>42</v>
      </c>
      <c r="L12" s="19"/>
      <c r="M12" s="13" t="str">
        <f t="shared" si="0"/>
        <v/>
      </c>
      <c r="N12" s="19"/>
      <c r="O12" s="20"/>
      <c r="P12" s="13" t="str">
        <f>IF(INDEX(Catálogo!M$5:M$73,MATCH($A12,Catálogo!$A$5:$A$73,0))="","",INDEX(Catálogo!M$5:M$73,MATCH($A12,Catálogo!$A$5:$A$73,0)))</f>
        <v/>
      </c>
    </row>
    <row r="13" spans="1:16" ht="24" x14ac:dyDescent="0.25">
      <c r="A13" s="13" t="s">
        <v>81</v>
      </c>
      <c r="B13" s="13" t="str">
        <f>IF(INDEX(Catálogo!B$5:B$73,MATCH($A13,Catálogo!$A$5:$A$73,0))="","",INDEX(Catálogo!B$5:B$73,MATCH($A13,Catálogo!$A$5:$A$73,0)))</f>
        <v>1. Verificación funcional inicial</v>
      </c>
      <c r="C13" s="13" t="str">
        <f>IF(INDEX(Catálogo!C$5:C$73,MATCH($A13,Catálogo!$A$5:$A$73,0))="","",INDEX(Catálogo!C$5:C$73,MATCH($A13,Catálogo!$A$5:$A$73,0)))</f>
        <v>1.2 Identificación y trazabilidad</v>
      </c>
      <c r="D13" s="13" t="str">
        <f>IF(INDEX(Catálogo!D$5:D$73,MATCH($A13,Catálogo!$A$5:$A$73,0))="","",INDEX(Catálogo!D$5:D$73,MATCH($A13,Catálogo!$A$5:$A$73,0)))</f>
        <v>Serial del espectrómetro</v>
      </c>
      <c r="E13" s="14" t="str">
        <f>IF(INDEX(Catálogo!E$5:E$73,MATCH($A13,Catálogo!$A$5:$A$73,0))="","",INDEX(Catálogo!E$5:E$73,MATCH($A13,Catálogo!$A$5:$A$73,0)))</f>
        <v>El espectrómetro instalado corresponde al del equipo (no de otro monitor)</v>
      </c>
      <c r="F13" s="13" t="str">
        <f>IF(INDEX(Catálogo!F$5:F$73,MATCH($A13,Catálogo!$A$5:$A$73,0))="","",INDEX(Catálogo!F$5:F$73,MATCH($A13,Catálogo!$A$5:$A$73,0)))</f>
        <v>Sí/No</v>
      </c>
      <c r="G13" s="13" t="str">
        <f>IF(INDEX(Catálogo!G$5:G$73,MATCH($A13,Catálogo!$A$5:$A$73,0))="","",INDEX(Catálogo!G$5:G$73,MATCH($A13,Catálogo!$A$5:$A$73,0)))</f>
        <v/>
      </c>
      <c r="H13" s="14" t="str">
        <f>IF(INDEX(Catálogo!H$5:H$73,MATCH($A13,Catálogo!$A$5:$A$73,0))="","",INDEX(Catálogo!H$5:H$73,MATCH($A13,Catálogo!$A$5:$A$73,0)))</f>
        <v>Debe corresponder</v>
      </c>
      <c r="I13" s="13" t="str">
        <f>IF(INDEX(Catálogo!I$5:I$73,MATCH($A13,Catálogo!$A$5:$A$73,0))="","",INDEX(Catálogo!I$5:I$73,MATCH($A13,Catálogo!$A$5:$A$73,0)))</f>
        <v/>
      </c>
      <c r="J13" s="13" t="str">
        <f>IF(INDEX(Catálogo!J$5:J$73,MATCH($A13,Catálogo!$A$5:$A$73,0))="","",INDEX(Catálogo!J$5:J$73,MATCH($A13,Catálogo!$A$5:$A$73,0)))</f>
        <v/>
      </c>
      <c r="K13" s="19" t="s">
        <v>42</v>
      </c>
      <c r="L13" s="19"/>
      <c r="M13" s="13" t="str">
        <f t="shared" si="0"/>
        <v/>
      </c>
      <c r="N13" s="19"/>
      <c r="O13" s="20"/>
      <c r="P13" s="13" t="str">
        <f>IF(INDEX(Catálogo!M$5:M$73,MATCH($A13,Catálogo!$A$5:$A$73,0))="","",INDEX(Catálogo!M$5:M$73,MATCH($A13,Catálogo!$A$5:$A$73,0)))</f>
        <v/>
      </c>
    </row>
    <row r="14" spans="1:16" ht="24" x14ac:dyDescent="0.25">
      <c r="A14" s="13" t="s">
        <v>85</v>
      </c>
      <c r="B14" s="13" t="str">
        <f>IF(INDEX(Catálogo!B$5:B$73,MATCH($A14,Catálogo!$A$5:$A$73,0))="","",INDEX(Catálogo!B$5:B$73,MATCH($A14,Catálogo!$A$5:$A$73,0)))</f>
        <v>1. Verificación funcional inicial</v>
      </c>
      <c r="C14" s="13" t="str">
        <f>IF(INDEX(Catálogo!C$5:C$73,MATCH($A14,Catálogo!$A$5:$A$73,0))="","",INDEX(Catálogo!C$5:C$73,MATCH($A14,Catálogo!$A$5:$A$73,0)))</f>
        <v>1.2 Identificación y trazabilidad</v>
      </c>
      <c r="D14" s="13" t="str">
        <f>IF(INDEX(Catálogo!D$5:D$73,MATCH($A14,Catálogo!$A$5:$A$73,0))="","",INDEX(Catálogo!D$5:D$73,MATCH($A14,Catálogo!$A$5:$A$73,0)))</f>
        <v>Accesorios recibidos</v>
      </c>
      <c r="E14" s="14" t="str">
        <f>IF(INDEX(Catálogo!E$5:E$73,MATCH($A14,Catálogo!$A$5:$A$73,0))="","",INDEX(Catálogo!E$5:E$73,MATCH($A14,Catálogo!$A$5:$A$73,0)))</f>
        <v>Inventario de accesorios: tubo de muestra, cabezal TSP, sensor T/HR, cables</v>
      </c>
      <c r="F14" s="13" t="str">
        <f>IF(INDEX(Catálogo!F$5:F$73,MATCH($A14,Catálogo!$A$5:$A$73,0))="","",INDEX(Catálogo!F$5:F$73,MATCH($A14,Catálogo!$A$5:$A$73,0)))</f>
        <v>Texto</v>
      </c>
      <c r="G14" s="13" t="str">
        <f>IF(INDEX(Catálogo!G$5:G$73,MATCH($A14,Catálogo!$A$5:$A$73,0))="","",INDEX(Catálogo!G$5:G$73,MATCH($A14,Catálogo!$A$5:$A$73,0)))</f>
        <v/>
      </c>
      <c r="H14" s="14" t="str">
        <f>IF(INDEX(Catálogo!H$5:H$73,MATCH($A14,Catálogo!$A$5:$A$73,0))="","",INDEX(Catálogo!H$5:H$73,MATCH($A14,Catálogo!$A$5:$A$73,0)))</f>
        <v>Inventario completo</v>
      </c>
      <c r="I14" s="13" t="str">
        <f>IF(INDEX(Catálogo!I$5:I$73,MATCH($A14,Catálogo!$A$5:$A$73,0))="","",INDEX(Catálogo!I$5:I$73,MATCH($A14,Catálogo!$A$5:$A$73,0)))</f>
        <v/>
      </c>
      <c r="J14" s="13" t="str">
        <f>IF(INDEX(Catálogo!J$5:J$73,MATCH($A14,Catálogo!$A$5:$A$73,0))="","",INDEX(Catálogo!J$5:J$73,MATCH($A14,Catálogo!$A$5:$A$73,0)))</f>
        <v/>
      </c>
      <c r="K14" s="19" t="s">
        <v>42</v>
      </c>
      <c r="L14" s="19"/>
      <c r="M14" s="13" t="str">
        <f t="shared" si="0"/>
        <v/>
      </c>
      <c r="N14" s="19"/>
      <c r="O14" s="20"/>
      <c r="P14" s="13" t="str">
        <f>IF(INDEX(Catálogo!M$5:M$73,MATCH($A14,Catálogo!$A$5:$A$73,0))="","",INDEX(Catálogo!M$5:M$73,MATCH($A14,Catálogo!$A$5:$A$73,0)))</f>
        <v/>
      </c>
    </row>
    <row r="15" spans="1:16" x14ac:dyDescent="0.25">
      <c r="A15" s="13" t="s">
        <v>89</v>
      </c>
      <c r="B15" s="13" t="str">
        <f>IF(INDEX(Catálogo!B$5:B$73,MATCH($A15,Catálogo!$A$5:$A$73,0))="","",INDEX(Catálogo!B$5:B$73,MATCH($A15,Catálogo!$A$5:$A$73,0)))</f>
        <v>1. Verificación funcional inicial</v>
      </c>
      <c r="C15" s="13" t="str">
        <f>IF(INDEX(Catálogo!C$5:C$73,MATCH($A15,Catálogo!$A$5:$A$73,0))="","",INDEX(Catálogo!C$5:C$73,MATCH($A15,Catálogo!$A$5:$A$73,0)))</f>
        <v>1.3 Estado de calibración</v>
      </c>
      <c r="D15" s="13" t="str">
        <f>IF(INDEX(Catálogo!D$5:D$73,MATCH($A15,Catálogo!$A$5:$A$73,0))="","",INDEX(Catálogo!D$5:D$73,MATCH($A15,Catálogo!$A$5:$A$73,0)))</f>
        <v>Vigencia de calibración en Torre GRIMM</v>
      </c>
      <c r="E15" s="14" t="str">
        <f>IF(INDEX(Catálogo!E$5:E$73,MATCH($A15,Catálogo!$A$5:$A$73,0))="","",INDEX(Catálogo!E$5:E$73,MATCH($A15,Catálogo!$A$5:$A$73,0)))</f>
        <v>Fecha de la última calibración en torre patrón</v>
      </c>
      <c r="F15" s="13" t="str">
        <f>IF(INDEX(Catálogo!F$5:F$73,MATCH($A15,Catálogo!$A$5:$A$73,0))="","",INDEX(Catálogo!F$5:F$73,MATCH($A15,Catálogo!$A$5:$A$73,0)))</f>
        <v>Fecha</v>
      </c>
      <c r="G15" s="13" t="str">
        <f>IF(INDEX(Catálogo!G$5:G$73,MATCH($A15,Catálogo!$A$5:$A$73,0))="","",INDEX(Catálogo!G$5:G$73,MATCH($A15,Catálogo!$A$5:$A$73,0)))</f>
        <v/>
      </c>
      <c r="H15" s="14" t="str">
        <f>IF(INDEX(Catálogo!H$5:H$73,MATCH($A15,Catálogo!$A$5:$A$73,0))="","",INDEX(Catálogo!H$5:H$73,MATCH($A15,Catálogo!$A$5:$A$73,0)))</f>
        <v>Vigencia máxima 12 meses</v>
      </c>
      <c r="I15" s="13" t="str">
        <f>IF(INDEX(Catálogo!I$5:I$73,MATCH($A15,Catálogo!$A$5:$A$73,0))="","",INDEX(Catálogo!I$5:I$73,MATCH($A15,Catálogo!$A$5:$A$73,0)))</f>
        <v/>
      </c>
      <c r="J15" s="13" t="str">
        <f>IF(INDEX(Catálogo!J$5:J$73,MATCH($A15,Catálogo!$A$5:$A$73,0))="","",INDEX(Catálogo!J$5:J$73,MATCH($A15,Catálogo!$A$5:$A$73,0)))</f>
        <v/>
      </c>
      <c r="K15" s="19" t="s">
        <v>42</v>
      </c>
      <c r="L15" s="19"/>
      <c r="M15" s="13" t="str">
        <f t="shared" si="0"/>
        <v/>
      </c>
      <c r="N15" s="19"/>
      <c r="O15" s="20"/>
      <c r="P15" s="13" t="str">
        <f>IF(INDEX(Catálogo!M$5:M$73,MATCH($A15,Catálogo!$A$5:$A$73,0))="","",INDEX(Catálogo!M$5:M$73,MATCH($A15,Catálogo!$A$5:$A$73,0)))</f>
        <v>AMB-STCALENVIRO-01</v>
      </c>
    </row>
    <row r="16" spans="1:16" x14ac:dyDescent="0.25">
      <c r="A16" s="13" t="s">
        <v>96</v>
      </c>
      <c r="B16" s="13" t="str">
        <f>IF(INDEX(Catálogo!B$5:B$73,MATCH($A16,Catálogo!$A$5:$A$73,0))="","",INDEX(Catálogo!B$5:B$73,MATCH($A16,Catálogo!$A$5:$A$73,0)))</f>
        <v>1. Verificación funcional inicial</v>
      </c>
      <c r="C16" s="13" t="str">
        <f>IF(INDEX(Catálogo!C$5:C$73,MATCH($A16,Catálogo!$A$5:$A$73,0))="","",INDEX(Catálogo!C$5:C$73,MATCH($A16,Catálogo!$A$5:$A$73,0)))</f>
        <v>1.3 Estado de calibración</v>
      </c>
      <c r="D16" s="13" t="str">
        <f>IF(INDEX(Catálogo!D$5:D$73,MATCH($A16,Catálogo!$A$5:$A$73,0))="","",INDEX(Catálogo!D$5:D$73,MATCH($A16,Catálogo!$A$5:$A$73,0)))</f>
        <v>Certificado disponible</v>
      </c>
      <c r="E16" s="14" t="str">
        <f>IF(INDEX(Catálogo!E$5:E$73,MATCH($A16,Catálogo!$A$5:$A$73,0))="","",INDEX(Catálogo!E$5:E$73,MATCH($A16,Catálogo!$A$5:$A$73,0)))</f>
        <v>Existe certificado de la última calibración</v>
      </c>
      <c r="F16" s="13" t="str">
        <f>IF(INDEX(Catálogo!F$5:F$73,MATCH($A16,Catálogo!$A$5:$A$73,0))="","",INDEX(Catálogo!F$5:F$73,MATCH($A16,Catálogo!$A$5:$A$73,0)))</f>
        <v>Sí/No</v>
      </c>
      <c r="G16" s="13" t="str">
        <f>IF(INDEX(Catálogo!G$5:G$73,MATCH($A16,Catálogo!$A$5:$A$73,0))="","",INDEX(Catálogo!G$5:G$73,MATCH($A16,Catálogo!$A$5:$A$73,0)))</f>
        <v/>
      </c>
      <c r="H16" s="14" t="str">
        <f>IF(INDEX(Catálogo!H$5:H$73,MATCH($A16,Catálogo!$A$5:$A$73,0))="","",INDEX(Catálogo!H$5:H$73,MATCH($A16,Catálogo!$A$5:$A$73,0)))</f>
        <v>Debe existir</v>
      </c>
      <c r="I16" s="13" t="str">
        <f>IF(INDEX(Catálogo!I$5:I$73,MATCH($A16,Catálogo!$A$5:$A$73,0))="","",INDEX(Catálogo!I$5:I$73,MATCH($A16,Catálogo!$A$5:$A$73,0)))</f>
        <v/>
      </c>
      <c r="J16" s="13" t="str">
        <f>IF(INDEX(Catálogo!J$5:J$73,MATCH($A16,Catálogo!$A$5:$A$73,0))="","",INDEX(Catálogo!J$5:J$73,MATCH($A16,Catálogo!$A$5:$A$73,0)))</f>
        <v/>
      </c>
      <c r="K16" s="19" t="s">
        <v>42</v>
      </c>
      <c r="L16" s="19"/>
      <c r="M16" s="13" t="str">
        <f t="shared" si="0"/>
        <v/>
      </c>
      <c r="N16" s="19"/>
      <c r="O16" s="20"/>
      <c r="P16" s="13" t="str">
        <f>IF(INDEX(Catálogo!M$5:M$73,MATCH($A16,Catálogo!$A$5:$A$73,0))="","",INDEX(Catálogo!M$5:M$73,MATCH($A16,Catálogo!$A$5:$A$73,0)))</f>
        <v/>
      </c>
    </row>
    <row r="17" spans="1:16" x14ac:dyDescent="0.25">
      <c r="A17" s="11" t="s">
        <v>100</v>
      </c>
      <c r="B17" s="11" t="str">
        <f>IF(INDEX(Catálogo!B$5:B$73,MATCH($A17,Catálogo!$A$5:$A$73,0))="","",INDEX(Catálogo!B$5:B$73,MATCH($A17,Catálogo!$A$5:$A$73,0)))</f>
        <v>2. Línea de muestreo y cabezal</v>
      </c>
      <c r="C17" s="11" t="str">
        <f>IF(INDEX(Catálogo!C$5:C$73,MATCH($A17,Catálogo!$A$5:$A$73,0))="","",INDEX(Catálogo!C$5:C$73,MATCH($A17,Catálogo!$A$5:$A$73,0)))</f>
        <v>2.1 Cabezal TSP</v>
      </c>
      <c r="D17" s="11" t="str">
        <f>IF(INDEX(Catálogo!D$5:D$73,MATCH($A17,Catálogo!$A$5:$A$73,0))="","",INDEX(Catálogo!D$5:D$73,MATCH($A17,Catálogo!$A$5:$A$73,0)))</f>
        <v>Estado físico del cabezal</v>
      </c>
      <c r="E17" s="12" t="str">
        <f>IF(INDEX(Catálogo!E$5:E$73,MATCH($A17,Catálogo!$A$5:$A$73,0))="","",INDEX(Catálogo!E$5:E$73,MATCH($A17,Catálogo!$A$5:$A$73,0)))</f>
        <v>Golpes, deformación, corrosión del cabezal TSP</v>
      </c>
      <c r="F17" s="11" t="str">
        <f>IF(INDEX(Catálogo!F$5:F$73,MATCH($A17,Catálogo!$A$5:$A$73,0))="","",INDEX(Catálogo!F$5:F$73,MATCH($A17,Catálogo!$A$5:$A$73,0)))</f>
        <v>OK / No OK</v>
      </c>
      <c r="G17" s="11" t="str">
        <f>IF(INDEX(Catálogo!G$5:G$73,MATCH($A17,Catálogo!$A$5:$A$73,0))="","",INDEX(Catálogo!G$5:G$73,MATCH($A17,Catálogo!$A$5:$A$73,0)))</f>
        <v/>
      </c>
      <c r="H17" s="12" t="str">
        <f>IF(INDEX(Catálogo!H$5:H$73,MATCH($A17,Catálogo!$A$5:$A$73,0))="","",INDEX(Catálogo!H$5:H$73,MATCH($A17,Catálogo!$A$5:$A$73,0)))</f>
        <v>Sin deformación ni corrosión</v>
      </c>
      <c r="I17" s="11" t="str">
        <f>IF(INDEX(Catálogo!I$5:I$73,MATCH($A17,Catálogo!$A$5:$A$73,0))="","",INDEX(Catálogo!I$5:I$73,MATCH($A17,Catálogo!$A$5:$A$73,0)))</f>
        <v/>
      </c>
      <c r="J17" s="11" t="str">
        <f>IF(INDEX(Catálogo!J$5:J$73,MATCH($A17,Catálogo!$A$5:$A$73,0))="","",INDEX(Catálogo!J$5:J$73,MATCH($A17,Catálogo!$A$5:$A$73,0)))</f>
        <v/>
      </c>
      <c r="K17" s="19" t="s">
        <v>42</v>
      </c>
      <c r="L17" s="19"/>
      <c r="M17" s="11" t="str">
        <f t="shared" si="0"/>
        <v/>
      </c>
      <c r="N17" s="19"/>
      <c r="O17" s="20"/>
      <c r="P17" s="11" t="str">
        <f>IF(INDEX(Catálogo!M$5:M$73,MATCH($A17,Catálogo!$A$5:$A$73,0))="","",INDEX(Catálogo!M$5:M$73,MATCH($A17,Catálogo!$A$5:$A$73,0)))</f>
        <v/>
      </c>
    </row>
    <row r="18" spans="1:16" ht="24" x14ac:dyDescent="0.25">
      <c r="A18" s="13" t="s">
        <v>108</v>
      </c>
      <c r="B18" s="13" t="str">
        <f>IF(INDEX(Catálogo!B$5:B$73,MATCH($A18,Catálogo!$A$5:$A$73,0))="","",INDEX(Catálogo!B$5:B$73,MATCH($A18,Catálogo!$A$5:$A$73,0)))</f>
        <v>2. Línea de muestreo y cabezal</v>
      </c>
      <c r="C18" s="13" t="str">
        <f>IF(INDEX(Catálogo!C$5:C$73,MATCH($A18,Catálogo!$A$5:$A$73,0))="","",INDEX(Catálogo!C$5:C$73,MATCH($A18,Catálogo!$A$5:$A$73,0)))</f>
        <v>2.1 Cabezal TSP</v>
      </c>
      <c r="D18" s="13" t="str">
        <f>IF(INDEX(Catálogo!D$5:D$73,MATCH($A18,Catálogo!$A$5:$A$73,0))="","",INDEX(Catálogo!D$5:D$73,MATCH($A18,Catálogo!$A$5:$A$73,0)))</f>
        <v>Tornillo de seguridad del cabezal</v>
      </c>
      <c r="E18" s="14" t="str">
        <f>IF(INDEX(Catálogo!E$5:E$73,MATCH($A18,Catálogo!$A$5:$A$73,0))="","",INDEX(Catálogo!E$5:E$73,MATCH($A18,Catálogo!$A$5:$A$73,0)))</f>
        <v>Presencia y estado del tornillo de seguridad del cabezal TSP</v>
      </c>
      <c r="F18" s="13" t="str">
        <f>IF(INDEX(Catálogo!F$5:F$73,MATCH($A18,Catálogo!$A$5:$A$73,0))="","",INDEX(Catálogo!F$5:F$73,MATCH($A18,Catálogo!$A$5:$A$73,0)))</f>
        <v>Presente / Ausente</v>
      </c>
      <c r="G18" s="13" t="str">
        <f>IF(INDEX(Catálogo!G$5:G$73,MATCH($A18,Catálogo!$A$5:$A$73,0))="","",INDEX(Catálogo!G$5:G$73,MATCH($A18,Catálogo!$A$5:$A$73,0)))</f>
        <v/>
      </c>
      <c r="H18" s="14" t="str">
        <f>IF(INDEX(Catálogo!H$5:H$73,MATCH($A18,Catálogo!$A$5:$A$73,0))="","",INDEX(Catálogo!H$5:H$73,MATCH($A18,Catálogo!$A$5:$A$73,0)))</f>
        <v>Debe estar presente</v>
      </c>
      <c r="I18" s="13" t="str">
        <f>IF(INDEX(Catálogo!I$5:I$73,MATCH($A18,Catálogo!$A$5:$A$73,0))="","",INDEX(Catálogo!I$5:I$73,MATCH($A18,Catálogo!$A$5:$A$73,0)))</f>
        <v/>
      </c>
      <c r="J18" s="13" t="str">
        <f>IF(INDEX(Catálogo!J$5:J$73,MATCH($A18,Catálogo!$A$5:$A$73,0))="","",INDEX(Catálogo!J$5:J$73,MATCH($A18,Catálogo!$A$5:$A$73,0)))</f>
        <v/>
      </c>
      <c r="K18" s="19" t="s">
        <v>42</v>
      </c>
      <c r="L18" s="19"/>
      <c r="M18" s="13" t="str">
        <f t="shared" si="0"/>
        <v/>
      </c>
      <c r="N18" s="19"/>
      <c r="O18" s="20"/>
      <c r="P18" s="13" t="str">
        <f>IF(INDEX(Catálogo!M$5:M$73,MATCH($A18,Catálogo!$A$5:$A$73,0))="","",INDEX(Catálogo!M$5:M$73,MATCH($A18,Catálogo!$A$5:$A$73,0)))</f>
        <v>M02M2X4D912A4</v>
      </c>
    </row>
    <row r="19" spans="1:16" ht="24" x14ac:dyDescent="0.25">
      <c r="A19" s="13" t="s">
        <v>114</v>
      </c>
      <c r="B19" s="13" t="str">
        <f>IF(INDEX(Catálogo!B$5:B$73,MATCH($A19,Catálogo!$A$5:$A$73,0))="","",INDEX(Catálogo!B$5:B$73,MATCH($A19,Catálogo!$A$5:$A$73,0)))</f>
        <v>2. Línea de muestreo y cabezal</v>
      </c>
      <c r="C19" s="13" t="str">
        <f>IF(INDEX(Catálogo!C$5:C$73,MATCH($A19,Catálogo!$A$5:$A$73,0))="","",INDEX(Catálogo!C$5:C$73,MATCH($A19,Catálogo!$A$5:$A$73,0)))</f>
        <v>2.1 Cabezal TSP</v>
      </c>
      <c r="D19" s="13" t="str">
        <f>IF(INDEX(Catálogo!D$5:D$73,MATCH($A19,Catálogo!$A$5:$A$73,0))="","",INDEX(Catálogo!D$5:D$73,MATCH($A19,Catálogo!$A$5:$A$73,0)))</f>
        <v>Limpieza interna del cabezal</v>
      </c>
      <c r="E19" s="14" t="str">
        <f>IF(INDEX(Catálogo!E$5:E$73,MATCH($A19,Catálogo!$A$5:$A$73,0))="","",INDEX(Catálogo!E$5:E$73,MATCH($A19,Catálogo!$A$5:$A$73,0)))</f>
        <v>Acumulación de material particulado en el interior del cabezal</v>
      </c>
      <c r="F19" s="13" t="str">
        <f>IF(INDEX(Catálogo!F$5:F$73,MATCH($A19,Catálogo!$A$5:$A$73,0))="","",INDEX(Catálogo!F$5:F$73,MATCH($A19,Catálogo!$A$5:$A$73,0)))</f>
        <v>OK / No OK</v>
      </c>
      <c r="G19" s="13" t="str">
        <f>IF(INDEX(Catálogo!G$5:G$73,MATCH($A19,Catálogo!$A$5:$A$73,0))="","",INDEX(Catálogo!G$5:G$73,MATCH($A19,Catálogo!$A$5:$A$73,0)))</f>
        <v/>
      </c>
      <c r="H19" s="14" t="str">
        <f>IF(INDEX(Catálogo!H$5:H$73,MATCH($A19,Catálogo!$A$5:$A$73,0))="","",INDEX(Catálogo!H$5:H$73,MATCH($A19,Catálogo!$A$5:$A$73,0)))</f>
        <v>Libre de acumulación</v>
      </c>
      <c r="I19" s="13" t="str">
        <f>IF(INDEX(Catálogo!I$5:I$73,MATCH($A19,Catálogo!$A$5:$A$73,0))="","",INDEX(Catálogo!I$5:I$73,MATCH($A19,Catálogo!$A$5:$A$73,0)))</f>
        <v/>
      </c>
      <c r="J19" s="13" t="str">
        <f>IF(INDEX(Catálogo!J$5:J$73,MATCH($A19,Catálogo!$A$5:$A$73,0))="","",INDEX(Catálogo!J$5:J$73,MATCH($A19,Catálogo!$A$5:$A$73,0)))</f>
        <v/>
      </c>
      <c r="K19" s="19" t="s">
        <v>42</v>
      </c>
      <c r="L19" s="19"/>
      <c r="M19" s="13" t="str">
        <f t="shared" si="0"/>
        <v/>
      </c>
      <c r="N19" s="19"/>
      <c r="O19" s="20"/>
      <c r="P19" s="13" t="str">
        <f>IF(INDEX(Catálogo!M$5:M$73,MATCH($A19,Catálogo!$A$5:$A$73,0))="","",INDEX(Catálogo!M$5:M$73,MATCH($A19,Catálogo!$A$5:$A$73,0)))</f>
        <v/>
      </c>
    </row>
    <row r="20" spans="1:16" x14ac:dyDescent="0.25">
      <c r="A20" s="13" t="s">
        <v>118</v>
      </c>
      <c r="B20" s="13" t="str">
        <f>IF(INDEX(Catálogo!B$5:B$73,MATCH($A20,Catálogo!$A$5:$A$73,0))="","",INDEX(Catálogo!B$5:B$73,MATCH($A20,Catálogo!$A$5:$A$73,0)))</f>
        <v>2. Línea de muestreo y cabezal</v>
      </c>
      <c r="C20" s="13" t="str">
        <f>IF(INDEX(Catálogo!C$5:C$73,MATCH($A20,Catálogo!$A$5:$A$73,0))="","",INDEX(Catálogo!C$5:C$73,MATCH($A20,Catálogo!$A$5:$A$73,0)))</f>
        <v>2.2 Tubo de muestra (1.5 m)</v>
      </c>
      <c r="D20" s="13" t="str">
        <f>IF(INDEX(Catálogo!D$5:D$73,MATCH($A20,Catálogo!$A$5:$A$73,0))="","",INDEX(Catálogo!D$5:D$73,MATCH($A20,Catálogo!$A$5:$A$73,0)))</f>
        <v>Rectitud del tubo</v>
      </c>
      <c r="E20" s="14" t="str">
        <f>IF(INDEX(Catálogo!E$5:E$73,MATCH($A20,Catálogo!$A$5:$A$73,0))="","",INDEX(Catálogo!E$5:E$73,MATCH($A20,Catálogo!$A$5:$A$73,0)))</f>
        <v>Deformación o torcedura del tubo de muestra</v>
      </c>
      <c r="F20" s="13" t="str">
        <f>IF(INDEX(Catálogo!F$5:F$73,MATCH($A20,Catálogo!$A$5:$A$73,0))="","",INDEX(Catálogo!F$5:F$73,MATCH($A20,Catálogo!$A$5:$A$73,0)))</f>
        <v>OK / No OK</v>
      </c>
      <c r="G20" s="13" t="str">
        <f>IF(INDEX(Catálogo!G$5:G$73,MATCH($A20,Catálogo!$A$5:$A$73,0))="","",INDEX(Catálogo!G$5:G$73,MATCH($A20,Catálogo!$A$5:$A$73,0)))</f>
        <v/>
      </c>
      <c r="H20" s="14" t="str">
        <f>IF(INDEX(Catálogo!H$5:H$73,MATCH($A20,Catálogo!$A$5:$A$73,0))="","",INDEX(Catálogo!H$5:H$73,MATCH($A20,Catálogo!$A$5:$A$73,0)))</f>
        <v>Sin deformación mecánica</v>
      </c>
      <c r="I20" s="13" t="str">
        <f>IF(INDEX(Catálogo!I$5:I$73,MATCH($A20,Catálogo!$A$5:$A$73,0))="","",INDEX(Catálogo!I$5:I$73,MATCH($A20,Catálogo!$A$5:$A$73,0)))</f>
        <v/>
      </c>
      <c r="J20" s="13" t="str">
        <f>IF(INDEX(Catálogo!J$5:J$73,MATCH($A20,Catálogo!$A$5:$A$73,0))="","",INDEX(Catálogo!J$5:J$73,MATCH($A20,Catálogo!$A$5:$A$73,0)))</f>
        <v/>
      </c>
      <c r="K20" s="19" t="s">
        <v>42</v>
      </c>
      <c r="L20" s="19"/>
      <c r="M20" s="13" t="str">
        <f t="shared" si="0"/>
        <v/>
      </c>
      <c r="N20" s="19"/>
      <c r="O20" s="20"/>
      <c r="P20" s="13" t="str">
        <f>IF(INDEX(Catálogo!M$5:M$73,MATCH($A20,Catálogo!$A$5:$A$73,0))="","",INDEX(Catálogo!M$5:M$73,MATCH($A20,Catálogo!$A$5:$A$73,0)))</f>
        <v>GR-TI-01</v>
      </c>
    </row>
    <row r="21" spans="1:16" x14ac:dyDescent="0.25">
      <c r="A21" s="13" t="s">
        <v>124</v>
      </c>
      <c r="B21" s="13" t="str">
        <f>IF(INDEX(Catálogo!B$5:B$73,MATCH($A21,Catálogo!$A$5:$A$73,0))="","",INDEX(Catálogo!B$5:B$73,MATCH($A21,Catálogo!$A$5:$A$73,0)))</f>
        <v>2. Línea de muestreo y cabezal</v>
      </c>
      <c r="C21" s="13" t="str">
        <f>IF(INDEX(Catálogo!C$5:C$73,MATCH($A21,Catálogo!$A$5:$A$73,0))="","",INDEX(Catálogo!C$5:C$73,MATCH($A21,Catálogo!$A$5:$A$73,0)))</f>
        <v>2.2 Tubo de muestra (1.5 m)</v>
      </c>
      <c r="D21" s="13" t="str">
        <f>IF(INDEX(Catálogo!D$5:D$73,MATCH($A21,Catálogo!$A$5:$A$73,0))="","",INDEX(Catálogo!D$5:D$73,MATCH($A21,Catálogo!$A$5:$A$73,0)))</f>
        <v>Fugas internas</v>
      </c>
      <c r="E21" s="14" t="str">
        <f>IF(INDEX(Catálogo!E$5:E$73,MATCH($A21,Catálogo!$A$5:$A$73,0))="","",INDEX(Catálogo!E$5:E$73,MATCH($A21,Catálogo!$A$5:$A$73,0)))</f>
        <v>Prueba de estanqueidad del tubo de muestra</v>
      </c>
      <c r="F21" s="13" t="str">
        <f>IF(INDEX(Catálogo!F$5:F$73,MATCH($A21,Catálogo!$A$5:$A$73,0))="","",INDEX(Catálogo!F$5:F$73,MATCH($A21,Catálogo!$A$5:$A$73,0)))</f>
        <v>OK / No OK</v>
      </c>
      <c r="G21" s="13" t="str">
        <f>IF(INDEX(Catálogo!G$5:G$73,MATCH($A21,Catálogo!$A$5:$A$73,0))="","",INDEX(Catálogo!G$5:G$73,MATCH($A21,Catálogo!$A$5:$A$73,0)))</f>
        <v/>
      </c>
      <c r="H21" s="14" t="str">
        <f>IF(INDEX(Catálogo!H$5:H$73,MATCH($A21,Catálogo!$A$5:$A$73,0))="","",INDEX(Catálogo!H$5:H$73,MATCH($A21,Catálogo!$A$5:$A$73,0)))</f>
        <v>Sin fugas</v>
      </c>
      <c r="I21" s="13" t="str">
        <f>IF(INDEX(Catálogo!I$5:I$73,MATCH($A21,Catálogo!$A$5:$A$73,0))="","",INDEX(Catálogo!I$5:I$73,MATCH($A21,Catálogo!$A$5:$A$73,0)))</f>
        <v/>
      </c>
      <c r="J21" s="13" t="str">
        <f>IF(INDEX(Catálogo!J$5:J$73,MATCH($A21,Catálogo!$A$5:$A$73,0))="","",INDEX(Catálogo!J$5:J$73,MATCH($A21,Catálogo!$A$5:$A$73,0)))</f>
        <v/>
      </c>
      <c r="K21" s="19" t="s">
        <v>42</v>
      </c>
      <c r="L21" s="19"/>
      <c r="M21" s="13" t="str">
        <f t="shared" si="0"/>
        <v/>
      </c>
      <c r="N21" s="19"/>
      <c r="O21" s="20"/>
      <c r="P21" s="13" t="str">
        <f>IF(INDEX(Catálogo!M$5:M$73,MATCH($A21,Catálogo!$A$5:$A$73,0))="","",INDEX(Catálogo!M$5:M$73,MATCH($A21,Catálogo!$A$5:$A$73,0)))</f>
        <v/>
      </c>
    </row>
    <row r="22" spans="1:16" ht="24" x14ac:dyDescent="0.25">
      <c r="A22" s="13" t="s">
        <v>128</v>
      </c>
      <c r="B22" s="13" t="str">
        <f>IF(INDEX(Catálogo!B$5:B$73,MATCH($A22,Catálogo!$A$5:$A$73,0))="","",INDEX(Catálogo!B$5:B$73,MATCH($A22,Catálogo!$A$5:$A$73,0)))</f>
        <v>2. Línea de muestreo y cabezal</v>
      </c>
      <c r="C22" s="13" t="str">
        <f>IF(INDEX(Catálogo!C$5:C$73,MATCH($A22,Catálogo!$A$5:$A$73,0))="","",INDEX(Catálogo!C$5:C$73,MATCH($A22,Catálogo!$A$5:$A$73,0)))</f>
        <v>2.2 Tubo de muestra (1.5 m)</v>
      </c>
      <c r="D22" s="13" t="str">
        <f>IF(INDEX(Catálogo!D$5:D$73,MATCH($A22,Catálogo!$A$5:$A$73,0))="","",INDEX(Catálogo!D$5:D$73,MATCH($A22,Catálogo!$A$5:$A$73,0)))</f>
        <v>Estructura interna de bronce</v>
      </c>
      <c r="E22" s="14" t="str">
        <f>IF(INDEX(Catálogo!E$5:E$73,MATCH($A22,Catálogo!$A$5:$A$73,0))="","",INDEX(Catálogo!E$5:E$73,MATCH($A22,Catálogo!$A$5:$A$73,0)))</f>
        <v>Integridad de la estructura de bronce y su base respecto a las líneas neumáticas</v>
      </c>
      <c r="F22" s="13" t="str">
        <f>IF(INDEX(Catálogo!F$5:F$73,MATCH($A22,Catálogo!$A$5:$A$73,0))="","",INDEX(Catálogo!F$5:F$73,MATCH($A22,Catálogo!$A$5:$A$73,0)))</f>
        <v>OK / No OK</v>
      </c>
      <c r="G22" s="13" t="str">
        <f>IF(INDEX(Catálogo!G$5:G$73,MATCH($A22,Catálogo!$A$5:$A$73,0))="","",INDEX(Catálogo!G$5:G$73,MATCH($A22,Catálogo!$A$5:$A$73,0)))</f>
        <v/>
      </c>
      <c r="H22" s="14" t="str">
        <f>IF(INDEX(Catálogo!H$5:H$73,MATCH($A22,Catálogo!$A$5:$A$73,0))="","",INDEX(Catálogo!H$5:H$73,MATCH($A22,Catálogo!$A$5:$A$73,0)))</f>
        <v>Base unida a las líneas neumáticas</v>
      </c>
      <c r="I22" s="13" t="str">
        <f>IF(INDEX(Catálogo!I$5:I$73,MATCH($A22,Catálogo!$A$5:$A$73,0))="","",INDEX(Catálogo!I$5:I$73,MATCH($A22,Catálogo!$A$5:$A$73,0)))</f>
        <v/>
      </c>
      <c r="J22" s="13" t="str">
        <f>IF(INDEX(Catálogo!J$5:J$73,MATCH($A22,Catálogo!$A$5:$A$73,0))="","",INDEX(Catálogo!J$5:J$73,MATCH($A22,Catálogo!$A$5:$A$73,0)))</f>
        <v/>
      </c>
      <c r="K22" s="19" t="s">
        <v>42</v>
      </c>
      <c r="L22" s="19"/>
      <c r="M22" s="13" t="str">
        <f t="shared" si="0"/>
        <v/>
      </c>
      <c r="N22" s="19"/>
      <c r="O22" s="20"/>
      <c r="P22" s="13" t="str">
        <f>IF(INDEX(Catálogo!M$5:M$73,MATCH($A22,Catálogo!$A$5:$A$73,0))="","",INDEX(Catálogo!M$5:M$73,MATCH($A22,Catálogo!$A$5:$A$73,0)))</f>
        <v>GR-TI-01</v>
      </c>
    </row>
    <row r="23" spans="1:16" ht="24" x14ac:dyDescent="0.25">
      <c r="A23" s="13" t="s">
        <v>132</v>
      </c>
      <c r="B23" s="13" t="str">
        <f>IF(INDEX(Catálogo!B$5:B$73,MATCH($A23,Catálogo!$A$5:$A$73,0))="","",INDEX(Catálogo!B$5:B$73,MATCH($A23,Catálogo!$A$5:$A$73,0)))</f>
        <v>2. Línea de muestreo y cabezal</v>
      </c>
      <c r="C23" s="13" t="str">
        <f>IF(INDEX(Catálogo!C$5:C$73,MATCH($A23,Catálogo!$A$5:$A$73,0))="","",INDEX(Catálogo!C$5:C$73,MATCH($A23,Catálogo!$A$5:$A$73,0)))</f>
        <v>2.2 Tubo de muestra (1.5 m)</v>
      </c>
      <c r="D23" s="13" t="str">
        <f>IF(INDEX(Catálogo!D$5:D$73,MATCH($A23,Catálogo!$A$5:$A$73,0))="","",INDEX(Catálogo!D$5:D$73,MATCH($A23,Catálogo!$A$5:$A$73,0)))</f>
        <v>Tornillería del tubo</v>
      </c>
      <c r="E23" s="14" t="str">
        <f>IF(INDEX(Catálogo!E$5:E$73,MATCH($A23,Catálogo!$A$5:$A$73,0))="","",INDEX(Catálogo!E$5:E$73,MATCH($A23,Catálogo!$A$5:$A$73,0)))</f>
        <v>Deformación mecánica de la tornillería del tubo de muestra</v>
      </c>
      <c r="F23" s="13" t="str">
        <f>IF(INDEX(Catálogo!F$5:F$73,MATCH($A23,Catálogo!$A$5:$A$73,0))="","",INDEX(Catálogo!F$5:F$73,MATCH($A23,Catálogo!$A$5:$A$73,0)))</f>
        <v>OK / No OK</v>
      </c>
      <c r="G23" s="13" t="str">
        <f>IF(INDEX(Catálogo!G$5:G$73,MATCH($A23,Catálogo!$A$5:$A$73,0))="","",INDEX(Catálogo!G$5:G$73,MATCH($A23,Catálogo!$A$5:$A$73,0)))</f>
        <v/>
      </c>
      <c r="H23" s="14" t="str">
        <f>IF(INDEX(Catálogo!H$5:H$73,MATCH($A23,Catálogo!$A$5:$A$73,0))="","",INDEX(Catálogo!H$5:H$73,MATCH($A23,Catálogo!$A$5:$A$73,0)))</f>
        <v>Sin deformación</v>
      </c>
      <c r="I23" s="13" t="str">
        <f>IF(INDEX(Catálogo!I$5:I$73,MATCH($A23,Catálogo!$A$5:$A$73,0))="","",INDEX(Catálogo!I$5:I$73,MATCH($A23,Catálogo!$A$5:$A$73,0)))</f>
        <v/>
      </c>
      <c r="J23" s="13" t="str">
        <f>IF(INDEX(Catálogo!J$5:J$73,MATCH($A23,Catálogo!$A$5:$A$73,0))="","",INDEX(Catálogo!J$5:J$73,MATCH($A23,Catálogo!$A$5:$A$73,0)))</f>
        <v/>
      </c>
      <c r="K23" s="19" t="s">
        <v>42</v>
      </c>
      <c r="L23" s="19"/>
      <c r="M23" s="13" t="str">
        <f t="shared" si="0"/>
        <v/>
      </c>
      <c r="N23" s="19"/>
      <c r="O23" s="20"/>
      <c r="P23" s="13" t="str">
        <f>IF(INDEX(Catálogo!M$5:M$73,MATCH($A23,Catálogo!$A$5:$A$73,0))="","",INDEX(Catálogo!M$5:M$73,MATCH($A23,Catálogo!$A$5:$A$73,0)))</f>
        <v>4037489 / M00M3X3D913A2</v>
      </c>
    </row>
    <row r="24" spans="1:16" ht="24" x14ac:dyDescent="0.25">
      <c r="A24" s="13" t="s">
        <v>137</v>
      </c>
      <c r="B24" s="13" t="str">
        <f>IF(INDEX(Catálogo!B$5:B$73,MATCH($A24,Catálogo!$A$5:$A$73,0))="","",INDEX(Catálogo!B$5:B$73,MATCH($A24,Catálogo!$A$5:$A$73,0)))</f>
        <v>2. Línea de muestreo y cabezal</v>
      </c>
      <c r="C24" s="13" t="str">
        <f>IF(INDEX(Catálogo!C$5:C$73,MATCH($A24,Catálogo!$A$5:$A$73,0))="","",INDEX(Catálogo!C$5:C$73,MATCH($A24,Catálogo!$A$5:$A$73,0)))</f>
        <v>2.2 Tubo de muestra (1.5 m)</v>
      </c>
      <c r="D24" s="13" t="str">
        <f>IF(INDEX(Catálogo!D$5:D$73,MATCH($A24,Catálogo!$A$5:$A$73,0))="","",INDEX(Catálogo!D$5:D$73,MATCH($A24,Catálogo!$A$5:$A$73,0)))</f>
        <v>O-Ring de la boquilla de entrada</v>
      </c>
      <c r="E24" s="14" t="str">
        <f>IF(INDEX(Catálogo!E$5:E$73,MATCH($A24,Catálogo!$A$5:$A$73,0))="","",INDEX(Catálogo!E$5:E$73,MATCH($A24,Catálogo!$A$5:$A$73,0)))</f>
        <v>Desgaste de la junta tórica interna de la boquilla de ingreso de muestreo</v>
      </c>
      <c r="F24" s="13" t="str">
        <f>IF(INDEX(Catálogo!F$5:F$73,MATCH($A24,Catálogo!$A$5:$A$73,0))="","",INDEX(Catálogo!F$5:F$73,MATCH($A24,Catálogo!$A$5:$A$73,0)))</f>
        <v>OK / No OK</v>
      </c>
      <c r="G24" s="13" t="str">
        <f>IF(INDEX(Catálogo!G$5:G$73,MATCH($A24,Catálogo!$A$5:$A$73,0))="","",INDEX(Catálogo!G$5:G$73,MATCH($A24,Catálogo!$A$5:$A$73,0)))</f>
        <v/>
      </c>
      <c r="H24" s="14" t="str">
        <f>IF(INDEX(Catálogo!H$5:H$73,MATCH($A24,Catálogo!$A$5:$A$73,0))="","",INDEX(Catálogo!H$5:H$73,MATCH($A24,Catálogo!$A$5:$A$73,0)))</f>
        <v>Sin desgaste que genere fuga</v>
      </c>
      <c r="I24" s="13" t="str">
        <f>IF(INDEX(Catálogo!I$5:I$73,MATCH($A24,Catálogo!$A$5:$A$73,0))="","",INDEX(Catálogo!I$5:I$73,MATCH($A24,Catálogo!$A$5:$A$73,0)))</f>
        <v/>
      </c>
      <c r="J24" s="13" t="str">
        <f>IF(INDEX(Catálogo!J$5:J$73,MATCH($A24,Catálogo!$A$5:$A$73,0))="","",INDEX(Catálogo!J$5:J$73,MATCH($A24,Catálogo!$A$5:$A$73,0)))</f>
        <v/>
      </c>
      <c r="K24" s="19" t="s">
        <v>42</v>
      </c>
      <c r="L24" s="19"/>
      <c r="M24" s="13" t="str">
        <f t="shared" si="0"/>
        <v/>
      </c>
      <c r="N24" s="19"/>
      <c r="O24" s="20"/>
      <c r="P24" s="13" t="str">
        <f>IF(INDEX(Catálogo!M$5:M$73,MATCH($A24,Catálogo!$A$5:$A$73,0))="","",INDEX(Catálogo!M$5:M$73,MATCH($A24,Catálogo!$A$5:$A$73,0)))</f>
        <v>C0004x1</v>
      </c>
    </row>
    <row r="25" spans="1:16" ht="24" x14ac:dyDescent="0.25">
      <c r="A25" s="13" t="s">
        <v>142</v>
      </c>
      <c r="B25" s="13" t="str">
        <f>IF(INDEX(Catálogo!B$5:B$73,MATCH($A25,Catálogo!$A$5:$A$73,0))="","",INDEX(Catálogo!B$5:B$73,MATCH($A25,Catálogo!$A$5:$A$73,0)))</f>
        <v>2. Línea de muestreo y cabezal</v>
      </c>
      <c r="C25" s="13" t="str">
        <f>IF(INDEX(Catálogo!C$5:C$73,MATCH($A25,Catálogo!$A$5:$A$73,0))="","",INDEX(Catálogo!C$5:C$73,MATCH($A25,Catálogo!$A$5:$A$73,0)))</f>
        <v>2.3 Protección contra intemperie</v>
      </c>
      <c r="D25" s="13" t="str">
        <f>IF(INDEX(Catálogo!D$5:D$73,MATCH($A25,Catálogo!$A$5:$A$73,0))="","",INDEX(Catálogo!D$5:D$73,MATCH($A25,Catálogo!$A$5:$A$73,0)))</f>
        <v>Rain protector / deflector</v>
      </c>
      <c r="E25" s="14" t="str">
        <f>IF(INDEX(Catálogo!E$5:E$73,MATCH($A25,Catálogo!$A$5:$A$73,0))="","",INDEX(Catálogo!E$5:E$73,MATCH($A25,Catálogo!$A$5:$A$73,0)))</f>
        <v>Presencia e integridad del protector de lluvia del tubo de muestra</v>
      </c>
      <c r="F25" s="13" t="str">
        <f>IF(INDEX(Catálogo!F$5:F$73,MATCH($A25,Catálogo!$A$5:$A$73,0))="","",INDEX(Catálogo!F$5:F$73,MATCH($A25,Catálogo!$A$5:$A$73,0)))</f>
        <v>Presente / Ausente</v>
      </c>
      <c r="G25" s="13" t="str">
        <f>IF(INDEX(Catálogo!G$5:G$73,MATCH($A25,Catálogo!$A$5:$A$73,0))="","",INDEX(Catálogo!G$5:G$73,MATCH($A25,Catálogo!$A$5:$A$73,0)))</f>
        <v/>
      </c>
      <c r="H25" s="14" t="str">
        <f>IF(INDEX(Catálogo!H$5:H$73,MATCH($A25,Catálogo!$A$5:$A$73,0))="","",INDEX(Catálogo!H$5:H$73,MATCH($A25,Catálogo!$A$5:$A$73,0)))</f>
        <v>Presente y sin roturas</v>
      </c>
      <c r="I25" s="13" t="str">
        <f>IF(INDEX(Catálogo!I$5:I$73,MATCH($A25,Catálogo!$A$5:$A$73,0))="","",INDEX(Catálogo!I$5:I$73,MATCH($A25,Catálogo!$A$5:$A$73,0)))</f>
        <v/>
      </c>
      <c r="J25" s="13" t="str">
        <f>IF(INDEX(Catálogo!J$5:J$73,MATCH($A25,Catálogo!$A$5:$A$73,0))="","",INDEX(Catálogo!J$5:J$73,MATCH($A25,Catálogo!$A$5:$A$73,0)))</f>
        <v/>
      </c>
      <c r="K25" s="19" t="s">
        <v>42</v>
      </c>
      <c r="L25" s="19"/>
      <c r="M25" s="13" t="str">
        <f t="shared" si="0"/>
        <v/>
      </c>
      <c r="N25" s="19"/>
      <c r="O25" s="20"/>
      <c r="P25" s="13" t="str">
        <f>IF(INDEX(Catálogo!M$5:M$73,MATCH($A25,Catálogo!$A$5:$A$73,0))="","",INDEX(Catálogo!M$5:M$73,MATCH($A25,Catálogo!$A$5:$A$73,0)))</f>
        <v>4019827</v>
      </c>
    </row>
    <row r="26" spans="1:16" ht="24" x14ac:dyDescent="0.25">
      <c r="A26" s="13" t="s">
        <v>148</v>
      </c>
      <c r="B26" s="13" t="str">
        <f>IF(INDEX(Catálogo!B$5:B$73,MATCH($A26,Catálogo!$A$5:$A$73,0))="","",INDEX(Catálogo!B$5:B$73,MATCH($A26,Catálogo!$A$5:$A$73,0)))</f>
        <v>2. Línea de muestreo y cabezal</v>
      </c>
      <c r="C26" s="13" t="str">
        <f>IF(INDEX(Catálogo!C$5:C$73,MATCH($A26,Catálogo!$A$5:$A$73,0))="","",INDEX(Catálogo!C$5:C$73,MATCH($A26,Catálogo!$A$5:$A$73,0)))</f>
        <v>2.3 Protección contra intemperie</v>
      </c>
      <c r="D26" s="13" t="str">
        <f>IF(INDEX(Catálogo!D$5:D$73,MATCH($A26,Catálogo!$A$5:$A$73,0))="","",INDEX(Catálogo!D$5:D$73,MATCH($A26,Catálogo!$A$5:$A$73,0)))</f>
        <v>Acople de sellado tubo–shelter</v>
      </c>
      <c r="E26" s="14" t="str">
        <f>IF(INDEX(Catálogo!E$5:E$73,MATCH($A26,Catálogo!$A$5:$A$73,0))="","",INDEX(Catálogo!E$5:E$73,MATCH($A26,Catálogo!$A$5:$A$73,0)))</f>
        <v>Acople de protección para filtrado de agua hacia el shelter</v>
      </c>
      <c r="F26" s="13" t="str">
        <f>IF(INDEX(Catálogo!F$5:F$73,MATCH($A26,Catálogo!$A$5:$A$73,0))="","",INDEX(Catálogo!F$5:F$73,MATCH($A26,Catálogo!$A$5:$A$73,0)))</f>
        <v>OK / No OK</v>
      </c>
      <c r="G26" s="13" t="str">
        <f>IF(INDEX(Catálogo!G$5:G$73,MATCH($A26,Catálogo!$A$5:$A$73,0))="","",INDEX(Catálogo!G$5:G$73,MATCH($A26,Catálogo!$A$5:$A$73,0)))</f>
        <v/>
      </c>
      <c r="H26" s="14" t="str">
        <f>IF(INDEX(Catálogo!H$5:H$73,MATCH($A26,Catálogo!$A$5:$A$73,0))="","",INDEX(Catálogo!H$5:H$73,MATCH($A26,Catálogo!$A$5:$A$73,0)))</f>
        <v>Acople original instalado</v>
      </c>
      <c r="I26" s="13" t="str">
        <f>IF(INDEX(Catálogo!I$5:I$73,MATCH($A26,Catálogo!$A$5:$A$73,0))="","",INDEX(Catálogo!I$5:I$73,MATCH($A26,Catálogo!$A$5:$A$73,0)))</f>
        <v/>
      </c>
      <c r="J26" s="13" t="str">
        <f>IF(INDEX(Catálogo!J$5:J$73,MATCH($A26,Catálogo!$A$5:$A$73,0))="","",INDEX(Catálogo!J$5:J$73,MATCH($A26,Catálogo!$A$5:$A$73,0)))</f>
        <v/>
      </c>
      <c r="K26" s="19" t="s">
        <v>42</v>
      </c>
      <c r="L26" s="19"/>
      <c r="M26" s="13" t="str">
        <f t="shared" si="0"/>
        <v/>
      </c>
      <c r="N26" s="19"/>
      <c r="O26" s="20"/>
      <c r="P26" s="13" t="str">
        <f>IF(INDEX(Catálogo!M$5:M$73,MATCH($A26,Catálogo!$A$5:$A$73,0))="","",INDEX(Catálogo!M$5:M$73,MATCH($A26,Catálogo!$A$5:$A$73,0)))</f>
        <v/>
      </c>
    </row>
    <row r="27" spans="1:16" ht="24" x14ac:dyDescent="0.25">
      <c r="A27" s="13" t="s">
        <v>152</v>
      </c>
      <c r="B27" s="13" t="str">
        <f>IF(INDEX(Catálogo!B$5:B$73,MATCH($A27,Catálogo!$A$5:$A$73,0))="","",INDEX(Catálogo!B$5:B$73,MATCH($A27,Catálogo!$A$5:$A$73,0)))</f>
        <v>2. Línea de muestreo y cabezal</v>
      </c>
      <c r="C27" s="13" t="str">
        <f>IF(INDEX(Catálogo!C$5:C$73,MATCH($A27,Catálogo!$A$5:$A$73,0))="","",INDEX(Catálogo!C$5:C$73,MATCH($A27,Catálogo!$A$5:$A$73,0)))</f>
        <v>2.3 Protección contra intemperie</v>
      </c>
      <c r="D27" s="13" t="str">
        <f>IF(INDEX(Catálogo!D$5:D$73,MATCH($A27,Catálogo!$A$5:$A$73,0))="","",INDEX(Catálogo!D$5:D$73,MATCH($A27,Catálogo!$A$5:$A$73,0)))</f>
        <v>Sellados provisionales</v>
      </c>
      <c r="E27" s="14" t="str">
        <f>IF(INDEX(Catálogo!E$5:E$73,MATCH($A27,Catálogo!$A$5:$A$73,0))="","",INDEX(Catálogo!E$5:E$73,MATCH($A27,Catálogo!$A$5:$A$73,0)))</f>
        <v>Uso de cinta u otros sellos provisionales en la conexión</v>
      </c>
      <c r="F27" s="13" t="str">
        <f>IF(INDEX(Catálogo!F$5:F$73,MATCH($A27,Catálogo!$A$5:$A$73,0))="","",INDEX(Catálogo!F$5:F$73,MATCH($A27,Catálogo!$A$5:$A$73,0)))</f>
        <v>Sí/No</v>
      </c>
      <c r="G27" s="13" t="str">
        <f>IF(INDEX(Catálogo!G$5:G$73,MATCH($A27,Catálogo!$A$5:$A$73,0))="","",INDEX(Catálogo!G$5:G$73,MATCH($A27,Catálogo!$A$5:$A$73,0)))</f>
        <v/>
      </c>
      <c r="H27" s="14" t="str">
        <f>IF(INDEX(Catálogo!H$5:H$73,MATCH($A27,Catálogo!$A$5:$A$73,0))="","",INDEX(Catálogo!H$5:H$73,MATCH($A27,Catálogo!$A$5:$A$73,0)))</f>
        <v>No debe haber sellos provisionales</v>
      </c>
      <c r="I27" s="13" t="str">
        <f>IF(INDEX(Catálogo!I$5:I$73,MATCH($A27,Catálogo!$A$5:$A$73,0))="","",INDEX(Catálogo!I$5:I$73,MATCH($A27,Catálogo!$A$5:$A$73,0)))</f>
        <v/>
      </c>
      <c r="J27" s="13" t="str">
        <f>IF(INDEX(Catálogo!J$5:J$73,MATCH($A27,Catálogo!$A$5:$A$73,0))="","",INDEX(Catálogo!J$5:J$73,MATCH($A27,Catálogo!$A$5:$A$73,0)))</f>
        <v/>
      </c>
      <c r="K27" s="19" t="s">
        <v>42</v>
      </c>
      <c r="L27" s="19"/>
      <c r="M27" s="13" t="str">
        <f t="shared" si="0"/>
        <v/>
      </c>
      <c r="N27" s="19"/>
      <c r="O27" s="20"/>
      <c r="P27" s="13" t="str">
        <f>IF(INDEX(Catálogo!M$5:M$73,MATCH($A27,Catálogo!$A$5:$A$73,0))="","",INDEX(Catálogo!M$5:M$73,MATCH($A27,Catálogo!$A$5:$A$73,0)))</f>
        <v/>
      </c>
    </row>
    <row r="28" spans="1:16" x14ac:dyDescent="0.25">
      <c r="A28" s="13" t="s">
        <v>156</v>
      </c>
      <c r="B28" s="13" t="str">
        <f>IF(INDEX(Catálogo!B$5:B$73,MATCH($A28,Catálogo!$A$5:$A$73,0))="","",INDEX(Catálogo!B$5:B$73,MATCH($A28,Catálogo!$A$5:$A$73,0)))</f>
        <v>2. Línea de muestreo y cabezal</v>
      </c>
      <c r="C28" s="13" t="str">
        <f>IF(INDEX(Catálogo!C$5:C$73,MATCH($A28,Catálogo!$A$5:$A$73,0))="","",INDEX(Catálogo!C$5:C$73,MATCH($A28,Catálogo!$A$5:$A$73,0)))</f>
        <v>2.4 Secador Nafion y drenaje</v>
      </c>
      <c r="D28" s="13" t="str">
        <f>IF(INDEX(Catálogo!D$5:D$73,MATCH($A28,Catálogo!$A$5:$A$73,0))="","",INDEX(Catálogo!D$5:D$73,MATCH($A28,Catálogo!$A$5:$A$73,0)))</f>
        <v>Estado del Nafion</v>
      </c>
      <c r="E28" s="14" t="str">
        <f>IF(INDEX(Catálogo!E$5:E$73,MATCH($A28,Catálogo!$A$5:$A$73,0))="","",INDEX(Catálogo!E$5:E$73,MATCH($A28,Catálogo!$A$5:$A$73,0)))</f>
        <v>Deterioro del secador Nafion integrado</v>
      </c>
      <c r="F28" s="13" t="str">
        <f>IF(INDEX(Catálogo!F$5:F$73,MATCH($A28,Catálogo!$A$5:$A$73,0))="","",INDEX(Catálogo!F$5:F$73,MATCH($A28,Catálogo!$A$5:$A$73,0)))</f>
        <v>OK / No OK</v>
      </c>
      <c r="G28" s="13" t="str">
        <f>IF(INDEX(Catálogo!G$5:G$73,MATCH($A28,Catálogo!$A$5:$A$73,0))="","",INDEX(Catálogo!G$5:G$73,MATCH($A28,Catálogo!$A$5:$A$73,0)))</f>
        <v/>
      </c>
      <c r="H28" s="14" t="str">
        <f>IF(INDEX(Catálogo!H$5:H$73,MATCH($A28,Catálogo!$A$5:$A$73,0))="","",INDEX(Catálogo!H$5:H$73,MATCH($A28,Catálogo!$A$5:$A$73,0)))</f>
        <v>Sin deterioro</v>
      </c>
      <c r="I28" s="13" t="str">
        <f>IF(INDEX(Catálogo!I$5:I$73,MATCH($A28,Catálogo!$A$5:$A$73,0))="","",INDEX(Catálogo!I$5:I$73,MATCH($A28,Catálogo!$A$5:$A$73,0)))</f>
        <v/>
      </c>
      <c r="J28" s="13" t="str">
        <f>IF(INDEX(Catálogo!J$5:J$73,MATCH($A28,Catálogo!$A$5:$A$73,0))="","",INDEX(Catálogo!J$5:J$73,MATCH($A28,Catálogo!$A$5:$A$73,0)))</f>
        <v/>
      </c>
      <c r="K28" s="19" t="s">
        <v>42</v>
      </c>
      <c r="L28" s="19"/>
      <c r="M28" s="13" t="str">
        <f t="shared" si="0"/>
        <v/>
      </c>
      <c r="N28" s="19"/>
      <c r="O28" s="20"/>
      <c r="P28" s="13" t="str">
        <f>IF(INDEX(Catálogo!M$5:M$73,MATCH($A28,Catálogo!$A$5:$A$73,0))="","",INDEX(Catálogo!M$5:M$73,MATCH($A28,Catálogo!$A$5:$A$73,0)))</f>
        <v/>
      </c>
    </row>
    <row r="29" spans="1:16" x14ac:dyDescent="0.25">
      <c r="A29" s="13" t="s">
        <v>161</v>
      </c>
      <c r="B29" s="13" t="str">
        <f>IF(INDEX(Catálogo!B$5:B$73,MATCH($A29,Catálogo!$A$5:$A$73,0))="","",INDEX(Catálogo!B$5:B$73,MATCH($A29,Catálogo!$A$5:$A$73,0)))</f>
        <v>2. Línea de muestreo y cabezal</v>
      </c>
      <c r="C29" s="13" t="str">
        <f>IF(INDEX(Catálogo!C$5:C$73,MATCH($A29,Catálogo!$A$5:$A$73,0))="","",INDEX(Catálogo!C$5:C$73,MATCH($A29,Catálogo!$A$5:$A$73,0)))</f>
        <v>2.4 Secador Nafion y drenaje</v>
      </c>
      <c r="D29" s="13" t="str">
        <f>IF(INDEX(Catálogo!D$5:D$73,MATCH($A29,Catálogo!$A$5:$A$73,0))="","",INDEX(Catálogo!D$5:D$73,MATCH($A29,Catálogo!$A$5:$A$73,0)))</f>
        <v>Water drain</v>
      </c>
      <c r="E29" s="14" t="str">
        <f>IF(INDEX(Catálogo!E$5:E$73,MATCH($A29,Catálogo!$A$5:$A$73,0))="","",INDEX(Catálogo!E$5:E$73,MATCH($A29,Catálogo!$A$5:$A$73,0)))</f>
        <v>Drenaje de agua despejado y operativo</v>
      </c>
      <c r="F29" s="13" t="str">
        <f>IF(INDEX(Catálogo!F$5:F$73,MATCH($A29,Catálogo!$A$5:$A$73,0))="","",INDEX(Catálogo!F$5:F$73,MATCH($A29,Catálogo!$A$5:$A$73,0)))</f>
        <v>OK / No OK</v>
      </c>
      <c r="G29" s="13" t="str">
        <f>IF(INDEX(Catálogo!G$5:G$73,MATCH($A29,Catálogo!$A$5:$A$73,0))="","",INDEX(Catálogo!G$5:G$73,MATCH($A29,Catálogo!$A$5:$A$73,0)))</f>
        <v/>
      </c>
      <c r="H29" s="14" t="str">
        <f>IF(INDEX(Catálogo!H$5:H$73,MATCH($A29,Catálogo!$A$5:$A$73,0))="","",INDEX(Catálogo!H$5:H$73,MATCH($A29,Catálogo!$A$5:$A$73,0)))</f>
        <v>Despejado</v>
      </c>
      <c r="I29" s="13" t="str">
        <f>IF(INDEX(Catálogo!I$5:I$73,MATCH($A29,Catálogo!$A$5:$A$73,0))="","",INDEX(Catálogo!I$5:I$73,MATCH($A29,Catálogo!$A$5:$A$73,0)))</f>
        <v/>
      </c>
      <c r="J29" s="13" t="str">
        <f>IF(INDEX(Catálogo!J$5:J$73,MATCH($A29,Catálogo!$A$5:$A$73,0))="","",INDEX(Catálogo!J$5:J$73,MATCH($A29,Catálogo!$A$5:$A$73,0)))</f>
        <v/>
      </c>
      <c r="K29" s="19" t="s">
        <v>42</v>
      </c>
      <c r="L29" s="19"/>
      <c r="M29" s="13" t="str">
        <f t="shared" si="0"/>
        <v/>
      </c>
      <c r="N29" s="19"/>
      <c r="O29" s="20"/>
      <c r="P29" s="13" t="str">
        <f>IF(INDEX(Catálogo!M$5:M$73,MATCH($A29,Catálogo!$A$5:$A$73,0))="","",INDEX(Catálogo!M$5:M$73,MATCH($A29,Catálogo!$A$5:$A$73,0)))</f>
        <v/>
      </c>
    </row>
    <row r="30" spans="1:16" ht="24" x14ac:dyDescent="0.25">
      <c r="A30" s="13" t="s">
        <v>165</v>
      </c>
      <c r="B30" s="13" t="str">
        <f>IF(INDEX(Catálogo!B$5:B$73,MATCH($A30,Catálogo!$A$5:$A$73,0))="","",INDEX(Catálogo!B$5:B$73,MATCH($A30,Catálogo!$A$5:$A$73,0)))</f>
        <v>2. Línea de muestreo y cabezal</v>
      </c>
      <c r="C30" s="13" t="str">
        <f>IF(INDEX(Catálogo!C$5:C$73,MATCH($A30,Catálogo!$A$5:$A$73,0))="","",INDEX(Catálogo!C$5:C$73,MATCH($A30,Catálogo!$A$5:$A$73,0)))</f>
        <v>2.4 Secador Nafion y drenaje</v>
      </c>
      <c r="D30" s="13" t="str">
        <f>IF(INDEX(Catálogo!D$5:D$73,MATCH($A30,Catálogo!$A$5:$A$73,0))="","",INDEX(Catálogo!D$5:D$73,MATCH($A30,Catálogo!$A$5:$A$73,0)))</f>
        <v>Mangueras de la línea neumática</v>
      </c>
      <c r="E30" s="14" t="str">
        <f>IF(INDEX(Catálogo!E$5:E$73,MATCH($A30,Catálogo!$A$5:$A$73,0))="","",INDEX(Catálogo!E$5:E$73,MATCH($A30,Catálogo!$A$5:$A$73,0)))</f>
        <v>Roturas, fisuras o endurecimiento de las mangueras</v>
      </c>
      <c r="F30" s="13" t="str">
        <f>IF(INDEX(Catálogo!F$5:F$73,MATCH($A30,Catálogo!$A$5:$A$73,0))="","",INDEX(Catálogo!F$5:F$73,MATCH($A30,Catálogo!$A$5:$A$73,0)))</f>
        <v>OK / No OK</v>
      </c>
      <c r="G30" s="13" t="str">
        <f>IF(INDEX(Catálogo!G$5:G$73,MATCH($A30,Catálogo!$A$5:$A$73,0))="","",INDEX(Catálogo!G$5:G$73,MATCH($A30,Catálogo!$A$5:$A$73,0)))</f>
        <v/>
      </c>
      <c r="H30" s="14" t="str">
        <f>IF(INDEX(Catálogo!H$5:H$73,MATCH($A30,Catálogo!$A$5:$A$73,0))="","",INDEX(Catálogo!H$5:H$73,MATCH($A30,Catálogo!$A$5:$A$73,0)))</f>
        <v>Sin roturas</v>
      </c>
      <c r="I30" s="13" t="str">
        <f>IF(INDEX(Catálogo!I$5:I$73,MATCH($A30,Catálogo!$A$5:$A$73,0))="","",INDEX(Catálogo!I$5:I$73,MATCH($A30,Catálogo!$A$5:$A$73,0)))</f>
        <v/>
      </c>
      <c r="J30" s="13" t="str">
        <f>IF(INDEX(Catálogo!J$5:J$73,MATCH($A30,Catálogo!$A$5:$A$73,0))="","",INDEX(Catálogo!J$5:J$73,MATCH($A30,Catálogo!$A$5:$A$73,0)))</f>
        <v/>
      </c>
      <c r="K30" s="19" t="s">
        <v>42</v>
      </c>
      <c r="L30" s="19"/>
      <c r="M30" s="13" t="str">
        <f t="shared" si="0"/>
        <v/>
      </c>
      <c r="N30" s="19"/>
      <c r="O30" s="20"/>
      <c r="P30" s="13" t="str">
        <f>IF(INDEX(Catálogo!M$5:M$73,MATCH($A30,Catálogo!$A$5:$A$73,0))="","",INDEX(Catálogo!M$5:M$73,MATCH($A30,Catálogo!$A$5:$A$73,0)))</f>
        <v/>
      </c>
    </row>
    <row r="31" spans="1:16" ht="36" x14ac:dyDescent="0.25">
      <c r="A31" s="11" t="s">
        <v>26</v>
      </c>
      <c r="B31" s="11" t="str">
        <f>IF(INDEX(Catálogo!B$5:B$73,MATCH($A31,Catálogo!$A$5:$A$73,0))="","",INDEX(Catálogo!B$5:B$73,MATCH($A31,Catálogo!$A$5:$A$73,0)))</f>
        <v>3. Sistema neumático y etapa de secado</v>
      </c>
      <c r="C31" s="11" t="str">
        <f>IF(INDEX(Catálogo!C$5:C$73,MATCH($A31,Catálogo!$A$5:$A$73,0))="","",INDEX(Catálogo!C$5:C$73,MATCH($A31,Catálogo!$A$5:$A$73,0)))</f>
        <v>3.1 Bomba de vacío / secado</v>
      </c>
      <c r="D31" s="11" t="str">
        <f>IF(INDEX(Catálogo!D$5:D$73,MATCH($A31,Catálogo!$A$5:$A$73,0))="","",INDEX(Catálogo!D$5:D$73,MATCH($A31,Catálogo!$A$5:$A$73,0)))</f>
        <v>Flujo de la bomba de secado</v>
      </c>
      <c r="E31" s="12" t="str">
        <f>IF(INDEX(Catálogo!E$5:E$73,MATCH($A31,Catálogo!$A$5:$A$73,0))="","",INDEX(Catálogo!E$5:E$73,MATCH($A31,Catálogo!$A$5:$A$73,0)))</f>
        <v>Medición del flujo de la bomba de secado</v>
      </c>
      <c r="F31" s="11" t="str">
        <f>IF(INDEX(Catálogo!F$5:F$73,MATCH($A31,Catálogo!$A$5:$A$73,0))="","",INDEX(Catálogo!F$5:F$73,MATCH($A31,Catálogo!$A$5:$A$73,0)))</f>
        <v>Numérico</v>
      </c>
      <c r="G31" s="11" t="str">
        <f>IF(INDEX(Catálogo!G$5:G$73,MATCH($A31,Catálogo!$A$5:$A$73,0))="","",INDEX(Catálogo!G$5:G$73,MATCH($A31,Catálogo!$A$5:$A$73,0)))</f>
        <v>L/min</v>
      </c>
      <c r="H31" s="12" t="str">
        <f>IF(INDEX(Catálogo!H$5:H$73,MATCH($A31,Catálogo!$A$5:$A$73,0))="","",INDEX(Catálogo!H$5:H$73,MATCH($A31,Catálogo!$A$5:$A$73,0)))</f>
        <v>Dentro del rango del fabricante; 2,45 L/min es el valor registrado como cercano al límite de reemplazo</v>
      </c>
      <c r="I31" s="11">
        <f>IF(INDEX(Catálogo!I$5:I$73,MATCH($A31,Catálogo!$A$5:$A$73,0))="","",INDEX(Catálogo!I$5:I$73,MATCH($A31,Catálogo!$A$5:$A$73,0)))</f>
        <v>1.8</v>
      </c>
      <c r="J31" s="11">
        <f>IF(INDEX(Catálogo!J$5:J$73,MATCH($A31,Catálogo!$A$5:$A$73,0))="","",INDEX(Catálogo!J$5:J$73,MATCH($A31,Catálogo!$A$5:$A$73,0)))</f>
        <v>2.4500000000000002</v>
      </c>
      <c r="K31" s="19" t="s">
        <v>28</v>
      </c>
      <c r="L31" s="19">
        <v>2.4500000000000002</v>
      </c>
      <c r="M31" s="11" t="str">
        <f t="shared" si="0"/>
        <v>Dentro de rango</v>
      </c>
      <c r="N31" s="19" t="s">
        <v>29</v>
      </c>
      <c r="O31" s="20" t="s">
        <v>408</v>
      </c>
      <c r="P31" s="11" t="str">
        <f>IF(INDEX(Catálogo!M$5:M$73,MATCH($A31,Catálogo!$A$5:$A$73,0))="","",INDEX(Catálogo!M$5:M$73,MATCH($A31,Catálogo!$A$5:$A$73,0)))</f>
        <v>1205273</v>
      </c>
    </row>
    <row r="32" spans="1:16" ht="24" x14ac:dyDescent="0.25">
      <c r="A32" s="13" t="s">
        <v>177</v>
      </c>
      <c r="B32" s="13" t="str">
        <f>IF(INDEX(Catálogo!B$5:B$73,MATCH($A32,Catálogo!$A$5:$A$73,0))="","",INDEX(Catálogo!B$5:B$73,MATCH($A32,Catálogo!$A$5:$A$73,0)))</f>
        <v>3. Sistema neumático y etapa de secado</v>
      </c>
      <c r="C32" s="13" t="str">
        <f>IF(INDEX(Catálogo!C$5:C$73,MATCH($A32,Catálogo!$A$5:$A$73,0))="","",INDEX(Catálogo!C$5:C$73,MATCH($A32,Catálogo!$A$5:$A$73,0)))</f>
        <v>3.1 Bomba de vacío / secado</v>
      </c>
      <c r="D32" s="13" t="str">
        <f>IF(INDEX(Catálogo!D$5:D$73,MATCH($A32,Catálogo!$A$5:$A$73,0))="","",INDEX(Catálogo!D$5:D$73,MATCH($A32,Catálogo!$A$5:$A$73,0)))</f>
        <v>Estado del kit de la bomba</v>
      </c>
      <c r="E32" s="14" t="str">
        <f>IF(INDEX(Catálogo!E$5:E$73,MATCH($A32,Catálogo!$A$5:$A$73,0))="","",INDEX(Catálogo!E$5:E$73,MATCH($A32,Catálogo!$A$5:$A$73,0)))</f>
        <v>Desgaste de los componentes internos del kit de la bomba de vacío</v>
      </c>
      <c r="F32" s="13" t="str">
        <f>IF(INDEX(Catálogo!F$5:F$73,MATCH($A32,Catálogo!$A$5:$A$73,0))="","",INDEX(Catálogo!F$5:F$73,MATCH($A32,Catálogo!$A$5:$A$73,0)))</f>
        <v>OK / No OK</v>
      </c>
      <c r="G32" s="13" t="str">
        <f>IF(INDEX(Catálogo!G$5:G$73,MATCH($A32,Catálogo!$A$5:$A$73,0))="","",INDEX(Catálogo!G$5:G$73,MATCH($A32,Catálogo!$A$5:$A$73,0)))</f>
        <v/>
      </c>
      <c r="H32" s="14" t="str">
        <f>IF(INDEX(Catálogo!H$5:H$73,MATCH($A32,Catálogo!$A$5:$A$73,0))="","",INDEX(Catálogo!H$5:H$73,MATCH($A32,Catálogo!$A$5:$A$73,0)))</f>
        <v>Sin desgaste significativo</v>
      </c>
      <c r="I32" s="13" t="str">
        <f>IF(INDEX(Catálogo!I$5:I$73,MATCH($A32,Catálogo!$A$5:$A$73,0))="","",INDEX(Catálogo!I$5:I$73,MATCH($A32,Catálogo!$A$5:$A$73,0)))</f>
        <v/>
      </c>
      <c r="J32" s="13" t="str">
        <f>IF(INDEX(Catálogo!J$5:J$73,MATCH($A32,Catálogo!$A$5:$A$73,0))="","",INDEX(Catálogo!J$5:J$73,MATCH($A32,Catálogo!$A$5:$A$73,0)))</f>
        <v/>
      </c>
      <c r="K32" s="19" t="s">
        <v>42</v>
      </c>
      <c r="L32" s="19"/>
      <c r="M32" s="13" t="str">
        <f t="shared" si="0"/>
        <v/>
      </c>
      <c r="N32" s="19"/>
      <c r="O32" s="20"/>
      <c r="P32" s="13" t="str">
        <f>IF(INDEX(Catálogo!M$5:M$73,MATCH($A32,Catálogo!$A$5:$A$73,0))="","",INDEX(Catálogo!M$5:M$73,MATCH($A32,Catálogo!$A$5:$A$73,0)))</f>
        <v>1205273</v>
      </c>
    </row>
    <row r="33" spans="1:16" ht="24" x14ac:dyDescent="0.25">
      <c r="A33" s="13" t="s">
        <v>181</v>
      </c>
      <c r="B33" s="13" t="str">
        <f>IF(INDEX(Catálogo!B$5:B$73,MATCH($A33,Catálogo!$A$5:$A$73,0))="","",INDEX(Catálogo!B$5:B$73,MATCH($A33,Catálogo!$A$5:$A$73,0)))</f>
        <v>3. Sistema neumático y etapa de secado</v>
      </c>
      <c r="C33" s="13" t="str">
        <f>IF(INDEX(Catálogo!C$5:C$73,MATCH($A33,Catálogo!$A$5:$A$73,0))="","",INDEX(Catálogo!C$5:C$73,MATCH($A33,Catálogo!$A$5:$A$73,0)))</f>
        <v>3.1 Bomba de vacío / secado</v>
      </c>
      <c r="D33" s="13" t="str">
        <f>IF(INDEX(Catálogo!D$5:D$73,MATCH($A33,Catálogo!$A$5:$A$73,0))="","",INDEX(Catálogo!D$5:D$73,MATCH($A33,Catálogo!$A$5:$A$73,0)))</f>
        <v>Empaque del pistón (sealing sleeve)</v>
      </c>
      <c r="E33" s="14" t="str">
        <f>IF(INDEX(Catálogo!E$5:E$73,MATCH($A33,Catálogo!$A$5:$A$73,0))="","",INDEX(Catálogo!E$5:E$73,MATCH($A33,Catálogo!$A$5:$A$73,0)))</f>
        <v>Desgaste del empaque del pistón de la bomba de secado</v>
      </c>
      <c r="F33" s="13" t="str">
        <f>IF(INDEX(Catálogo!F$5:F$73,MATCH($A33,Catálogo!$A$5:$A$73,0))="","",INDEX(Catálogo!F$5:F$73,MATCH($A33,Catálogo!$A$5:$A$73,0)))</f>
        <v>OK / No OK</v>
      </c>
      <c r="G33" s="13" t="str">
        <f>IF(INDEX(Catálogo!G$5:G$73,MATCH($A33,Catálogo!$A$5:$A$73,0))="","",INDEX(Catálogo!G$5:G$73,MATCH($A33,Catálogo!$A$5:$A$73,0)))</f>
        <v/>
      </c>
      <c r="H33" s="14" t="str">
        <f>IF(INDEX(Catálogo!H$5:H$73,MATCH($A33,Catálogo!$A$5:$A$73,0))="","",INDEX(Catálogo!H$5:H$73,MATCH($A33,Catálogo!$A$5:$A$73,0)))</f>
        <v>Sin desgaste</v>
      </c>
      <c r="I33" s="13" t="str">
        <f>IF(INDEX(Catálogo!I$5:I$73,MATCH($A33,Catálogo!$A$5:$A$73,0))="","",INDEX(Catálogo!I$5:I$73,MATCH($A33,Catálogo!$A$5:$A$73,0)))</f>
        <v/>
      </c>
      <c r="J33" s="13" t="str">
        <f>IF(INDEX(Catálogo!J$5:J$73,MATCH($A33,Catálogo!$A$5:$A$73,0))="","",INDEX(Catálogo!J$5:J$73,MATCH($A33,Catálogo!$A$5:$A$73,0)))</f>
        <v/>
      </c>
      <c r="K33" s="19" t="s">
        <v>42</v>
      </c>
      <c r="L33" s="19"/>
      <c r="M33" s="13" t="str">
        <f t="shared" si="0"/>
        <v/>
      </c>
      <c r="N33" s="19"/>
      <c r="O33" s="20"/>
      <c r="P33" s="13" t="str">
        <f>IF(INDEX(Catálogo!M$5:M$73,MATCH($A33,Catálogo!$A$5:$A$73,0))="","",INDEX(Catálogo!M$5:M$73,MATCH($A33,Catálogo!$A$5:$A$73,0)))</f>
        <v>1204480</v>
      </c>
    </row>
    <row r="34" spans="1:16" x14ac:dyDescent="0.25">
      <c r="A34" s="13" t="s">
        <v>186</v>
      </c>
      <c r="B34" s="13" t="str">
        <f>IF(INDEX(Catálogo!B$5:B$73,MATCH($A34,Catálogo!$A$5:$A$73,0))="","",INDEX(Catálogo!B$5:B$73,MATCH($A34,Catálogo!$A$5:$A$73,0)))</f>
        <v>3. Sistema neumático y etapa de secado</v>
      </c>
      <c r="C34" s="13" t="str">
        <f>IF(INDEX(Catálogo!C$5:C$73,MATCH($A34,Catálogo!$A$5:$A$73,0))="","",INDEX(Catálogo!C$5:C$73,MATCH($A34,Catálogo!$A$5:$A$73,0)))</f>
        <v>3.1 Bomba de vacío / secado</v>
      </c>
      <c r="D34" s="13" t="str">
        <f>IF(INDEX(Catálogo!D$5:D$73,MATCH($A34,Catálogo!$A$5:$A$73,0))="","",INDEX(Catálogo!D$5:D$73,MATCH($A34,Catálogo!$A$5:$A$73,0)))</f>
        <v>Ruido y vibración</v>
      </c>
      <c r="E34" s="14" t="str">
        <f>IF(INDEX(Catálogo!E$5:E$73,MATCH($A34,Catálogo!$A$5:$A$73,0))="","",INDEX(Catálogo!E$5:E$73,MATCH($A34,Catálogo!$A$5:$A$73,0)))</f>
        <v>Ruido o vibración anómala de la bomba</v>
      </c>
      <c r="F34" s="13" t="str">
        <f>IF(INDEX(Catálogo!F$5:F$73,MATCH($A34,Catálogo!$A$5:$A$73,0))="","",INDEX(Catálogo!F$5:F$73,MATCH($A34,Catálogo!$A$5:$A$73,0)))</f>
        <v>OK / No OK</v>
      </c>
      <c r="G34" s="13" t="str">
        <f>IF(INDEX(Catálogo!G$5:G$73,MATCH($A34,Catálogo!$A$5:$A$73,0))="","",INDEX(Catálogo!G$5:G$73,MATCH($A34,Catálogo!$A$5:$A$73,0)))</f>
        <v/>
      </c>
      <c r="H34" s="14" t="str">
        <f>IF(INDEX(Catálogo!H$5:H$73,MATCH($A34,Catálogo!$A$5:$A$73,0))="","",INDEX(Catálogo!H$5:H$73,MATCH($A34,Catálogo!$A$5:$A$73,0)))</f>
        <v>Sin ruido anómalo</v>
      </c>
      <c r="I34" s="13" t="str">
        <f>IF(INDEX(Catálogo!I$5:I$73,MATCH($A34,Catálogo!$A$5:$A$73,0))="","",INDEX(Catálogo!I$5:I$73,MATCH($A34,Catálogo!$A$5:$A$73,0)))</f>
        <v/>
      </c>
      <c r="J34" s="13" t="str">
        <f>IF(INDEX(Catálogo!J$5:J$73,MATCH($A34,Catálogo!$A$5:$A$73,0))="","",INDEX(Catálogo!J$5:J$73,MATCH($A34,Catálogo!$A$5:$A$73,0)))</f>
        <v/>
      </c>
      <c r="K34" s="19" t="s">
        <v>42</v>
      </c>
      <c r="L34" s="19"/>
      <c r="M34" s="13" t="str">
        <f t="shared" si="0"/>
        <v/>
      </c>
      <c r="N34" s="19"/>
      <c r="O34" s="20"/>
      <c r="P34" s="13" t="str">
        <f>IF(INDEX(Catálogo!M$5:M$73,MATCH($A34,Catálogo!$A$5:$A$73,0))="","",INDEX(Catálogo!M$5:M$73,MATCH($A34,Catálogo!$A$5:$A$73,0)))</f>
        <v/>
      </c>
    </row>
    <row r="35" spans="1:16" ht="24" x14ac:dyDescent="0.25">
      <c r="A35" s="13" t="s">
        <v>191</v>
      </c>
      <c r="B35" s="13" t="str">
        <f>IF(INDEX(Catálogo!B$5:B$73,MATCH($A35,Catálogo!$A$5:$A$73,0))="","",INDEX(Catálogo!B$5:B$73,MATCH($A35,Catálogo!$A$5:$A$73,0)))</f>
        <v>3. Sistema neumático y etapa de secado</v>
      </c>
      <c r="C35" s="13" t="str">
        <f>IF(INDEX(Catálogo!C$5:C$73,MATCH($A35,Catálogo!$A$5:$A$73,0))="","",INDEX(Catálogo!C$5:C$73,MATCH($A35,Catálogo!$A$5:$A$73,0)))</f>
        <v>3.2 Instrumentación de presión</v>
      </c>
      <c r="D35" s="13" t="str">
        <f>IF(INDEX(Catálogo!D$5:D$73,MATCH($A35,Catálogo!$A$5:$A$73,0))="","",INDEX(Catálogo!D$5:D$73,MATCH($A35,Catálogo!$A$5:$A$73,0)))</f>
        <v>Manómetro de vacío</v>
      </c>
      <c r="E35" s="14" t="str">
        <f>IF(INDEX(Catálogo!E$5:E$73,MATCH($A35,Catálogo!$A$5:$A$73,0))="","",INDEX(Catálogo!E$5:E$73,MATCH($A35,Catálogo!$A$5:$A$73,0)))</f>
        <v>El manómetro entrega lectura y no presenta falla mecánica</v>
      </c>
      <c r="F35" s="13" t="str">
        <f>IF(INDEX(Catálogo!F$5:F$73,MATCH($A35,Catálogo!$A$5:$A$73,0))="","",INDEX(Catálogo!F$5:F$73,MATCH($A35,Catálogo!$A$5:$A$73,0)))</f>
        <v>OK / No OK</v>
      </c>
      <c r="G35" s="13" t="str">
        <f>IF(INDEX(Catálogo!G$5:G$73,MATCH($A35,Catálogo!$A$5:$A$73,0))="","",INDEX(Catálogo!G$5:G$73,MATCH($A35,Catálogo!$A$5:$A$73,0)))</f>
        <v/>
      </c>
      <c r="H35" s="14" t="str">
        <f>IF(INDEX(Catálogo!H$5:H$73,MATCH($A35,Catálogo!$A$5:$A$73,0))="","",INDEX(Catálogo!H$5:H$73,MATCH($A35,Catálogo!$A$5:$A$73,0)))</f>
        <v>Debe entregar lectura</v>
      </c>
      <c r="I35" s="13" t="str">
        <f>IF(INDEX(Catálogo!I$5:I$73,MATCH($A35,Catálogo!$A$5:$A$73,0))="","",INDEX(Catálogo!I$5:I$73,MATCH($A35,Catálogo!$A$5:$A$73,0)))</f>
        <v/>
      </c>
      <c r="J35" s="13" t="str">
        <f>IF(INDEX(Catálogo!J$5:J$73,MATCH($A35,Catálogo!$A$5:$A$73,0))="","",INDEX(Catálogo!J$5:J$73,MATCH($A35,Catálogo!$A$5:$A$73,0)))</f>
        <v/>
      </c>
      <c r="K35" s="19" t="s">
        <v>42</v>
      </c>
      <c r="L35" s="19"/>
      <c r="M35" s="13" t="str">
        <f t="shared" si="0"/>
        <v/>
      </c>
      <c r="N35" s="19"/>
      <c r="O35" s="20"/>
      <c r="P35" s="13" t="str">
        <f>IF(INDEX(Catálogo!M$5:M$73,MATCH($A35,Catálogo!$A$5:$A$73,0))="","",INDEX(Catálogo!M$5:M$73,MATCH($A35,Catálogo!$A$5:$A$73,0)))</f>
        <v>1201007</v>
      </c>
    </row>
    <row r="36" spans="1:16" x14ac:dyDescent="0.25">
      <c r="A36" s="13" t="s">
        <v>197</v>
      </c>
      <c r="B36" s="13" t="str">
        <f>IF(INDEX(Catálogo!B$5:B$73,MATCH($A36,Catálogo!$A$5:$A$73,0))="","",INDEX(Catálogo!B$5:B$73,MATCH($A36,Catálogo!$A$5:$A$73,0)))</f>
        <v>3. Sistema neumático y etapa de secado</v>
      </c>
      <c r="C36" s="13" t="str">
        <f>IF(INDEX(Catálogo!C$5:C$73,MATCH($A36,Catálogo!$A$5:$A$73,0))="","",INDEX(Catálogo!C$5:C$73,MATCH($A36,Catálogo!$A$5:$A$73,0)))</f>
        <v>3.2 Instrumentación de presión</v>
      </c>
      <c r="D36" s="13" t="str">
        <f>IF(INDEX(Catálogo!D$5:D$73,MATCH($A36,Catálogo!$A$5:$A$73,0))="","",INDEX(Catálogo!D$5:D$73,MATCH($A36,Catálogo!$A$5:$A$73,0)))</f>
        <v>Presión negativa de succión</v>
      </c>
      <c r="E36" s="14" t="str">
        <f>IF(INDEX(Catálogo!E$5:E$73,MATCH($A36,Catálogo!$A$5:$A$73,0))="","",INDEX(Catálogo!E$5:E$73,MATCH($A36,Catálogo!$A$5:$A$73,0)))</f>
        <v>Presión negativa generada por la etapa de secado</v>
      </c>
      <c r="F36" s="13" t="str">
        <f>IF(INDEX(Catálogo!F$5:F$73,MATCH($A36,Catálogo!$A$5:$A$73,0))="","",INDEX(Catálogo!F$5:F$73,MATCH($A36,Catálogo!$A$5:$A$73,0)))</f>
        <v>Numérico</v>
      </c>
      <c r="G36" s="13" t="str">
        <f>IF(INDEX(Catálogo!G$5:G$73,MATCH($A36,Catálogo!$A$5:$A$73,0))="","",INDEX(Catálogo!G$5:G$73,MATCH($A36,Catálogo!$A$5:$A$73,0)))</f>
        <v>bar</v>
      </c>
      <c r="H36" s="14" t="str">
        <f>IF(INDEX(Catálogo!H$5:H$73,MATCH($A36,Catálogo!$A$5:$A$73,0))="","",INDEX(Catálogo!H$5:H$73,MATCH($A36,Catálogo!$A$5:$A$73,0)))</f>
        <v>Dentro del rango del fabricante</v>
      </c>
      <c r="I36" s="13" t="str">
        <f>IF(INDEX(Catálogo!I$5:I$73,MATCH($A36,Catálogo!$A$5:$A$73,0))="","",INDEX(Catálogo!I$5:I$73,MATCH($A36,Catálogo!$A$5:$A$73,0)))</f>
        <v>PENDIENTE DE VALIDAR</v>
      </c>
      <c r="J36" s="13" t="str">
        <f>IF(INDEX(Catálogo!J$5:J$73,MATCH($A36,Catálogo!$A$5:$A$73,0))="","",INDEX(Catálogo!J$5:J$73,MATCH($A36,Catálogo!$A$5:$A$73,0)))</f>
        <v>PENDIENTE DE VALIDAR</v>
      </c>
      <c r="K36" s="19" t="s">
        <v>42</v>
      </c>
      <c r="L36" s="19"/>
      <c r="M36" s="13" t="str">
        <f t="shared" si="0"/>
        <v>Sin dato</v>
      </c>
      <c r="N36" s="19"/>
      <c r="O36" s="20"/>
      <c r="P36" s="13" t="str">
        <f>IF(INDEX(Catálogo!M$5:M$73,MATCH($A36,Catálogo!$A$5:$A$73,0))="","",INDEX(Catálogo!M$5:M$73,MATCH($A36,Catálogo!$A$5:$A$73,0)))</f>
        <v/>
      </c>
    </row>
    <row r="37" spans="1:16" x14ac:dyDescent="0.25">
      <c r="A37" s="13" t="s">
        <v>203</v>
      </c>
      <c r="B37" s="13" t="str">
        <f>IF(INDEX(Catálogo!B$5:B$73,MATCH($A37,Catálogo!$A$5:$A$73,0))="","",INDEX(Catálogo!B$5:B$73,MATCH($A37,Catálogo!$A$5:$A$73,0)))</f>
        <v>3. Sistema neumático y etapa de secado</v>
      </c>
      <c r="C37" s="13" t="str">
        <f>IF(INDEX(Catálogo!C$5:C$73,MATCH($A37,Catálogo!$A$5:$A$73,0))="","",INDEX(Catálogo!C$5:C$73,MATCH($A37,Catálogo!$A$5:$A$73,0)))</f>
        <v>3.3 Estanqueidad</v>
      </c>
      <c r="D37" s="13" t="str">
        <f>IF(INDEX(Catálogo!D$5:D$73,MATCH($A37,Catálogo!$A$5:$A$73,0))="","",INDEX(Catálogo!D$5:D$73,MATCH($A37,Catálogo!$A$5:$A$73,0)))</f>
        <v>Prueba de fugas del circuito</v>
      </c>
      <c r="E37" s="14" t="str">
        <f>IF(INDEX(Catálogo!E$5:E$73,MATCH($A37,Catálogo!$A$5:$A$73,0))="","",INDEX(Catálogo!E$5:E$73,MATCH($A37,Catálogo!$A$5:$A$73,0)))</f>
        <v>Prueba de fugas del circuito neumático completo</v>
      </c>
      <c r="F37" s="13" t="str">
        <f>IF(INDEX(Catálogo!F$5:F$73,MATCH($A37,Catálogo!$A$5:$A$73,0))="","",INDEX(Catálogo!F$5:F$73,MATCH($A37,Catálogo!$A$5:$A$73,0)))</f>
        <v>OK / No OK</v>
      </c>
      <c r="G37" s="13" t="str">
        <f>IF(INDEX(Catálogo!G$5:G$73,MATCH($A37,Catálogo!$A$5:$A$73,0))="","",INDEX(Catálogo!G$5:G$73,MATCH($A37,Catálogo!$A$5:$A$73,0)))</f>
        <v/>
      </c>
      <c r="H37" s="14" t="str">
        <f>IF(INDEX(Catálogo!H$5:H$73,MATCH($A37,Catálogo!$A$5:$A$73,0))="","",INDEX(Catálogo!H$5:H$73,MATCH($A37,Catálogo!$A$5:$A$73,0)))</f>
        <v>Sin fugas</v>
      </c>
      <c r="I37" s="13" t="str">
        <f>IF(INDEX(Catálogo!I$5:I$73,MATCH($A37,Catálogo!$A$5:$A$73,0))="","",INDEX(Catálogo!I$5:I$73,MATCH($A37,Catálogo!$A$5:$A$73,0)))</f>
        <v/>
      </c>
      <c r="J37" s="13" t="str">
        <f>IF(INDEX(Catálogo!J$5:J$73,MATCH($A37,Catálogo!$A$5:$A$73,0))="","",INDEX(Catálogo!J$5:J$73,MATCH($A37,Catálogo!$A$5:$A$73,0)))</f>
        <v/>
      </c>
      <c r="K37" s="19" t="s">
        <v>42</v>
      </c>
      <c r="L37" s="19"/>
      <c r="M37" s="13" t="str">
        <f t="shared" si="0"/>
        <v/>
      </c>
      <c r="N37" s="19"/>
      <c r="O37" s="20"/>
      <c r="P37" s="13" t="str">
        <f>IF(INDEX(Catálogo!M$5:M$73,MATCH($A37,Catálogo!$A$5:$A$73,0))="","",INDEX(Catálogo!M$5:M$73,MATCH($A37,Catálogo!$A$5:$A$73,0)))</f>
        <v/>
      </c>
    </row>
    <row r="38" spans="1:16" ht="24" x14ac:dyDescent="0.25">
      <c r="A38" s="13" t="s">
        <v>208</v>
      </c>
      <c r="B38" s="13" t="str">
        <f>IF(INDEX(Catálogo!B$5:B$73,MATCH($A38,Catálogo!$A$5:$A$73,0))="","",INDEX(Catálogo!B$5:B$73,MATCH($A38,Catálogo!$A$5:$A$73,0)))</f>
        <v>3. Sistema neumático y etapa de secado</v>
      </c>
      <c r="C38" s="13" t="str">
        <f>IF(INDEX(Catálogo!C$5:C$73,MATCH($A38,Catálogo!$A$5:$A$73,0))="","",INDEX(Catálogo!C$5:C$73,MATCH($A38,Catálogo!$A$5:$A$73,0)))</f>
        <v>3.3 Estanqueidad</v>
      </c>
      <c r="D38" s="13" t="str">
        <f>IF(INDEX(Catálogo!D$5:D$73,MATCH($A38,Catálogo!$A$5:$A$73,0))="","",INDEX(Catálogo!D$5:D$73,MATCH($A38,Catálogo!$A$5:$A$73,0)))</f>
        <v>O-Rings y conectores del holder</v>
      </c>
      <c r="E38" s="14" t="str">
        <f>IF(INDEX(Catálogo!E$5:E$73,MATCH($A38,Catálogo!$A$5:$A$73,0))="","",INDEX(Catálogo!E$5:E$73,MATCH($A38,Catálogo!$A$5:$A$73,0)))</f>
        <v>Estado de los O-Rings y conectores del cabezal de muestra (holder)</v>
      </c>
      <c r="F38" s="13" t="str">
        <f>IF(INDEX(Catálogo!F$5:F$73,MATCH($A38,Catálogo!$A$5:$A$73,0))="","",INDEX(Catálogo!F$5:F$73,MATCH($A38,Catálogo!$A$5:$A$73,0)))</f>
        <v>OK / No OK</v>
      </c>
      <c r="G38" s="13" t="str">
        <f>IF(INDEX(Catálogo!G$5:G$73,MATCH($A38,Catálogo!$A$5:$A$73,0))="","",INDEX(Catálogo!G$5:G$73,MATCH($A38,Catálogo!$A$5:$A$73,0)))</f>
        <v/>
      </c>
      <c r="H38" s="14" t="str">
        <f>IF(INDEX(Catálogo!H$5:H$73,MATCH($A38,Catálogo!$A$5:$A$73,0))="","",INDEX(Catálogo!H$5:H$73,MATCH($A38,Catálogo!$A$5:$A$73,0)))</f>
        <v>Sin desgaste</v>
      </c>
      <c r="I38" s="13" t="str">
        <f>IF(INDEX(Catálogo!I$5:I$73,MATCH($A38,Catálogo!$A$5:$A$73,0))="","",INDEX(Catálogo!I$5:I$73,MATCH($A38,Catálogo!$A$5:$A$73,0)))</f>
        <v/>
      </c>
      <c r="J38" s="13" t="str">
        <f>IF(INDEX(Catálogo!J$5:J$73,MATCH($A38,Catálogo!$A$5:$A$73,0))="","",INDEX(Catálogo!J$5:J$73,MATCH($A38,Catálogo!$A$5:$A$73,0)))</f>
        <v/>
      </c>
      <c r="K38" s="19" t="s">
        <v>42</v>
      </c>
      <c r="L38" s="19"/>
      <c r="M38" s="13" t="str">
        <f t="shared" si="0"/>
        <v/>
      </c>
      <c r="N38" s="19"/>
      <c r="O38" s="20"/>
      <c r="P38" s="13" t="str">
        <f>IF(INDEX(Catálogo!M$5:M$73,MATCH($A38,Catálogo!$A$5:$A$73,0))="","",INDEX(Catálogo!M$5:M$73,MATCH($A38,Catálogo!$A$5:$A$73,0)))</f>
        <v>C0004x1.2N70 / 1201011</v>
      </c>
    </row>
    <row r="39" spans="1:16" x14ac:dyDescent="0.25">
      <c r="A39" s="13" t="s">
        <v>212</v>
      </c>
      <c r="B39" s="13" t="str">
        <f>IF(INDEX(Catálogo!B$5:B$73,MATCH($A39,Catálogo!$A$5:$A$73,0))="","",INDEX(Catálogo!B$5:B$73,MATCH($A39,Catálogo!$A$5:$A$73,0)))</f>
        <v>3. Sistema neumático y etapa de secado</v>
      </c>
      <c r="C39" s="13" t="str">
        <f>IF(INDEX(Catálogo!C$5:C$73,MATCH($A39,Catálogo!$A$5:$A$73,0))="","",INDEX(Catálogo!C$5:C$73,MATCH($A39,Catálogo!$A$5:$A$73,0)))</f>
        <v>3.3 Estanqueidad</v>
      </c>
      <c r="D39" s="13" t="str">
        <f>IF(INDEX(Catálogo!D$5:D$73,MATCH($A39,Catálogo!$A$5:$A$73,0))="","",INDEX(Catálogo!D$5:D$73,MATCH($A39,Catálogo!$A$5:$A$73,0)))</f>
        <v>Alerta "Dryer"</v>
      </c>
      <c r="E39" s="14" t="str">
        <f>IF(INDEX(Catálogo!E$5:E$73,MATCH($A39,Catálogo!$A$5:$A$73,0))="","",INDEX(Catálogo!E$5:E$73,MATCH($A39,Catálogo!$A$5:$A$73,0)))</f>
        <v>Alerta activa de la etapa de secado en el equipo</v>
      </c>
      <c r="F39" s="13" t="str">
        <f>IF(INDEX(Catálogo!F$5:F$73,MATCH($A39,Catálogo!$A$5:$A$73,0))="","",INDEX(Catálogo!F$5:F$73,MATCH($A39,Catálogo!$A$5:$A$73,0)))</f>
        <v>Sí/No</v>
      </c>
      <c r="G39" s="13" t="str">
        <f>IF(INDEX(Catálogo!G$5:G$73,MATCH($A39,Catálogo!$A$5:$A$73,0))="","",INDEX(Catálogo!G$5:G$73,MATCH($A39,Catálogo!$A$5:$A$73,0)))</f>
        <v/>
      </c>
      <c r="H39" s="14" t="str">
        <f>IF(INDEX(Catálogo!H$5:H$73,MATCH($A39,Catálogo!$A$5:$A$73,0))="","",INDEX(Catálogo!H$5:H$73,MATCH($A39,Catálogo!$A$5:$A$73,0)))</f>
        <v>No debe estar activa</v>
      </c>
      <c r="I39" s="13" t="str">
        <f>IF(INDEX(Catálogo!I$5:I$73,MATCH($A39,Catálogo!$A$5:$A$73,0))="","",INDEX(Catálogo!I$5:I$73,MATCH($A39,Catálogo!$A$5:$A$73,0)))</f>
        <v/>
      </c>
      <c r="J39" s="13" t="str">
        <f>IF(INDEX(Catálogo!J$5:J$73,MATCH($A39,Catálogo!$A$5:$A$73,0))="","",INDEX(Catálogo!J$5:J$73,MATCH($A39,Catálogo!$A$5:$A$73,0)))</f>
        <v/>
      </c>
      <c r="K39" s="19" t="s">
        <v>42</v>
      </c>
      <c r="L39" s="19"/>
      <c r="M39" s="13" t="str">
        <f t="shared" si="0"/>
        <v/>
      </c>
      <c r="N39" s="19"/>
      <c r="O39" s="20"/>
      <c r="P39" s="13" t="str">
        <f>IF(INDEX(Catálogo!M$5:M$73,MATCH($A39,Catálogo!$A$5:$A$73,0))="","",INDEX(Catálogo!M$5:M$73,MATCH($A39,Catálogo!$A$5:$A$73,0)))</f>
        <v/>
      </c>
    </row>
    <row r="40" spans="1:16" ht="24" x14ac:dyDescent="0.25">
      <c r="A40" s="11" t="s">
        <v>216</v>
      </c>
      <c r="B40" s="11" t="str">
        <f>IF(INDEX(Catálogo!B$5:B$73,MATCH($A40,Catálogo!$A$5:$A$73,0))="","",INDEX(Catálogo!B$5:B$73,MATCH($A40,Catálogo!$A$5:$A$73,0)))</f>
        <v>4. Espectrómetro: cámara de medida y óptica</v>
      </c>
      <c r="C40" s="11" t="str">
        <f>IF(INDEX(Catálogo!C$5:C$73,MATCH($A40,Catálogo!$A$5:$A$73,0))="","",INDEX(Catálogo!C$5:C$73,MATCH($A40,Catálogo!$A$5:$A$73,0)))</f>
        <v>4.1 Estado del recinto</v>
      </c>
      <c r="D40" s="11" t="str">
        <f>IF(INDEX(Catálogo!D$5:D$73,MATCH($A40,Catálogo!$A$5:$A$73,0))="","",INDEX(Catálogo!D$5:D$73,MATCH($A40,Catálogo!$A$5:$A$73,0)))</f>
        <v>Humedad / condensación</v>
      </c>
      <c r="E40" s="12" t="str">
        <f>IF(INDEX(Catálogo!E$5:E$73,MATCH($A40,Catálogo!$A$5:$A$73,0))="","",INDEX(Catálogo!E$5:E$73,MATCH($A40,Catálogo!$A$5:$A$73,0)))</f>
        <v>Presencia de humedad o condensación en el gabinete del espectrómetro</v>
      </c>
      <c r="F40" s="11" t="str">
        <f>IF(INDEX(Catálogo!F$5:F$73,MATCH($A40,Catálogo!$A$5:$A$73,0))="","",INDEX(Catálogo!F$5:F$73,MATCH($A40,Catálogo!$A$5:$A$73,0)))</f>
        <v>Sí/No</v>
      </c>
      <c r="G40" s="11" t="str">
        <f>IF(INDEX(Catálogo!G$5:G$73,MATCH($A40,Catálogo!$A$5:$A$73,0))="","",INDEX(Catálogo!G$5:G$73,MATCH($A40,Catálogo!$A$5:$A$73,0)))</f>
        <v/>
      </c>
      <c r="H40" s="12" t="str">
        <f>IF(INDEX(Catálogo!H$5:H$73,MATCH($A40,Catálogo!$A$5:$A$73,0))="","",INDEX(Catálogo!H$5:H$73,MATCH($A40,Catálogo!$A$5:$A$73,0)))</f>
        <v>Ausencia de humedad</v>
      </c>
      <c r="I40" s="11" t="str">
        <f>IF(INDEX(Catálogo!I$5:I$73,MATCH($A40,Catálogo!$A$5:$A$73,0))="","",INDEX(Catálogo!I$5:I$73,MATCH($A40,Catálogo!$A$5:$A$73,0)))</f>
        <v/>
      </c>
      <c r="J40" s="11" t="str">
        <f>IF(INDEX(Catálogo!J$5:J$73,MATCH($A40,Catálogo!$A$5:$A$73,0))="","",INDEX(Catálogo!J$5:J$73,MATCH($A40,Catálogo!$A$5:$A$73,0)))</f>
        <v/>
      </c>
      <c r="K40" s="19" t="s">
        <v>42</v>
      </c>
      <c r="L40" s="19"/>
      <c r="M40" s="11" t="str">
        <f t="shared" si="0"/>
        <v/>
      </c>
      <c r="N40" s="19"/>
      <c r="O40" s="20"/>
      <c r="P40" s="11" t="str">
        <f>IF(INDEX(Catálogo!M$5:M$73,MATCH($A40,Catálogo!$A$5:$A$73,0))="","",INDEX(Catálogo!M$5:M$73,MATCH($A40,Catálogo!$A$5:$A$73,0)))</f>
        <v/>
      </c>
    </row>
    <row r="41" spans="1:16" ht="24" x14ac:dyDescent="0.25">
      <c r="A41" s="13" t="s">
        <v>222</v>
      </c>
      <c r="B41" s="13" t="str">
        <f>IF(INDEX(Catálogo!B$5:B$73,MATCH($A41,Catálogo!$A$5:$A$73,0))="","",INDEX(Catálogo!B$5:B$73,MATCH($A41,Catálogo!$A$5:$A$73,0)))</f>
        <v>4. Espectrómetro: cámara de medida y óptica</v>
      </c>
      <c r="C41" s="13" t="str">
        <f>IF(INDEX(Catálogo!C$5:C$73,MATCH($A41,Catálogo!$A$5:$A$73,0))="","",INDEX(Catálogo!C$5:C$73,MATCH($A41,Catálogo!$A$5:$A$73,0)))</f>
        <v>4.1 Estado del recinto</v>
      </c>
      <c r="D41" s="13" t="str">
        <f>IF(INDEX(Catálogo!D$5:D$73,MATCH($A41,Catálogo!$A$5:$A$73,0))="","",INDEX(Catálogo!D$5:D$73,MATCH($A41,Catálogo!$A$5:$A$73,0)))</f>
        <v>Óxido y corrosión</v>
      </c>
      <c r="E41" s="14" t="str">
        <f>IF(INDEX(Catálogo!E$5:E$73,MATCH($A41,Catálogo!$A$5:$A$73,0))="","",INDEX(Catálogo!E$5:E$73,MATCH($A41,Catálogo!$A$5:$A$73,0)))</f>
        <v>Óxido o corrosión en componentes internos por ingreso de humedad</v>
      </c>
      <c r="F41" s="13" t="str">
        <f>IF(INDEX(Catálogo!F$5:F$73,MATCH($A41,Catálogo!$A$5:$A$73,0))="","",INDEX(Catálogo!F$5:F$73,MATCH($A41,Catálogo!$A$5:$A$73,0)))</f>
        <v>Sí/No</v>
      </c>
      <c r="G41" s="13" t="str">
        <f>IF(INDEX(Catálogo!G$5:G$73,MATCH($A41,Catálogo!$A$5:$A$73,0))="","",INDEX(Catálogo!G$5:G$73,MATCH($A41,Catálogo!$A$5:$A$73,0)))</f>
        <v/>
      </c>
      <c r="H41" s="14" t="str">
        <f>IF(INDEX(Catálogo!H$5:H$73,MATCH($A41,Catálogo!$A$5:$A$73,0))="","",INDEX(Catálogo!H$5:H$73,MATCH($A41,Catálogo!$A$5:$A$73,0)))</f>
        <v>Sin óxido ni corrosión</v>
      </c>
      <c r="I41" s="13" t="str">
        <f>IF(INDEX(Catálogo!I$5:I$73,MATCH($A41,Catálogo!$A$5:$A$73,0))="","",INDEX(Catálogo!I$5:I$73,MATCH($A41,Catálogo!$A$5:$A$73,0)))</f>
        <v/>
      </c>
      <c r="J41" s="13" t="str">
        <f>IF(INDEX(Catálogo!J$5:J$73,MATCH($A41,Catálogo!$A$5:$A$73,0))="","",INDEX(Catálogo!J$5:J$73,MATCH($A41,Catálogo!$A$5:$A$73,0)))</f>
        <v/>
      </c>
      <c r="K41" s="19" t="s">
        <v>42</v>
      </c>
      <c r="L41" s="19"/>
      <c r="M41" s="13" t="str">
        <f t="shared" ref="M41:M77" si="1">IF($F41&lt;&gt;"Numérico","",IF($L41="","Sin dato",IF(AND(OR(NOT(ISNUMBER($I41)),$L41&gt;=$I41),OR(NOT(ISNUMBER($J41)),$L41&lt;=$J41)),"Dentro de rango","Fuera de rango")))</f>
        <v/>
      </c>
      <c r="N41" s="19"/>
      <c r="O41" s="20"/>
      <c r="P41" s="13" t="str">
        <f>IF(INDEX(Catálogo!M$5:M$73,MATCH($A41,Catálogo!$A$5:$A$73,0))="","",INDEX(Catálogo!M$5:M$73,MATCH($A41,Catálogo!$A$5:$A$73,0)))</f>
        <v/>
      </c>
    </row>
    <row r="42" spans="1:16" ht="24" x14ac:dyDescent="0.25">
      <c r="A42" s="13" t="s">
        <v>226</v>
      </c>
      <c r="B42" s="13" t="str">
        <f>IF(INDEX(Catálogo!B$5:B$73,MATCH($A42,Catálogo!$A$5:$A$73,0))="","",INDEX(Catálogo!B$5:B$73,MATCH($A42,Catálogo!$A$5:$A$73,0)))</f>
        <v>4. Espectrómetro: cámara de medida y óptica</v>
      </c>
      <c r="C42" s="13" t="str">
        <f>IF(INDEX(Catálogo!C$5:C$73,MATCH($A42,Catálogo!$A$5:$A$73,0))="","",INDEX(Catálogo!C$5:C$73,MATCH($A42,Catálogo!$A$5:$A$73,0)))</f>
        <v>4.1 Estado del recinto</v>
      </c>
      <c r="D42" s="13" t="str">
        <f>IF(INDEX(Catálogo!D$5:D$73,MATCH($A42,Catálogo!$A$5:$A$73,0))="","",INDEX(Catálogo!D$5:D$73,MATCH($A42,Catálogo!$A$5:$A$73,0)))</f>
        <v>Limpieza de la cámara de medida</v>
      </c>
      <c r="E42" s="14" t="str">
        <f>IF(INDEX(Catálogo!E$5:E$73,MATCH($A42,Catálogo!$A$5:$A$73,0))="","",INDEX(Catálogo!E$5:E$73,MATCH($A42,Catálogo!$A$5:$A$73,0)))</f>
        <v>Necesidad de limpieza integral de la cámara de medición</v>
      </c>
      <c r="F42" s="13" t="str">
        <f>IF(INDEX(Catálogo!F$5:F$73,MATCH($A42,Catálogo!$A$5:$A$73,0))="","",INDEX(Catálogo!F$5:F$73,MATCH($A42,Catálogo!$A$5:$A$73,0)))</f>
        <v>OK / No OK</v>
      </c>
      <c r="G42" s="13" t="str">
        <f>IF(INDEX(Catálogo!G$5:G$73,MATCH($A42,Catálogo!$A$5:$A$73,0))="","",INDEX(Catálogo!G$5:G$73,MATCH($A42,Catálogo!$A$5:$A$73,0)))</f>
        <v/>
      </c>
      <c r="H42" s="14" t="str">
        <f>IF(INDEX(Catálogo!H$5:H$73,MATCH($A42,Catálogo!$A$5:$A$73,0))="","",INDEX(Catálogo!H$5:H$73,MATCH($A42,Catálogo!$A$5:$A$73,0)))</f>
        <v>Cámara limpia</v>
      </c>
      <c r="I42" s="13" t="str">
        <f>IF(INDEX(Catálogo!I$5:I$73,MATCH($A42,Catálogo!$A$5:$A$73,0))="","",INDEX(Catálogo!I$5:I$73,MATCH($A42,Catálogo!$A$5:$A$73,0)))</f>
        <v/>
      </c>
      <c r="J42" s="13" t="str">
        <f>IF(INDEX(Catálogo!J$5:J$73,MATCH($A42,Catálogo!$A$5:$A$73,0))="","",INDEX(Catálogo!J$5:J$73,MATCH($A42,Catálogo!$A$5:$A$73,0)))</f>
        <v/>
      </c>
      <c r="K42" s="19" t="s">
        <v>42</v>
      </c>
      <c r="L42" s="19"/>
      <c r="M42" s="13" t="str">
        <f t="shared" si="1"/>
        <v/>
      </c>
      <c r="N42" s="19"/>
      <c r="O42" s="20"/>
      <c r="P42" s="13" t="str">
        <f>IF(INDEX(Catálogo!M$5:M$73,MATCH($A42,Catálogo!$A$5:$A$73,0))="","",INDEX(Catálogo!M$5:M$73,MATCH($A42,Catálogo!$A$5:$A$73,0)))</f>
        <v/>
      </c>
    </row>
    <row r="43" spans="1:16" x14ac:dyDescent="0.25">
      <c r="A43" s="13" t="s">
        <v>230</v>
      </c>
      <c r="B43" s="13" t="str">
        <f>IF(INDEX(Catálogo!B$5:B$73,MATCH($A43,Catálogo!$A$5:$A$73,0))="","",INDEX(Catálogo!B$5:B$73,MATCH($A43,Catálogo!$A$5:$A$73,0)))</f>
        <v>4. Espectrómetro: cámara de medida y óptica</v>
      </c>
      <c r="C43" s="13" t="str">
        <f>IF(INDEX(Catálogo!C$5:C$73,MATCH($A43,Catálogo!$A$5:$A$73,0))="","",INDEX(Catálogo!C$5:C$73,MATCH($A43,Catálogo!$A$5:$A$73,0)))</f>
        <v>4.2 Componentes ópticos</v>
      </c>
      <c r="D43" s="13" t="str">
        <f>IF(INDEX(Catálogo!D$5:D$73,MATCH($A43,Catálogo!$A$5:$A$73,0))="","",INDEX(Catálogo!D$5:D$73,MATCH($A43,Catálogo!$A$5:$A$73,0)))</f>
        <v>Espejo y tornillo del espejo</v>
      </c>
      <c r="E43" s="14" t="str">
        <f>IF(INDEX(Catálogo!E$5:E$73,MATCH($A43,Catálogo!$A$5:$A$73,0))="","",INDEX(Catálogo!E$5:E$73,MATCH($A43,Catálogo!$A$5:$A$73,0)))</f>
        <v>Estado del espejo y de su O-Ring de montaje</v>
      </c>
      <c r="F43" s="13" t="str">
        <f>IF(INDEX(Catálogo!F$5:F$73,MATCH($A43,Catálogo!$A$5:$A$73,0))="","",INDEX(Catálogo!F$5:F$73,MATCH($A43,Catálogo!$A$5:$A$73,0)))</f>
        <v>OK / No OK</v>
      </c>
      <c r="G43" s="13" t="str">
        <f>IF(INDEX(Catálogo!G$5:G$73,MATCH($A43,Catálogo!$A$5:$A$73,0))="","",INDEX(Catálogo!G$5:G$73,MATCH($A43,Catálogo!$A$5:$A$73,0)))</f>
        <v/>
      </c>
      <c r="H43" s="14" t="str">
        <f>IF(INDEX(Catálogo!H$5:H$73,MATCH($A43,Catálogo!$A$5:$A$73,0))="","",INDEX(Catálogo!H$5:H$73,MATCH($A43,Catálogo!$A$5:$A$73,0)))</f>
        <v>Sin daño ni fuga</v>
      </c>
      <c r="I43" s="13" t="str">
        <f>IF(INDEX(Catálogo!I$5:I$73,MATCH($A43,Catálogo!$A$5:$A$73,0))="","",INDEX(Catálogo!I$5:I$73,MATCH($A43,Catálogo!$A$5:$A$73,0)))</f>
        <v/>
      </c>
      <c r="J43" s="13" t="str">
        <f>IF(INDEX(Catálogo!J$5:J$73,MATCH($A43,Catálogo!$A$5:$A$73,0))="","",INDEX(Catálogo!J$5:J$73,MATCH($A43,Catálogo!$A$5:$A$73,0)))</f>
        <v/>
      </c>
      <c r="K43" s="19" t="s">
        <v>42</v>
      </c>
      <c r="L43" s="19"/>
      <c r="M43" s="13" t="str">
        <f t="shared" si="1"/>
        <v/>
      </c>
      <c r="N43" s="19"/>
      <c r="O43" s="20"/>
      <c r="P43" s="13" t="str">
        <f>IF(INDEX(Catálogo!M$5:M$73,MATCH($A43,Catálogo!$A$5:$A$73,0))="","",INDEX(Catálogo!M$5:M$73,MATCH($A43,Catálogo!$A$5:$A$73,0)))</f>
        <v>C00014x2.5NBR70</v>
      </c>
    </row>
    <row r="44" spans="1:16" ht="24" x14ac:dyDescent="0.25">
      <c r="A44" s="13" t="s">
        <v>236</v>
      </c>
      <c r="B44" s="13" t="str">
        <f>IF(INDEX(Catálogo!B$5:B$73,MATCH($A44,Catálogo!$A$5:$A$73,0))="","",INDEX(Catálogo!B$5:B$73,MATCH($A44,Catálogo!$A$5:$A$73,0)))</f>
        <v>4. Espectrómetro: cámara de medida y óptica</v>
      </c>
      <c r="C44" s="13" t="str">
        <f>IF(INDEX(Catálogo!C$5:C$73,MATCH($A44,Catálogo!$A$5:$A$73,0))="","",INDEX(Catálogo!C$5:C$73,MATCH($A44,Catálogo!$A$5:$A$73,0)))</f>
        <v>4.2 Componentes ópticos</v>
      </c>
      <c r="D44" s="13" t="str">
        <f>IF(INDEX(Catálogo!D$5:D$73,MATCH($A44,Catálogo!$A$5:$A$73,0))="","",INDEX(Catálogo!D$5:D$73,MATCH($A44,Catálogo!$A$5:$A$73,0)))</f>
        <v>Manchas en la óptica</v>
      </c>
      <c r="E44" s="14" t="str">
        <f>IF(INDEX(Catálogo!E$5:E$73,MATCH($A44,Catálogo!$A$5:$A$73,0))="","",INDEX(Catálogo!E$5:E$73,MATCH($A44,Catálogo!$A$5:$A$73,0)))</f>
        <v>Manchas o suciedad que generen ruido electrónico en la medida</v>
      </c>
      <c r="F44" s="13" t="str">
        <f>IF(INDEX(Catálogo!F$5:F$73,MATCH($A44,Catálogo!$A$5:$A$73,0))="","",INDEX(Catálogo!F$5:F$73,MATCH($A44,Catálogo!$A$5:$A$73,0)))</f>
        <v>Sí/No</v>
      </c>
      <c r="G44" s="13" t="str">
        <f>IF(INDEX(Catálogo!G$5:G$73,MATCH($A44,Catálogo!$A$5:$A$73,0))="","",INDEX(Catálogo!G$5:G$73,MATCH($A44,Catálogo!$A$5:$A$73,0)))</f>
        <v/>
      </c>
      <c r="H44" s="14" t="str">
        <f>IF(INDEX(Catálogo!H$5:H$73,MATCH($A44,Catálogo!$A$5:$A$73,0))="","",INDEX(Catálogo!H$5:H$73,MATCH($A44,Catálogo!$A$5:$A$73,0)))</f>
        <v>Óptica libre de manchas</v>
      </c>
      <c r="I44" s="13" t="str">
        <f>IF(INDEX(Catálogo!I$5:I$73,MATCH($A44,Catálogo!$A$5:$A$73,0))="","",INDEX(Catálogo!I$5:I$73,MATCH($A44,Catálogo!$A$5:$A$73,0)))</f>
        <v/>
      </c>
      <c r="J44" s="13" t="str">
        <f>IF(INDEX(Catálogo!J$5:J$73,MATCH($A44,Catálogo!$A$5:$A$73,0))="","",INDEX(Catálogo!J$5:J$73,MATCH($A44,Catálogo!$A$5:$A$73,0)))</f>
        <v/>
      </c>
      <c r="K44" s="19" t="s">
        <v>42</v>
      </c>
      <c r="L44" s="19"/>
      <c r="M44" s="13" t="str">
        <f t="shared" si="1"/>
        <v/>
      </c>
      <c r="N44" s="19"/>
      <c r="O44" s="20"/>
      <c r="P44" s="13" t="str">
        <f>IF(INDEX(Catálogo!M$5:M$73,MATCH($A44,Catálogo!$A$5:$A$73,0))="","",INDEX(Catálogo!M$5:M$73,MATCH($A44,Catálogo!$A$5:$A$73,0)))</f>
        <v/>
      </c>
    </row>
    <row r="45" spans="1:16" x14ac:dyDescent="0.25">
      <c r="A45" s="13" t="s">
        <v>241</v>
      </c>
      <c r="B45" s="13" t="str">
        <f>IF(INDEX(Catálogo!B$5:B$73,MATCH($A45,Catálogo!$A$5:$A$73,0))="","",INDEX(Catálogo!B$5:B$73,MATCH($A45,Catálogo!$A$5:$A$73,0)))</f>
        <v>4. Espectrómetro: cámara de medida y óptica</v>
      </c>
      <c r="C45" s="13" t="str">
        <f>IF(INDEX(Catálogo!C$5:C$73,MATCH($A45,Catálogo!$A$5:$A$73,0))="","",INDEX(Catálogo!C$5:C$73,MATCH($A45,Catálogo!$A$5:$A$73,0)))</f>
        <v>4.2 Componentes ópticos</v>
      </c>
      <c r="D45" s="13" t="str">
        <f>IF(INDEX(Catálogo!D$5:D$73,MATCH($A45,Catálogo!$A$5:$A$73,0))="","",INDEX(Catálogo!D$5:D$73,MATCH($A45,Catálogo!$A$5:$A$73,0)))</f>
        <v>Boquilla de ingreso de material particulado</v>
      </c>
      <c r="E45" s="14" t="str">
        <f>IF(INDEX(Catálogo!E$5:E$73,MATCH($A45,Catálogo!$A$5:$A$73,0))="","",INDEX(Catálogo!E$5:E$73,MATCH($A45,Catálogo!$A$5:$A$73,0)))</f>
        <v>Estado de la boquilla y su sello neumático</v>
      </c>
      <c r="F45" s="13" t="str">
        <f>IF(INDEX(Catálogo!F$5:F$73,MATCH($A45,Catálogo!$A$5:$A$73,0))="","",INDEX(Catálogo!F$5:F$73,MATCH($A45,Catálogo!$A$5:$A$73,0)))</f>
        <v>OK / No OK</v>
      </c>
      <c r="G45" s="13" t="str">
        <f>IF(INDEX(Catálogo!G$5:G$73,MATCH($A45,Catálogo!$A$5:$A$73,0))="","",INDEX(Catálogo!G$5:G$73,MATCH($A45,Catálogo!$A$5:$A$73,0)))</f>
        <v/>
      </c>
      <c r="H45" s="14" t="str">
        <f>IF(INDEX(Catálogo!H$5:H$73,MATCH($A45,Catálogo!$A$5:$A$73,0))="","",INDEX(Catálogo!H$5:H$73,MATCH($A45,Catálogo!$A$5:$A$73,0)))</f>
        <v>Sello neumático íntegro</v>
      </c>
      <c r="I45" s="13" t="str">
        <f>IF(INDEX(Catálogo!I$5:I$73,MATCH($A45,Catálogo!$A$5:$A$73,0))="","",INDEX(Catálogo!I$5:I$73,MATCH($A45,Catálogo!$A$5:$A$73,0)))</f>
        <v/>
      </c>
      <c r="J45" s="13" t="str">
        <f>IF(INDEX(Catálogo!J$5:J$73,MATCH($A45,Catálogo!$A$5:$A$73,0))="","",INDEX(Catálogo!J$5:J$73,MATCH($A45,Catálogo!$A$5:$A$73,0)))</f>
        <v/>
      </c>
      <c r="K45" s="19" t="s">
        <v>42</v>
      </c>
      <c r="L45" s="19"/>
      <c r="M45" s="13" t="str">
        <f t="shared" si="1"/>
        <v/>
      </c>
      <c r="N45" s="19"/>
      <c r="O45" s="20"/>
      <c r="P45" s="13" t="str">
        <f>IF(INDEX(Catálogo!M$5:M$73,MATCH($A45,Catálogo!$A$5:$A$73,0))="","",INDEX(Catálogo!M$5:M$73,MATCH($A45,Catálogo!$A$5:$A$73,0)))</f>
        <v>C0004x1</v>
      </c>
    </row>
    <row r="46" spans="1:16" ht="24" x14ac:dyDescent="0.25">
      <c r="A46" s="13" t="s">
        <v>245</v>
      </c>
      <c r="B46" s="13" t="str">
        <f>IF(INDEX(Catálogo!B$5:B$73,MATCH($A46,Catálogo!$A$5:$A$73,0))="","",INDEX(Catálogo!B$5:B$73,MATCH($A46,Catálogo!$A$5:$A$73,0)))</f>
        <v>4. Espectrómetro: cámara de medida y óptica</v>
      </c>
      <c r="C46" s="13" t="str">
        <f>IF(INDEX(Catálogo!C$5:C$73,MATCH($A46,Catálogo!$A$5:$A$73,0))="","",INDEX(Catálogo!C$5:C$73,MATCH($A46,Catálogo!$A$5:$A$73,0)))</f>
        <v>4.3 Unidad láser</v>
      </c>
      <c r="D46" s="13" t="str">
        <f>IF(INDEX(Catálogo!D$5:D$73,MATCH($A46,Catálogo!$A$5:$A$73,0))="","",INDEX(Catálogo!D$5:D$73,MATCH($A46,Catálogo!$A$5:$A$73,0)))</f>
        <v>Corriente de operación en alta (La_h)</v>
      </c>
      <c r="E46" s="14" t="str">
        <f>IF(INDEX(Catálogo!E$5:E$73,MATCH($A46,Catálogo!$A$5:$A$73,0))="","",INDEX(Catálogo!E$5:E$73,MATCH($A46,Catálogo!$A$5:$A$73,0)))</f>
        <v>Corriente del diodo láser en alta según software Diagnosis GRIMM</v>
      </c>
      <c r="F46" s="13" t="str">
        <f>IF(INDEX(Catálogo!F$5:F$73,MATCH($A46,Catálogo!$A$5:$A$73,0))="","",INDEX(Catálogo!F$5:F$73,MATCH($A46,Catálogo!$A$5:$A$73,0)))</f>
        <v>Numérico</v>
      </c>
      <c r="G46" s="13" t="str">
        <f>IF(INDEX(Catálogo!G$5:G$73,MATCH($A46,Catálogo!$A$5:$A$73,0))="","",INDEX(Catálogo!G$5:G$73,MATCH($A46,Catálogo!$A$5:$A$73,0)))</f>
        <v>mA</v>
      </c>
      <c r="H46" s="14" t="str">
        <f>IF(INDEX(Catálogo!H$5:H$73,MATCH($A46,Catálogo!$A$5:$A$73,0))="","",INDEX(Catálogo!H$5:H$73,MATCH($A46,Catálogo!$A$5:$A$73,0)))</f>
        <v>No debe superar el máximo permitido por el fabricante</v>
      </c>
      <c r="I46" s="13" t="str">
        <f>IF(INDEX(Catálogo!I$5:I$73,MATCH($A46,Catálogo!$A$5:$A$73,0))="","",INDEX(Catálogo!I$5:I$73,MATCH($A46,Catálogo!$A$5:$A$73,0)))</f>
        <v>PENDIENTE DE VALIDAR</v>
      </c>
      <c r="J46" s="13" t="str">
        <f>IF(INDEX(Catálogo!J$5:J$73,MATCH($A46,Catálogo!$A$5:$A$73,0))="","",INDEX(Catálogo!J$5:J$73,MATCH($A46,Catálogo!$A$5:$A$73,0)))</f>
        <v>PENDIENTE DE VALIDAR</v>
      </c>
      <c r="K46" s="19" t="s">
        <v>42</v>
      </c>
      <c r="L46" s="19"/>
      <c r="M46" s="13" t="str">
        <f t="shared" si="1"/>
        <v>Sin dato</v>
      </c>
      <c r="N46" s="19"/>
      <c r="O46" s="20"/>
      <c r="P46" s="13" t="str">
        <f>IF(INDEX(Catálogo!M$5:M$73,MATCH($A46,Catálogo!$A$5:$A$73,0))="","",INDEX(Catálogo!M$5:M$73,MATCH($A46,Catálogo!$A$5:$A$73,0)))</f>
        <v>X187LDRVR-R</v>
      </c>
    </row>
    <row r="47" spans="1:16" ht="24" x14ac:dyDescent="0.25">
      <c r="A47" s="13" t="s">
        <v>252</v>
      </c>
      <c r="B47" s="13" t="str">
        <f>IF(INDEX(Catálogo!B$5:B$73,MATCH($A47,Catálogo!$A$5:$A$73,0))="","",INDEX(Catálogo!B$5:B$73,MATCH($A47,Catálogo!$A$5:$A$73,0)))</f>
        <v>4. Espectrómetro: cámara de medida y óptica</v>
      </c>
      <c r="C47" s="13" t="str">
        <f>IF(INDEX(Catálogo!C$5:C$73,MATCH($A47,Catálogo!$A$5:$A$73,0))="","",INDEX(Catálogo!C$5:C$73,MATCH($A47,Catálogo!$A$5:$A$73,0)))</f>
        <v>4.3 Unidad láser</v>
      </c>
      <c r="D47" s="13" t="str">
        <f>IF(INDEX(Catálogo!D$5:D$73,MATCH($A47,Catálogo!$A$5:$A$73,0))="","",INDEX(Catálogo!D$5:D$73,MATCH($A47,Catálogo!$A$5:$A$73,0)))</f>
        <v>Valor diferencial DC_diff</v>
      </c>
      <c r="E47" s="14" t="str">
        <f>IF(INDEX(Catálogo!E$5:E$73,MATCH($A47,Catálogo!$A$5:$A$73,0))="","",INDEX(Catálogo!E$5:E$73,MATCH($A47,Catálogo!$A$5:$A$73,0)))</f>
        <v>DC_diff acorde a la corriente alta del láser (indicador de ruido electrónico)</v>
      </c>
      <c r="F47" s="13" t="str">
        <f>IF(INDEX(Catálogo!F$5:F$73,MATCH($A47,Catálogo!$A$5:$A$73,0))="","",INDEX(Catálogo!F$5:F$73,MATCH($A47,Catálogo!$A$5:$A$73,0)))</f>
        <v>OK / No OK</v>
      </c>
      <c r="G47" s="13" t="str">
        <f>IF(INDEX(Catálogo!G$5:G$73,MATCH($A47,Catálogo!$A$5:$A$73,0))="","",INDEX(Catálogo!G$5:G$73,MATCH($A47,Catálogo!$A$5:$A$73,0)))</f>
        <v/>
      </c>
      <c r="H47" s="14" t="str">
        <f>IF(INDEX(Catálogo!H$5:H$73,MATCH($A47,Catálogo!$A$5:$A$73,0))="","",INDEX(Catálogo!H$5:H$73,MATCH($A47,Catálogo!$A$5:$A$73,0)))</f>
        <v>Acorde a La_h</v>
      </c>
      <c r="I47" s="13" t="str">
        <f>IF(INDEX(Catálogo!I$5:I$73,MATCH($A47,Catálogo!$A$5:$A$73,0))="","",INDEX(Catálogo!I$5:I$73,MATCH($A47,Catálogo!$A$5:$A$73,0)))</f>
        <v/>
      </c>
      <c r="J47" s="13" t="str">
        <f>IF(INDEX(Catálogo!J$5:J$73,MATCH($A47,Catálogo!$A$5:$A$73,0))="","",INDEX(Catálogo!J$5:J$73,MATCH($A47,Catálogo!$A$5:$A$73,0)))</f>
        <v/>
      </c>
      <c r="K47" s="19" t="s">
        <v>42</v>
      </c>
      <c r="L47" s="19"/>
      <c r="M47" s="13" t="str">
        <f t="shared" si="1"/>
        <v/>
      </c>
      <c r="N47" s="19"/>
      <c r="O47" s="20"/>
      <c r="P47" s="13" t="str">
        <f>IF(INDEX(Catálogo!M$5:M$73,MATCH($A47,Catálogo!$A$5:$A$73,0))="","",INDEX(Catálogo!M$5:M$73,MATCH($A47,Catálogo!$A$5:$A$73,0)))</f>
        <v/>
      </c>
    </row>
    <row r="48" spans="1:16" ht="24" x14ac:dyDescent="0.25">
      <c r="A48" s="13" t="s">
        <v>256</v>
      </c>
      <c r="B48" s="13" t="str">
        <f>IF(INDEX(Catálogo!B$5:B$73,MATCH($A48,Catálogo!$A$5:$A$73,0))="","",INDEX(Catálogo!B$5:B$73,MATCH($A48,Catálogo!$A$5:$A$73,0)))</f>
        <v>4. Espectrómetro: cámara de medida y óptica</v>
      </c>
      <c r="C48" s="13" t="str">
        <f>IF(INDEX(Catálogo!C$5:C$73,MATCH($A48,Catálogo!$A$5:$A$73,0))="","",INDEX(Catálogo!C$5:C$73,MATCH($A48,Catálogo!$A$5:$A$73,0)))</f>
        <v>4.3 Unidad láser</v>
      </c>
      <c r="D48" s="13" t="str">
        <f>IF(INDEX(Catálogo!D$5:D$73,MATCH($A48,Catálogo!$A$5:$A$73,0))="","",INDEX(Catálogo!D$5:D$73,MATCH($A48,Catálogo!$A$5:$A$73,0)))</f>
        <v>Respuesta a verificación con dolomita</v>
      </c>
      <c r="E48" s="14" t="str">
        <f>IF(INDEX(Catálogo!E$5:E$73,MATCH($A48,Catálogo!$A$5:$A$73,0))="","",INDEX(Catálogo!E$5:E$73,MATCH($A48,Catálogo!$A$5:$A$73,0)))</f>
        <v>El láser reacciona durante el procedimiento de verificación con dolomita</v>
      </c>
      <c r="F48" s="13" t="str">
        <f>IF(INDEX(Catálogo!F$5:F$73,MATCH($A48,Catálogo!$A$5:$A$73,0))="","",INDEX(Catálogo!F$5:F$73,MATCH($A48,Catálogo!$A$5:$A$73,0)))</f>
        <v>OK / No OK</v>
      </c>
      <c r="G48" s="13" t="str">
        <f>IF(INDEX(Catálogo!G$5:G$73,MATCH($A48,Catálogo!$A$5:$A$73,0))="","",INDEX(Catálogo!G$5:G$73,MATCH($A48,Catálogo!$A$5:$A$73,0)))</f>
        <v/>
      </c>
      <c r="H48" s="14" t="str">
        <f>IF(INDEX(Catálogo!H$5:H$73,MATCH($A48,Catálogo!$A$5:$A$73,0))="","",INDEX(Catálogo!H$5:H$73,MATCH($A48,Catálogo!$A$5:$A$73,0)))</f>
        <v>Debe presentar reacción</v>
      </c>
      <c r="I48" s="13" t="str">
        <f>IF(INDEX(Catálogo!I$5:I$73,MATCH($A48,Catálogo!$A$5:$A$73,0))="","",INDEX(Catálogo!I$5:I$73,MATCH($A48,Catálogo!$A$5:$A$73,0)))</f>
        <v/>
      </c>
      <c r="J48" s="13" t="str">
        <f>IF(INDEX(Catálogo!J$5:J$73,MATCH($A48,Catálogo!$A$5:$A$73,0))="","",INDEX(Catálogo!J$5:J$73,MATCH($A48,Catálogo!$A$5:$A$73,0)))</f>
        <v/>
      </c>
      <c r="K48" s="19" t="s">
        <v>42</v>
      </c>
      <c r="L48" s="19"/>
      <c r="M48" s="13" t="str">
        <f t="shared" si="1"/>
        <v/>
      </c>
      <c r="N48" s="19"/>
      <c r="O48" s="20"/>
      <c r="P48" s="13" t="str">
        <f>IF(INDEX(Catálogo!M$5:M$73,MATCH($A48,Catálogo!$A$5:$A$73,0))="","",INDEX(Catálogo!M$5:M$73,MATCH($A48,Catálogo!$A$5:$A$73,0)))</f>
        <v>X187LDRVR-R</v>
      </c>
    </row>
    <row r="49" spans="1:16" ht="24" x14ac:dyDescent="0.25">
      <c r="A49" s="13" t="s">
        <v>260</v>
      </c>
      <c r="B49" s="13" t="str">
        <f>IF(INDEX(Catálogo!B$5:B$73,MATCH($A49,Catálogo!$A$5:$A$73,0))="","",INDEX(Catálogo!B$5:B$73,MATCH($A49,Catálogo!$A$5:$A$73,0)))</f>
        <v>4. Espectrómetro: cámara de medida y óptica</v>
      </c>
      <c r="C49" s="13" t="str">
        <f>IF(INDEX(Catálogo!C$5:C$73,MATCH($A49,Catálogo!$A$5:$A$73,0))="","",INDEX(Catálogo!C$5:C$73,MATCH($A49,Catálogo!$A$5:$A$73,0)))</f>
        <v>4.3 Unidad láser</v>
      </c>
      <c r="D49" s="13" t="str">
        <f>IF(INDEX(Catálogo!D$5:D$73,MATCH($A49,Catálogo!$A$5:$A$73,0))="","",INDEX(Catálogo!D$5:D$73,MATCH($A49,Catálogo!$A$5:$A$73,0)))</f>
        <v>Capacidad de ajuste de potenciómetros</v>
      </c>
      <c r="E49" s="14" t="str">
        <f>IF(INDEX(Catálogo!E$5:E$73,MATCH($A49,Catálogo!$A$5:$A$73,0))="","",INDEX(Catálogo!E$5:E$73,MATCH($A49,Catálogo!$A$5:$A$73,0)))</f>
        <v>Los potenciómetros permiten llevar la ganancia al rango operativo</v>
      </c>
      <c r="F49" s="13" t="str">
        <f>IF(INDEX(Catálogo!F$5:F$73,MATCH($A49,Catálogo!$A$5:$A$73,0))="","",INDEX(Catálogo!F$5:F$73,MATCH($A49,Catálogo!$A$5:$A$73,0)))</f>
        <v>Sí/No</v>
      </c>
      <c r="G49" s="13" t="str">
        <f>IF(INDEX(Catálogo!G$5:G$73,MATCH($A49,Catálogo!$A$5:$A$73,0))="","",INDEX(Catálogo!G$5:G$73,MATCH($A49,Catálogo!$A$5:$A$73,0)))</f>
        <v/>
      </c>
      <c r="H49" s="14" t="str">
        <f>IF(INDEX(Catálogo!H$5:H$73,MATCH($A49,Catálogo!$A$5:$A$73,0))="","",INDEX(Catálogo!H$5:H$73,MATCH($A49,Catálogo!$A$5:$A$73,0)))</f>
        <v>Debe permitir el ajuste</v>
      </c>
      <c r="I49" s="13" t="str">
        <f>IF(INDEX(Catálogo!I$5:I$73,MATCH($A49,Catálogo!$A$5:$A$73,0))="","",INDEX(Catálogo!I$5:I$73,MATCH($A49,Catálogo!$A$5:$A$73,0)))</f>
        <v/>
      </c>
      <c r="J49" s="13" t="str">
        <f>IF(INDEX(Catálogo!J$5:J$73,MATCH($A49,Catálogo!$A$5:$A$73,0))="","",INDEX(Catálogo!J$5:J$73,MATCH($A49,Catálogo!$A$5:$A$73,0)))</f>
        <v/>
      </c>
      <c r="K49" s="19" t="s">
        <v>42</v>
      </c>
      <c r="L49" s="19"/>
      <c r="M49" s="13" t="str">
        <f t="shared" si="1"/>
        <v/>
      </c>
      <c r="N49" s="19"/>
      <c r="O49" s="20"/>
      <c r="P49" s="13" t="str">
        <f>IF(INDEX(Catálogo!M$5:M$73,MATCH($A49,Catálogo!$A$5:$A$73,0))="","",INDEX(Catálogo!M$5:M$73,MATCH($A49,Catálogo!$A$5:$A$73,0)))</f>
        <v>X187LDRVR-R</v>
      </c>
    </row>
    <row r="50" spans="1:16" x14ac:dyDescent="0.25">
      <c r="A50" s="11" t="s">
        <v>264</v>
      </c>
      <c r="B50" s="11" t="str">
        <f>IF(INDEX(Catálogo!B$5:B$73,MATCH($A50,Catálogo!$A$5:$A$73,0))="","",INDEX(Catálogo!B$5:B$73,MATCH($A50,Catálogo!$A$5:$A$73,0)))</f>
        <v>5. Electrónica y control</v>
      </c>
      <c r="C50" s="11" t="str">
        <f>IF(INDEX(Catálogo!C$5:C$73,MATCH($A50,Catálogo!$A$5:$A$73,0))="","",INDEX(Catálogo!C$5:C$73,MATCH($A50,Catálogo!$A$5:$A$73,0)))</f>
        <v>5.1 Tarjetas</v>
      </c>
      <c r="D50" s="11" t="str">
        <f>IF(INDEX(Catálogo!D$5:D$73,MATCH($A50,Catálogo!$A$5:$A$73,0))="","",INDEX(Catálogo!D$5:D$73,MATCH($A50,Catálogo!$A$5:$A$73,0)))</f>
        <v>Tarjeta digital del espectrómetro</v>
      </c>
      <c r="E50" s="12" t="str">
        <f>IF(INDEX(Catálogo!E$5:E$73,MATCH($A50,Catálogo!$A$5:$A$73,0))="","",INDEX(Catálogo!E$5:E$73,MATCH($A50,Catálogo!$A$5:$A$73,0)))</f>
        <v>Operatividad de la tarjeta digital</v>
      </c>
      <c r="F50" s="11" t="str">
        <f>IF(INDEX(Catálogo!F$5:F$73,MATCH($A50,Catálogo!$A$5:$A$73,0))="","",INDEX(Catálogo!F$5:F$73,MATCH($A50,Catálogo!$A$5:$A$73,0)))</f>
        <v>OK / No OK</v>
      </c>
      <c r="G50" s="11" t="str">
        <f>IF(INDEX(Catálogo!G$5:G$73,MATCH($A50,Catálogo!$A$5:$A$73,0))="","",INDEX(Catálogo!G$5:G$73,MATCH($A50,Catálogo!$A$5:$A$73,0)))</f>
        <v/>
      </c>
      <c r="H50" s="12" t="str">
        <f>IF(INDEX(Catálogo!H$5:H$73,MATCH($A50,Catálogo!$A$5:$A$73,0))="","",INDEX(Catálogo!H$5:H$73,MATCH($A50,Catálogo!$A$5:$A$73,0)))</f>
        <v>Debe permitir la operación del equipo</v>
      </c>
      <c r="I50" s="11" t="str">
        <f>IF(INDEX(Catálogo!I$5:I$73,MATCH($A50,Catálogo!$A$5:$A$73,0))="","",INDEX(Catálogo!I$5:I$73,MATCH($A50,Catálogo!$A$5:$A$73,0)))</f>
        <v/>
      </c>
      <c r="J50" s="11" t="str">
        <f>IF(INDEX(Catálogo!J$5:J$73,MATCH($A50,Catálogo!$A$5:$A$73,0))="","",INDEX(Catálogo!J$5:J$73,MATCH($A50,Catálogo!$A$5:$A$73,0)))</f>
        <v/>
      </c>
      <c r="K50" s="19" t="s">
        <v>42</v>
      </c>
      <c r="L50" s="19"/>
      <c r="M50" s="11" t="str">
        <f t="shared" si="1"/>
        <v/>
      </c>
      <c r="N50" s="19"/>
      <c r="O50" s="20"/>
      <c r="P50" s="11" t="str">
        <f>IF(INDEX(Catálogo!M$5:M$73,MATCH($A50,Catálogo!$A$5:$A$73,0))="","",INDEX(Catálogo!M$5:M$73,MATCH($A50,Catálogo!$A$5:$A$73,0)))</f>
        <v>X187486</v>
      </c>
    </row>
    <row r="51" spans="1:16" x14ac:dyDescent="0.25">
      <c r="A51" s="13" t="s">
        <v>271</v>
      </c>
      <c r="B51" s="13" t="str">
        <f>IF(INDEX(Catálogo!B$5:B$73,MATCH($A51,Catálogo!$A$5:$A$73,0))="","",INDEX(Catálogo!B$5:B$73,MATCH($A51,Catálogo!$A$5:$A$73,0)))</f>
        <v>5. Electrónica y control</v>
      </c>
      <c r="C51" s="13" t="str">
        <f>IF(INDEX(Catálogo!C$5:C$73,MATCH($A51,Catálogo!$A$5:$A$73,0))="","",INDEX(Catálogo!C$5:C$73,MATCH($A51,Catálogo!$A$5:$A$73,0)))</f>
        <v>5.1 Tarjetas</v>
      </c>
      <c r="D51" s="13" t="str">
        <f>IF(INDEX(Catálogo!D$5:D$73,MATCH($A51,Catálogo!$A$5:$A$73,0))="","",INDEX(Catálogo!D$5:D$73,MATCH($A51,Catálogo!$A$5:$A$73,0)))</f>
        <v>Tarjeta análoga</v>
      </c>
      <c r="E51" s="14" t="str">
        <f>IF(INDEX(Catálogo!E$5:E$73,MATCH($A51,Catálogo!$A$5:$A$73,0))="","",INDEX(Catálogo!E$5:E$73,MATCH($A51,Catálogo!$A$5:$A$73,0)))</f>
        <v>Estado y operatividad de la tarjeta análoga</v>
      </c>
      <c r="F51" s="13" t="str">
        <f>IF(INDEX(Catálogo!F$5:F$73,MATCH($A51,Catálogo!$A$5:$A$73,0))="","",INDEX(Catálogo!F$5:F$73,MATCH($A51,Catálogo!$A$5:$A$73,0)))</f>
        <v>OK / No OK</v>
      </c>
      <c r="G51" s="13" t="str">
        <f>IF(INDEX(Catálogo!G$5:G$73,MATCH($A51,Catálogo!$A$5:$A$73,0))="","",INDEX(Catálogo!G$5:G$73,MATCH($A51,Catálogo!$A$5:$A$73,0)))</f>
        <v/>
      </c>
      <c r="H51" s="14" t="str">
        <f>IF(INDEX(Catálogo!H$5:H$73,MATCH($A51,Catálogo!$A$5:$A$73,0))="","",INDEX(Catálogo!H$5:H$73,MATCH($A51,Catálogo!$A$5:$A$73,0)))</f>
        <v>Operativa</v>
      </c>
      <c r="I51" s="13" t="str">
        <f>IF(INDEX(Catálogo!I$5:I$73,MATCH($A51,Catálogo!$A$5:$A$73,0))="","",INDEX(Catálogo!I$5:I$73,MATCH($A51,Catálogo!$A$5:$A$73,0)))</f>
        <v/>
      </c>
      <c r="J51" s="13" t="str">
        <f>IF(INDEX(Catálogo!J$5:J$73,MATCH($A51,Catálogo!$A$5:$A$73,0))="","",INDEX(Catálogo!J$5:J$73,MATCH($A51,Catálogo!$A$5:$A$73,0)))</f>
        <v/>
      </c>
      <c r="K51" s="19" t="s">
        <v>42</v>
      </c>
      <c r="L51" s="19"/>
      <c r="M51" s="13" t="str">
        <f t="shared" si="1"/>
        <v/>
      </c>
      <c r="N51" s="19"/>
      <c r="O51" s="20"/>
      <c r="P51" s="13" t="str">
        <f>IF(INDEX(Catálogo!M$5:M$73,MATCH($A51,Catálogo!$A$5:$A$73,0))="","",INDEX(Catálogo!M$5:M$73,MATCH($A51,Catálogo!$A$5:$A$73,0)))</f>
        <v/>
      </c>
    </row>
    <row r="52" spans="1:16" ht="24" x14ac:dyDescent="0.25">
      <c r="A52" s="13" t="s">
        <v>275</v>
      </c>
      <c r="B52" s="13" t="str">
        <f>IF(INDEX(Catálogo!B$5:B$73,MATCH($A52,Catálogo!$A$5:$A$73,0))="","",INDEX(Catálogo!B$5:B$73,MATCH($A52,Catálogo!$A$5:$A$73,0)))</f>
        <v>5. Electrónica y control</v>
      </c>
      <c r="C52" s="13" t="str">
        <f>IF(INDEX(Catálogo!C$5:C$73,MATCH($A52,Catálogo!$A$5:$A$73,0))="","",INDEX(Catálogo!C$5:C$73,MATCH($A52,Catálogo!$A$5:$A$73,0)))</f>
        <v>5.1 Tarjetas</v>
      </c>
      <c r="D52" s="13" t="str">
        <f>IF(INDEX(Catálogo!D$5:D$73,MATCH($A52,Catálogo!$A$5:$A$73,0))="","",INDEX(Catálogo!D$5:D$73,MATCH($A52,Catálogo!$A$5:$A$73,0)))</f>
        <v>Aislante de apantallamiento</v>
      </c>
      <c r="E52" s="14" t="str">
        <f>IF(INDEX(Catálogo!E$5:E$73,MATCH($A52,Catálogo!$A$5:$A$73,0))="","",INDEX(Catálogo!E$5:E$73,MATCH($A52,Catálogo!$A$5:$A$73,0)))</f>
        <v>Presencia del aislante entre la tarjeta digital y la análoga</v>
      </c>
      <c r="F52" s="13" t="str">
        <f>IF(INDEX(Catálogo!F$5:F$73,MATCH($A52,Catálogo!$A$5:$A$73,0))="","",INDEX(Catálogo!F$5:F$73,MATCH($A52,Catálogo!$A$5:$A$73,0)))</f>
        <v>Presente / Ausente</v>
      </c>
      <c r="G52" s="13" t="str">
        <f>IF(INDEX(Catálogo!G$5:G$73,MATCH($A52,Catálogo!$A$5:$A$73,0))="","",INDEX(Catálogo!G$5:G$73,MATCH($A52,Catálogo!$A$5:$A$73,0)))</f>
        <v/>
      </c>
      <c r="H52" s="14" t="str">
        <f>IF(INDEX(Catálogo!H$5:H$73,MATCH($A52,Catálogo!$A$5:$A$73,0))="","",INDEX(Catálogo!H$5:H$73,MATCH($A52,Catálogo!$A$5:$A$73,0)))</f>
        <v>Debe estar presente (su ausencia genera ruido electrónico)</v>
      </c>
      <c r="I52" s="13" t="str">
        <f>IF(INDEX(Catálogo!I$5:I$73,MATCH($A52,Catálogo!$A$5:$A$73,0))="","",INDEX(Catálogo!I$5:I$73,MATCH($A52,Catálogo!$A$5:$A$73,0)))</f>
        <v/>
      </c>
      <c r="J52" s="13" t="str">
        <f>IF(INDEX(Catálogo!J$5:J$73,MATCH($A52,Catálogo!$A$5:$A$73,0))="","",INDEX(Catálogo!J$5:J$73,MATCH($A52,Catálogo!$A$5:$A$73,0)))</f>
        <v/>
      </c>
      <c r="K52" s="19" t="s">
        <v>42</v>
      </c>
      <c r="L52" s="19"/>
      <c r="M52" s="13" t="str">
        <f t="shared" si="1"/>
        <v/>
      </c>
      <c r="N52" s="19"/>
      <c r="O52" s="20"/>
      <c r="P52" s="13" t="str">
        <f>IF(INDEX(Catálogo!M$5:M$73,MATCH($A52,Catálogo!$A$5:$A$73,0))="","",INDEX(Catálogo!M$5:M$73,MATCH($A52,Catálogo!$A$5:$A$73,0)))</f>
        <v/>
      </c>
    </row>
    <row r="53" spans="1:16" ht="24" x14ac:dyDescent="0.25">
      <c r="A53" s="13" t="s">
        <v>279</v>
      </c>
      <c r="B53" s="13" t="str">
        <f>IF(INDEX(Catálogo!B$5:B$73,MATCH($A53,Catálogo!$A$5:$A$73,0))="","",INDEX(Catálogo!B$5:B$73,MATCH($A53,Catálogo!$A$5:$A$73,0)))</f>
        <v>5. Electrónica y control</v>
      </c>
      <c r="C53" s="13" t="str">
        <f>IF(INDEX(Catálogo!C$5:C$73,MATCH($A53,Catálogo!$A$5:$A$73,0))="","",INDEX(Catálogo!C$5:C$73,MATCH($A53,Catálogo!$A$5:$A$73,0)))</f>
        <v>5.2 Ajustes y ganancias</v>
      </c>
      <c r="D53" s="13" t="str">
        <f>IF(INDEX(Catálogo!D$5:D$73,MATCH($A53,Catálogo!$A$5:$A$73,0))="","",INDEX(Catálogo!D$5:D$73,MATCH($A53,Catálogo!$A$5:$A$73,0)))</f>
        <v>Ganancia canal F</v>
      </c>
      <c r="E53" s="14" t="str">
        <f>IF(INDEX(Catálogo!E$5:E$73,MATCH($A53,Catálogo!$A$5:$A$73,0))="","",INDEX(Catálogo!E$5:E$73,MATCH($A53,Catálogo!$A$5:$A$73,0)))</f>
        <v>Desviación de la ganancia del canal F respecto al espectrómetro de referencia</v>
      </c>
      <c r="F53" s="13" t="str">
        <f>IF(INDEX(Catálogo!F$5:F$73,MATCH($A53,Catálogo!$A$5:$A$73,0))="","",INDEX(Catálogo!F$5:F$73,MATCH($A53,Catálogo!$A$5:$A$73,0)))</f>
        <v>Numérico</v>
      </c>
      <c r="G53" s="13" t="str">
        <f>IF(INDEX(Catálogo!G$5:G$73,MATCH($A53,Catálogo!$A$5:$A$73,0))="","",INDEX(Catálogo!G$5:G$73,MATCH($A53,Catálogo!$A$5:$A$73,0)))</f>
        <v>%</v>
      </c>
      <c r="H53" s="14" t="str">
        <f>IF(INDEX(Catálogo!H$5:H$73,MATCH($A53,Catálogo!$A$5:$A$73,0))="","",INDEX(Catálogo!H$5:H$73,MATCH($A53,Catálogo!$A$5:$A$73,0)))</f>
        <v>Entre -2 % y +5 %</v>
      </c>
      <c r="I53" s="13">
        <f>IF(INDEX(Catálogo!I$5:I$73,MATCH($A53,Catálogo!$A$5:$A$73,0))="","",INDEX(Catálogo!I$5:I$73,MATCH($A53,Catálogo!$A$5:$A$73,0)))</f>
        <v>-2</v>
      </c>
      <c r="J53" s="13">
        <f>IF(INDEX(Catálogo!J$5:J$73,MATCH($A53,Catálogo!$A$5:$A$73,0))="","",INDEX(Catálogo!J$5:J$73,MATCH($A53,Catálogo!$A$5:$A$73,0)))</f>
        <v>5</v>
      </c>
      <c r="K53" s="19" t="s">
        <v>42</v>
      </c>
      <c r="L53" s="19"/>
      <c r="M53" s="13" t="str">
        <f t="shared" si="1"/>
        <v>Sin dato</v>
      </c>
      <c r="N53" s="19"/>
      <c r="O53" s="20"/>
      <c r="P53" s="13" t="str">
        <f>IF(INDEX(Catálogo!M$5:M$73,MATCH($A53,Catálogo!$A$5:$A$73,0))="","",INDEX(Catálogo!M$5:M$73,MATCH($A53,Catálogo!$A$5:$A$73,0)))</f>
        <v/>
      </c>
    </row>
    <row r="54" spans="1:16" ht="24" x14ac:dyDescent="0.25">
      <c r="A54" s="13" t="s">
        <v>285</v>
      </c>
      <c r="B54" s="13" t="str">
        <f>IF(INDEX(Catálogo!B$5:B$73,MATCH($A54,Catálogo!$A$5:$A$73,0))="","",INDEX(Catálogo!B$5:B$73,MATCH($A54,Catálogo!$A$5:$A$73,0)))</f>
        <v>5. Electrónica y control</v>
      </c>
      <c r="C54" s="13" t="str">
        <f>IF(INDEX(Catálogo!C$5:C$73,MATCH($A54,Catálogo!$A$5:$A$73,0))="","",INDEX(Catálogo!C$5:C$73,MATCH($A54,Catálogo!$A$5:$A$73,0)))</f>
        <v>5.2 Ajustes y ganancias</v>
      </c>
      <c r="D54" s="13" t="str">
        <f>IF(INDEX(Catálogo!D$5:D$73,MATCH($A54,Catálogo!$A$5:$A$73,0))="","",INDEX(Catálogo!D$5:D$73,MATCH($A54,Catálogo!$A$5:$A$73,0)))</f>
        <v>Ganancia canal G</v>
      </c>
      <c r="E54" s="14" t="str">
        <f>IF(INDEX(Catálogo!E$5:E$73,MATCH($A54,Catálogo!$A$5:$A$73,0))="","",INDEX(Catálogo!E$5:E$73,MATCH($A54,Catálogo!$A$5:$A$73,0)))</f>
        <v>Desviación de la ganancia del canal G respecto al espectrómetro de referencia</v>
      </c>
      <c r="F54" s="13" t="str">
        <f>IF(INDEX(Catálogo!F$5:F$73,MATCH($A54,Catálogo!$A$5:$A$73,0))="","",INDEX(Catálogo!F$5:F$73,MATCH($A54,Catálogo!$A$5:$A$73,0)))</f>
        <v>Numérico</v>
      </c>
      <c r="G54" s="13" t="str">
        <f>IF(INDEX(Catálogo!G$5:G$73,MATCH($A54,Catálogo!$A$5:$A$73,0))="","",INDEX(Catálogo!G$5:G$73,MATCH($A54,Catálogo!$A$5:$A$73,0)))</f>
        <v>%</v>
      </c>
      <c r="H54" s="14" t="str">
        <f>IF(INDEX(Catálogo!H$5:H$73,MATCH($A54,Catálogo!$A$5:$A$73,0))="","",INDEX(Catálogo!H$5:H$73,MATCH($A54,Catálogo!$A$5:$A$73,0)))</f>
        <v>Entre -2 % y +5 %</v>
      </c>
      <c r="I54" s="13">
        <f>IF(INDEX(Catálogo!I$5:I$73,MATCH($A54,Catálogo!$A$5:$A$73,0))="","",INDEX(Catálogo!I$5:I$73,MATCH($A54,Catálogo!$A$5:$A$73,0)))</f>
        <v>-2</v>
      </c>
      <c r="J54" s="13">
        <f>IF(INDEX(Catálogo!J$5:J$73,MATCH($A54,Catálogo!$A$5:$A$73,0))="","",INDEX(Catálogo!J$5:J$73,MATCH($A54,Catálogo!$A$5:$A$73,0)))</f>
        <v>5</v>
      </c>
      <c r="K54" s="19" t="s">
        <v>42</v>
      </c>
      <c r="L54" s="19"/>
      <c r="M54" s="13" t="str">
        <f t="shared" si="1"/>
        <v>Sin dato</v>
      </c>
      <c r="N54" s="19"/>
      <c r="O54" s="20"/>
      <c r="P54" s="13" t="str">
        <f>IF(INDEX(Catálogo!M$5:M$73,MATCH($A54,Catálogo!$A$5:$A$73,0))="","",INDEX(Catálogo!M$5:M$73,MATCH($A54,Catálogo!$A$5:$A$73,0)))</f>
        <v/>
      </c>
    </row>
    <row r="55" spans="1:16" x14ac:dyDescent="0.25">
      <c r="A55" s="13" t="s">
        <v>288</v>
      </c>
      <c r="B55" s="13" t="str">
        <f>IF(INDEX(Catálogo!B$5:B$73,MATCH($A55,Catálogo!$A$5:$A$73,0))="","",INDEX(Catálogo!B$5:B$73,MATCH($A55,Catálogo!$A$5:$A$73,0)))</f>
        <v>5. Electrónica y control</v>
      </c>
      <c r="C55" s="13" t="str">
        <f>IF(INDEX(Catálogo!C$5:C$73,MATCH($A55,Catálogo!$A$5:$A$73,0))="","",INDEX(Catálogo!C$5:C$73,MATCH($A55,Catálogo!$A$5:$A$73,0)))</f>
        <v>5.3 Alimentación y memoria</v>
      </c>
      <c r="D55" s="13" t="str">
        <f>IF(INDEX(Catálogo!D$5:D$73,MATCH($A55,Catálogo!$A$5:$A$73,0))="","",INDEX(Catálogo!D$5:D$73,MATCH($A55,Catálogo!$A$5:$A$73,0)))</f>
        <v>Batería 3V tarjeta PCMCIA</v>
      </c>
      <c r="E55" s="14" t="str">
        <f>IF(INDEX(Catálogo!E$5:E$73,MATCH($A55,Catálogo!$A$5:$A$73,0))="","",INDEX(Catálogo!E$5:E$73,MATCH($A55,Catálogo!$A$5:$A$73,0)))</f>
        <v>Estado / tensión de la batería CR2025</v>
      </c>
      <c r="F55" s="13" t="str">
        <f>IF(INDEX(Catálogo!F$5:F$73,MATCH($A55,Catálogo!$A$5:$A$73,0))="","",INDEX(Catálogo!F$5:F$73,MATCH($A55,Catálogo!$A$5:$A$73,0)))</f>
        <v>Numérico</v>
      </c>
      <c r="G55" s="13" t="str">
        <f>IF(INDEX(Catálogo!G$5:G$73,MATCH($A55,Catálogo!$A$5:$A$73,0))="","",INDEX(Catálogo!G$5:G$73,MATCH($A55,Catálogo!$A$5:$A$73,0)))</f>
        <v>V</v>
      </c>
      <c r="H55" s="14" t="str">
        <f>IF(INDEX(Catálogo!H$5:H$73,MATCH($A55,Catálogo!$A$5:$A$73,0))="","",INDEX(Catálogo!H$5:H$73,MATCH($A55,Catálogo!$A$5:$A$73,0)))</f>
        <v>Tensión mínima 2,8 V</v>
      </c>
      <c r="I55" s="13">
        <f>IF(INDEX(Catálogo!I$5:I$73,MATCH($A55,Catálogo!$A$5:$A$73,0))="","",INDEX(Catálogo!I$5:I$73,MATCH($A55,Catálogo!$A$5:$A$73,0)))</f>
        <v>2.8</v>
      </c>
      <c r="J55" s="13">
        <f>IF(INDEX(Catálogo!J$5:J$73,MATCH($A55,Catálogo!$A$5:$A$73,0))="","",INDEX(Catálogo!J$5:J$73,MATCH($A55,Catálogo!$A$5:$A$73,0)))</f>
        <v>3.3</v>
      </c>
      <c r="K55" s="19" t="s">
        <v>42</v>
      </c>
      <c r="L55" s="19"/>
      <c r="M55" s="13" t="str">
        <f t="shared" si="1"/>
        <v>Sin dato</v>
      </c>
      <c r="N55" s="19"/>
      <c r="O55" s="20"/>
      <c r="P55" s="13" t="str">
        <f>IF(INDEX(Catálogo!M$5:M$73,MATCH($A55,Catálogo!$A$5:$A$73,0))="","",INDEX(Catálogo!M$5:M$73,MATCH($A55,Catálogo!$A$5:$A$73,0)))</f>
        <v>CR2025</v>
      </c>
    </row>
    <row r="56" spans="1:16" ht="24" x14ac:dyDescent="0.25">
      <c r="A56" s="13" t="s">
        <v>295</v>
      </c>
      <c r="B56" s="13" t="str">
        <f>IF(INDEX(Catálogo!B$5:B$73,MATCH($A56,Catálogo!$A$5:$A$73,0))="","",INDEX(Catálogo!B$5:B$73,MATCH($A56,Catálogo!$A$5:$A$73,0)))</f>
        <v>5. Electrónica y control</v>
      </c>
      <c r="C56" s="13" t="str">
        <f>IF(INDEX(Catálogo!C$5:C$73,MATCH($A56,Catálogo!$A$5:$A$73,0))="","",INDEX(Catálogo!C$5:C$73,MATCH($A56,Catálogo!$A$5:$A$73,0)))</f>
        <v>5.3 Alimentación y memoria</v>
      </c>
      <c r="D56" s="13" t="str">
        <f>IF(INDEX(Catálogo!D$5:D$73,MATCH($A56,Catálogo!$A$5:$A$73,0))="","",INDEX(Catálogo!D$5:D$73,MATCH($A56,Catálogo!$A$5:$A$73,0)))</f>
        <v>Tarjeta PCMCIA / almacenamiento</v>
      </c>
      <c r="E56" s="14" t="str">
        <f>IF(INDEX(Catálogo!E$5:E$73,MATCH($A56,Catálogo!$A$5:$A$73,0))="","",INDEX(Catálogo!E$5:E$73,MATCH($A56,Catálogo!$A$5:$A$73,0)))</f>
        <v>Lectura y escritura de datos en la tarjeta de memoria</v>
      </c>
      <c r="F56" s="13" t="str">
        <f>IF(INDEX(Catálogo!F$5:F$73,MATCH($A56,Catálogo!$A$5:$A$73,0))="","",INDEX(Catálogo!F$5:F$73,MATCH($A56,Catálogo!$A$5:$A$73,0)))</f>
        <v>OK / No OK</v>
      </c>
      <c r="G56" s="13" t="str">
        <f>IF(INDEX(Catálogo!G$5:G$73,MATCH($A56,Catálogo!$A$5:$A$73,0))="","",INDEX(Catálogo!G$5:G$73,MATCH($A56,Catálogo!$A$5:$A$73,0)))</f>
        <v/>
      </c>
      <c r="H56" s="14" t="str">
        <f>IF(INDEX(Catálogo!H$5:H$73,MATCH($A56,Catálogo!$A$5:$A$73,0))="","",INDEX(Catálogo!H$5:H$73,MATCH($A56,Catálogo!$A$5:$A$73,0)))</f>
        <v>Debe leer y escribir</v>
      </c>
      <c r="I56" s="13" t="str">
        <f>IF(INDEX(Catálogo!I$5:I$73,MATCH($A56,Catálogo!$A$5:$A$73,0))="","",INDEX(Catálogo!I$5:I$73,MATCH($A56,Catálogo!$A$5:$A$73,0)))</f>
        <v/>
      </c>
      <c r="J56" s="13" t="str">
        <f>IF(INDEX(Catálogo!J$5:J$73,MATCH($A56,Catálogo!$A$5:$A$73,0))="","",INDEX(Catálogo!J$5:J$73,MATCH($A56,Catálogo!$A$5:$A$73,0)))</f>
        <v/>
      </c>
      <c r="K56" s="19" t="s">
        <v>42</v>
      </c>
      <c r="L56" s="19"/>
      <c r="M56" s="13" t="str">
        <f t="shared" si="1"/>
        <v/>
      </c>
      <c r="N56" s="19"/>
      <c r="O56" s="20"/>
      <c r="P56" s="13" t="str">
        <f>IF(INDEX(Catálogo!M$5:M$73,MATCH($A56,Catálogo!$A$5:$A$73,0))="","",INDEX(Catálogo!M$5:M$73,MATCH($A56,Catálogo!$A$5:$A$73,0)))</f>
        <v/>
      </c>
    </row>
    <row r="57" spans="1:16" x14ac:dyDescent="0.25">
      <c r="A57" s="13" t="s">
        <v>299</v>
      </c>
      <c r="B57" s="13" t="str">
        <f>IF(INDEX(Catálogo!B$5:B$73,MATCH($A57,Catálogo!$A$5:$A$73,0))="","",INDEX(Catálogo!B$5:B$73,MATCH($A57,Catálogo!$A$5:$A$73,0)))</f>
        <v>5. Electrónica y control</v>
      </c>
      <c r="C57" s="13" t="str">
        <f>IF(INDEX(Catálogo!C$5:C$73,MATCH($A57,Catálogo!$A$5:$A$73,0))="","",INDEX(Catálogo!C$5:C$73,MATCH($A57,Catálogo!$A$5:$A$73,0)))</f>
        <v>5.3 Alimentación y memoria</v>
      </c>
      <c r="D57" s="13" t="str">
        <f>IF(INDEX(Catálogo!D$5:D$73,MATCH($A57,Catálogo!$A$5:$A$73,0))="","",INDEX(Catálogo!D$5:D$73,MATCH($A57,Catálogo!$A$5:$A$73,0)))</f>
        <v>Cableado y conectores internos</v>
      </c>
      <c r="E57" s="14" t="str">
        <f>IF(INDEX(Catálogo!E$5:E$73,MATCH($A57,Catálogo!$A$5:$A$73,0))="","",INDEX(Catálogo!E$5:E$73,MATCH($A57,Catálogo!$A$5:$A$73,0)))</f>
        <v>Estado de cableado, conectores y bornes internos</v>
      </c>
      <c r="F57" s="13" t="str">
        <f>IF(INDEX(Catálogo!F$5:F$73,MATCH($A57,Catálogo!$A$5:$A$73,0))="","",INDEX(Catálogo!F$5:F$73,MATCH($A57,Catálogo!$A$5:$A$73,0)))</f>
        <v>OK / No OK</v>
      </c>
      <c r="G57" s="13" t="str">
        <f>IF(INDEX(Catálogo!G$5:G$73,MATCH($A57,Catálogo!$A$5:$A$73,0))="","",INDEX(Catálogo!G$5:G$73,MATCH($A57,Catálogo!$A$5:$A$73,0)))</f>
        <v/>
      </c>
      <c r="H57" s="14" t="str">
        <f>IF(INDEX(Catálogo!H$5:H$73,MATCH($A57,Catálogo!$A$5:$A$73,0))="","",INDEX(Catálogo!H$5:H$73,MATCH($A57,Catálogo!$A$5:$A$73,0)))</f>
        <v>Sin daño ni corrosión</v>
      </c>
      <c r="I57" s="13" t="str">
        <f>IF(INDEX(Catálogo!I$5:I$73,MATCH($A57,Catálogo!$A$5:$A$73,0))="","",INDEX(Catálogo!I$5:I$73,MATCH($A57,Catálogo!$A$5:$A$73,0)))</f>
        <v/>
      </c>
      <c r="J57" s="13" t="str">
        <f>IF(INDEX(Catálogo!J$5:J$73,MATCH($A57,Catálogo!$A$5:$A$73,0))="","",INDEX(Catálogo!J$5:J$73,MATCH($A57,Catálogo!$A$5:$A$73,0)))</f>
        <v/>
      </c>
      <c r="K57" s="19" t="s">
        <v>42</v>
      </c>
      <c r="L57" s="19"/>
      <c r="M57" s="13" t="str">
        <f t="shared" si="1"/>
        <v/>
      </c>
      <c r="N57" s="19"/>
      <c r="O57" s="20"/>
      <c r="P57" s="13" t="str">
        <f>IF(INDEX(Catálogo!M$5:M$73,MATCH($A57,Catálogo!$A$5:$A$73,0))="","",INDEX(Catálogo!M$5:M$73,MATCH($A57,Catálogo!$A$5:$A$73,0)))</f>
        <v/>
      </c>
    </row>
    <row r="58" spans="1:16" ht="24" x14ac:dyDescent="0.25">
      <c r="A58" s="13" t="s">
        <v>303</v>
      </c>
      <c r="B58" s="13" t="str">
        <f>IF(INDEX(Catálogo!B$5:B$73,MATCH($A58,Catálogo!$A$5:$A$73,0))="","",INDEX(Catálogo!B$5:B$73,MATCH($A58,Catálogo!$A$5:$A$73,0)))</f>
        <v>5. Electrónica y control</v>
      </c>
      <c r="C58" s="13" t="str">
        <f>IF(INDEX(Catálogo!C$5:C$73,MATCH($A58,Catálogo!$A$5:$A$73,0))="","",INDEX(Catálogo!C$5:C$73,MATCH($A58,Catálogo!$A$5:$A$73,0)))</f>
        <v>5.4 Software de diagnóstico</v>
      </c>
      <c r="D58" s="13" t="str">
        <f>IF(INDEX(Catálogo!D$5:D$73,MATCH($A58,Catálogo!$A$5:$A$73,0))="","",INDEX(Catálogo!D$5:D$73,MATCH($A58,Catálogo!$A$5:$A$73,0)))</f>
        <v>Lectura en Diagnosis GRIMM</v>
      </c>
      <c r="E58" s="14" t="str">
        <f>IF(INDEX(Catálogo!E$5:E$73,MATCH($A58,Catálogo!$A$5:$A$73,0))="","",INDEX(Catálogo!E$5:E$73,MATCH($A58,Catálogo!$A$5:$A$73,0)))</f>
        <v>Los valores del software oficial indican operación correcta</v>
      </c>
      <c r="F58" s="13" t="str">
        <f>IF(INDEX(Catálogo!F$5:F$73,MATCH($A58,Catálogo!$A$5:$A$73,0))="","",INDEX(Catálogo!F$5:F$73,MATCH($A58,Catálogo!$A$5:$A$73,0)))</f>
        <v>OK / No OK</v>
      </c>
      <c r="G58" s="13" t="str">
        <f>IF(INDEX(Catálogo!G$5:G$73,MATCH($A58,Catálogo!$A$5:$A$73,0))="","",INDEX(Catálogo!G$5:G$73,MATCH($A58,Catálogo!$A$5:$A$73,0)))</f>
        <v/>
      </c>
      <c r="H58" s="14" t="str">
        <f>IF(INDEX(Catálogo!H$5:H$73,MATCH($A58,Catálogo!$A$5:$A$73,0))="","",INDEX(Catálogo!H$5:H$73,MATCH($A58,Catálogo!$A$5:$A$73,0)))</f>
        <v>Valores dentro de rango</v>
      </c>
      <c r="I58" s="13" t="str">
        <f>IF(INDEX(Catálogo!I$5:I$73,MATCH($A58,Catálogo!$A$5:$A$73,0))="","",INDEX(Catálogo!I$5:I$73,MATCH($A58,Catálogo!$A$5:$A$73,0)))</f>
        <v/>
      </c>
      <c r="J58" s="13" t="str">
        <f>IF(INDEX(Catálogo!J$5:J$73,MATCH($A58,Catálogo!$A$5:$A$73,0))="","",INDEX(Catálogo!J$5:J$73,MATCH($A58,Catálogo!$A$5:$A$73,0)))</f>
        <v/>
      </c>
      <c r="K58" s="19" t="s">
        <v>42</v>
      </c>
      <c r="L58" s="19"/>
      <c r="M58" s="13" t="str">
        <f t="shared" si="1"/>
        <v/>
      </c>
      <c r="N58" s="19"/>
      <c r="O58" s="20"/>
      <c r="P58" s="13" t="str">
        <f>IF(INDEX(Catálogo!M$5:M$73,MATCH($A58,Catálogo!$A$5:$A$73,0))="","",INDEX(Catálogo!M$5:M$73,MATCH($A58,Catálogo!$A$5:$A$73,0)))</f>
        <v/>
      </c>
    </row>
    <row r="59" spans="1:16" ht="24" x14ac:dyDescent="0.25">
      <c r="A59" s="13" t="s">
        <v>308</v>
      </c>
      <c r="B59" s="13" t="str">
        <f>IF(INDEX(Catálogo!B$5:B$73,MATCH($A59,Catálogo!$A$5:$A$73,0))="","",INDEX(Catálogo!B$5:B$73,MATCH($A59,Catálogo!$A$5:$A$73,0)))</f>
        <v>5. Electrónica y control</v>
      </c>
      <c r="C59" s="13" t="str">
        <f>IF(INDEX(Catálogo!C$5:C$73,MATCH($A59,Catálogo!$A$5:$A$73,0))="","",INDEX(Catálogo!C$5:C$73,MATCH($A59,Catálogo!$A$5:$A$73,0)))</f>
        <v>5.4 Software de diagnóstico</v>
      </c>
      <c r="D59" s="13" t="str">
        <f>IF(INDEX(Catálogo!D$5:D$73,MATCH($A59,Catálogo!$A$5:$A$73,0))="","",INDEX(Catálogo!D$5:D$73,MATCH($A59,Catálogo!$A$5:$A$73,0)))</f>
        <v>Captura del diagnóstico</v>
      </c>
      <c r="E59" s="14" t="str">
        <f>IF(INDEX(Catálogo!E$5:E$73,MATCH($A59,Catálogo!$A$5:$A$73,0))="","",INDEX(Catálogo!E$5:E$73,MATCH($A59,Catálogo!$A$5:$A$73,0)))</f>
        <v>Se adjunta captura de pantalla del software de diagnóstico</v>
      </c>
      <c r="F59" s="13" t="str">
        <f>IF(INDEX(Catálogo!F$5:F$73,MATCH($A59,Catálogo!$A$5:$A$73,0))="","",INDEX(Catálogo!F$5:F$73,MATCH($A59,Catálogo!$A$5:$A$73,0)))</f>
        <v>Sí/No</v>
      </c>
      <c r="G59" s="13" t="str">
        <f>IF(INDEX(Catálogo!G$5:G$73,MATCH($A59,Catálogo!$A$5:$A$73,0))="","",INDEX(Catálogo!G$5:G$73,MATCH($A59,Catálogo!$A$5:$A$73,0)))</f>
        <v/>
      </c>
      <c r="H59" s="14" t="str">
        <f>IF(INDEX(Catálogo!H$5:H$73,MATCH($A59,Catálogo!$A$5:$A$73,0))="","",INDEX(Catálogo!H$5:H$73,MATCH($A59,Catálogo!$A$5:$A$73,0)))</f>
        <v>Debe adjuntarse</v>
      </c>
      <c r="I59" s="13" t="str">
        <f>IF(INDEX(Catálogo!I$5:I$73,MATCH($A59,Catálogo!$A$5:$A$73,0))="","",INDEX(Catálogo!I$5:I$73,MATCH($A59,Catálogo!$A$5:$A$73,0)))</f>
        <v/>
      </c>
      <c r="J59" s="13" t="str">
        <f>IF(INDEX(Catálogo!J$5:J$73,MATCH($A59,Catálogo!$A$5:$A$73,0))="","",INDEX(Catálogo!J$5:J$73,MATCH($A59,Catálogo!$A$5:$A$73,0)))</f>
        <v/>
      </c>
      <c r="K59" s="19" t="s">
        <v>42</v>
      </c>
      <c r="L59" s="19"/>
      <c r="M59" s="13" t="str">
        <f t="shared" si="1"/>
        <v/>
      </c>
      <c r="N59" s="19"/>
      <c r="O59" s="20"/>
      <c r="P59" s="13" t="str">
        <f>IF(INDEX(Catálogo!M$5:M$73,MATCH($A59,Catálogo!$A$5:$A$73,0))="","",INDEX(Catálogo!M$5:M$73,MATCH($A59,Catálogo!$A$5:$A$73,0)))</f>
        <v/>
      </c>
    </row>
    <row r="60" spans="1:16" x14ac:dyDescent="0.25">
      <c r="A60" s="11" t="s">
        <v>312</v>
      </c>
      <c r="B60" s="11" t="str">
        <f>IF(INDEX(Catálogo!B$5:B$73,MATCH($A60,Catálogo!$A$5:$A$73,0))="","",INDEX(Catálogo!B$5:B$73,MATCH($A60,Catálogo!$A$5:$A$73,0)))</f>
        <v>6. Filtros y consumibles</v>
      </c>
      <c r="C60" s="11" t="str">
        <f>IF(INDEX(Catálogo!C$5:C$73,MATCH($A60,Catálogo!$A$5:$A$73,0))="","",INDEX(Catálogo!C$5:C$73,MATCH($A60,Catálogo!$A$5:$A$73,0)))</f>
        <v>6.1 Filtros</v>
      </c>
      <c r="D60" s="11" t="str">
        <f>IF(INDEX(Catálogo!D$5:D$73,MATCH($A60,Catálogo!$A$5:$A$73,0))="","",INDEX(Catálogo!D$5:D$73,MATCH($A60,Catálogo!$A$5:$A$73,0)))</f>
        <v>Filtro de disposición 9933-05-BQ</v>
      </c>
      <c r="E60" s="12" t="str">
        <f>IF(INDEX(Catálogo!E$5:E$73,MATCH($A60,Catálogo!$A$5:$A$73,0))="","",INDEX(Catálogo!E$5:E$73,MATCH($A60,Catálogo!$A$5:$A$73,0)))</f>
        <v>Colmatación y estado del filtro de disposición</v>
      </c>
      <c r="F60" s="11" t="str">
        <f>IF(INDEX(Catálogo!F$5:F$73,MATCH($A60,Catálogo!$A$5:$A$73,0))="","",INDEX(Catálogo!F$5:F$73,MATCH($A60,Catálogo!$A$5:$A$73,0)))</f>
        <v>OK / No OK</v>
      </c>
      <c r="G60" s="11" t="str">
        <f>IF(INDEX(Catálogo!G$5:G$73,MATCH($A60,Catálogo!$A$5:$A$73,0))="","",INDEX(Catálogo!G$5:G$73,MATCH($A60,Catálogo!$A$5:$A$73,0)))</f>
        <v/>
      </c>
      <c r="H60" s="12" t="str">
        <f>IF(INDEX(Catálogo!H$5:H$73,MATCH($A60,Catálogo!$A$5:$A$73,0))="","",INDEX(Catálogo!H$5:H$73,MATCH($A60,Catálogo!$A$5:$A$73,0)))</f>
        <v>Sin colmatación</v>
      </c>
      <c r="I60" s="11" t="str">
        <f>IF(INDEX(Catálogo!I$5:I$73,MATCH($A60,Catálogo!$A$5:$A$73,0))="","",INDEX(Catálogo!I$5:I$73,MATCH($A60,Catálogo!$A$5:$A$73,0)))</f>
        <v/>
      </c>
      <c r="J60" s="11" t="str">
        <f>IF(INDEX(Catálogo!J$5:J$73,MATCH($A60,Catálogo!$A$5:$A$73,0))="","",INDEX(Catálogo!J$5:J$73,MATCH($A60,Catálogo!$A$5:$A$73,0)))</f>
        <v/>
      </c>
      <c r="K60" s="19" t="s">
        <v>42</v>
      </c>
      <c r="L60" s="19"/>
      <c r="M60" s="11" t="str">
        <f t="shared" si="1"/>
        <v/>
      </c>
      <c r="N60" s="19"/>
      <c r="O60" s="20"/>
      <c r="P60" s="11" t="str">
        <f>IF(INDEX(Catálogo!M$5:M$73,MATCH($A60,Catálogo!$A$5:$A$73,0))="","",INDEX(Catálogo!M$5:M$73,MATCH($A60,Catálogo!$A$5:$A$73,0)))</f>
        <v>J04993305BQ</v>
      </c>
    </row>
    <row r="61" spans="1:16" ht="24" x14ac:dyDescent="0.25">
      <c r="A61" s="13" t="s">
        <v>319</v>
      </c>
      <c r="B61" s="13" t="str">
        <f>IF(INDEX(Catálogo!B$5:B$73,MATCH($A61,Catálogo!$A$5:$A$73,0))="","",INDEX(Catálogo!B$5:B$73,MATCH($A61,Catálogo!$A$5:$A$73,0)))</f>
        <v>6. Filtros y consumibles</v>
      </c>
      <c r="C61" s="13" t="str">
        <f>IF(INDEX(Catálogo!C$5:C$73,MATCH($A61,Catálogo!$A$5:$A$73,0))="","",INDEX(Catálogo!C$5:C$73,MATCH($A61,Catálogo!$A$5:$A$73,0)))</f>
        <v>6.1 Filtros</v>
      </c>
      <c r="D61" s="13" t="str">
        <f>IF(INDEX(Catálogo!D$5:D$73,MATCH($A61,Catálogo!$A$5:$A$73,0))="","",INDEX(Catálogo!D$5:D$73,MATCH($A61,Catálogo!$A$5:$A$73,0)))</f>
        <v>Fecha del último cambio de filtro</v>
      </c>
      <c r="E61" s="14" t="str">
        <f>IF(INDEX(Catálogo!E$5:E$73,MATCH($A61,Catálogo!$A$5:$A$73,0))="","",INDEX(Catálogo!E$5:E$73,MATCH($A61,Catálogo!$A$5:$A$73,0)))</f>
        <v>Registro de la fecha del último reemplazo</v>
      </c>
      <c r="F61" s="13" t="str">
        <f>IF(INDEX(Catálogo!F$5:F$73,MATCH($A61,Catálogo!$A$5:$A$73,0))="","",INDEX(Catálogo!F$5:F$73,MATCH($A61,Catálogo!$A$5:$A$73,0)))</f>
        <v>Fecha</v>
      </c>
      <c r="G61" s="13" t="str">
        <f>IF(INDEX(Catálogo!G$5:G$73,MATCH($A61,Catálogo!$A$5:$A$73,0))="","",INDEX(Catálogo!G$5:G$73,MATCH($A61,Catálogo!$A$5:$A$73,0)))</f>
        <v/>
      </c>
      <c r="H61" s="14" t="str">
        <f>IF(INDEX(Catálogo!H$5:H$73,MATCH($A61,Catálogo!$A$5:$A$73,0))="","",INDEX(Catálogo!H$5:H$73,MATCH($A61,Catálogo!$A$5:$A$73,0)))</f>
        <v>Según periodicidad del plan de mantenimiento</v>
      </c>
      <c r="I61" s="13" t="str">
        <f>IF(INDEX(Catálogo!I$5:I$73,MATCH($A61,Catálogo!$A$5:$A$73,0))="","",INDEX(Catálogo!I$5:I$73,MATCH($A61,Catálogo!$A$5:$A$73,0)))</f>
        <v/>
      </c>
      <c r="J61" s="13" t="str">
        <f>IF(INDEX(Catálogo!J$5:J$73,MATCH($A61,Catálogo!$A$5:$A$73,0))="","",INDEX(Catálogo!J$5:J$73,MATCH($A61,Catálogo!$A$5:$A$73,0)))</f>
        <v/>
      </c>
      <c r="K61" s="19" t="s">
        <v>42</v>
      </c>
      <c r="L61" s="19"/>
      <c r="M61" s="13" t="str">
        <f t="shared" si="1"/>
        <v/>
      </c>
      <c r="N61" s="19"/>
      <c r="O61" s="20"/>
      <c r="P61" s="13" t="str">
        <f>IF(INDEX(Catálogo!M$5:M$73,MATCH($A61,Catálogo!$A$5:$A$73,0))="","",INDEX(Catálogo!M$5:M$73,MATCH($A61,Catálogo!$A$5:$A$73,0)))</f>
        <v>J04993305BQ</v>
      </c>
    </row>
    <row r="62" spans="1:16" x14ac:dyDescent="0.25">
      <c r="A62" s="13" t="s">
        <v>323</v>
      </c>
      <c r="B62" s="13" t="str">
        <f>IF(INDEX(Catálogo!B$5:B$73,MATCH($A62,Catálogo!$A$5:$A$73,0))="","",INDEX(Catálogo!B$5:B$73,MATCH($A62,Catálogo!$A$5:$A$73,0)))</f>
        <v>6. Filtros y consumibles</v>
      </c>
      <c r="C62" s="13" t="str">
        <f>IF(INDEX(Catálogo!C$5:C$73,MATCH($A62,Catálogo!$A$5:$A$73,0))="","",INDEX(Catálogo!C$5:C$73,MATCH($A62,Catálogo!$A$5:$A$73,0)))</f>
        <v>6.2 Juntas y sellos</v>
      </c>
      <c r="D62" s="13" t="str">
        <f>IF(INDEX(Catálogo!D$5:D$73,MATCH($A62,Catálogo!$A$5:$A$73,0))="","",INDEX(Catálogo!D$5:D$73,MATCH($A62,Catálogo!$A$5:$A$73,0)))</f>
        <v>O-Ring 4x1 mm entrada de muestreo</v>
      </c>
      <c r="E62" s="14" t="str">
        <f>IF(INDEX(Catálogo!E$5:E$73,MATCH($A62,Catálogo!$A$5:$A$73,0))="","",INDEX(Catálogo!E$5:E$73,MATCH($A62,Catálogo!$A$5:$A$73,0)))</f>
        <v>Estado de la junta tórica de la entrada de muestreo</v>
      </c>
      <c r="F62" s="13" t="str">
        <f>IF(INDEX(Catálogo!F$5:F$73,MATCH($A62,Catálogo!$A$5:$A$73,0))="","",INDEX(Catálogo!F$5:F$73,MATCH($A62,Catálogo!$A$5:$A$73,0)))</f>
        <v>OK / No OK</v>
      </c>
      <c r="G62" s="13" t="str">
        <f>IF(INDEX(Catálogo!G$5:G$73,MATCH($A62,Catálogo!$A$5:$A$73,0))="","",INDEX(Catálogo!G$5:G$73,MATCH($A62,Catálogo!$A$5:$A$73,0)))</f>
        <v/>
      </c>
      <c r="H62" s="14" t="str">
        <f>IF(INDEX(Catálogo!H$5:H$73,MATCH($A62,Catálogo!$A$5:$A$73,0))="","",INDEX(Catálogo!H$5:H$73,MATCH($A62,Catálogo!$A$5:$A$73,0)))</f>
        <v>Sin desgaste</v>
      </c>
      <c r="I62" s="13" t="str">
        <f>IF(INDEX(Catálogo!I$5:I$73,MATCH($A62,Catálogo!$A$5:$A$73,0))="","",INDEX(Catálogo!I$5:I$73,MATCH($A62,Catálogo!$A$5:$A$73,0)))</f>
        <v/>
      </c>
      <c r="J62" s="13" t="str">
        <f>IF(INDEX(Catálogo!J$5:J$73,MATCH($A62,Catálogo!$A$5:$A$73,0))="","",INDEX(Catálogo!J$5:J$73,MATCH($A62,Catálogo!$A$5:$A$73,0)))</f>
        <v/>
      </c>
      <c r="K62" s="19" t="s">
        <v>42</v>
      </c>
      <c r="L62" s="19"/>
      <c r="M62" s="13" t="str">
        <f t="shared" si="1"/>
        <v/>
      </c>
      <c r="N62" s="19"/>
      <c r="O62" s="20"/>
      <c r="P62" s="13" t="str">
        <f>IF(INDEX(Catálogo!M$5:M$73,MATCH($A62,Catálogo!$A$5:$A$73,0))="","",INDEX(Catálogo!M$5:M$73,MATCH($A62,Catálogo!$A$5:$A$73,0)))</f>
        <v>C0004x1</v>
      </c>
    </row>
    <row r="63" spans="1:16" x14ac:dyDescent="0.25">
      <c r="A63" s="13" t="s">
        <v>327</v>
      </c>
      <c r="B63" s="13" t="str">
        <f>IF(INDEX(Catálogo!B$5:B$73,MATCH($A63,Catálogo!$A$5:$A$73,0))="","",INDEX(Catálogo!B$5:B$73,MATCH($A63,Catálogo!$A$5:$A$73,0)))</f>
        <v>6. Filtros y consumibles</v>
      </c>
      <c r="C63" s="13" t="str">
        <f>IF(INDEX(Catálogo!C$5:C$73,MATCH($A63,Catálogo!$A$5:$A$73,0))="","",INDEX(Catálogo!C$5:C$73,MATCH($A63,Catálogo!$A$5:$A$73,0)))</f>
        <v>6.2 Juntas y sellos</v>
      </c>
      <c r="D63" s="13" t="str">
        <f>IF(INDEX(Catálogo!D$5:D$73,MATCH($A63,Catálogo!$A$5:$A$73,0))="","",INDEX(Catálogo!D$5:D$73,MATCH($A63,Catálogo!$A$5:$A$73,0)))</f>
        <v>O-Ring 44x3 mm</v>
      </c>
      <c r="E63" s="14" t="str">
        <f>IF(INDEX(Catálogo!E$5:E$73,MATCH($A63,Catálogo!$A$5:$A$73,0))="","",INDEX(Catálogo!E$5:E$73,MATCH($A63,Catálogo!$A$5:$A$73,0)))</f>
        <v>Estado de la junta tórica 44x3 mm</v>
      </c>
      <c r="F63" s="13" t="str">
        <f>IF(INDEX(Catálogo!F$5:F$73,MATCH($A63,Catálogo!$A$5:$A$73,0))="","",INDEX(Catálogo!F$5:F$73,MATCH($A63,Catálogo!$A$5:$A$73,0)))</f>
        <v>OK / No OK</v>
      </c>
      <c r="G63" s="13" t="str">
        <f>IF(INDEX(Catálogo!G$5:G$73,MATCH($A63,Catálogo!$A$5:$A$73,0))="","",INDEX(Catálogo!G$5:G$73,MATCH($A63,Catálogo!$A$5:$A$73,0)))</f>
        <v/>
      </c>
      <c r="H63" s="14" t="str">
        <f>IF(INDEX(Catálogo!H$5:H$73,MATCH($A63,Catálogo!$A$5:$A$73,0))="","",INDEX(Catálogo!H$5:H$73,MATCH($A63,Catálogo!$A$5:$A$73,0)))</f>
        <v>Sin desgaste</v>
      </c>
      <c r="I63" s="13" t="str">
        <f>IF(INDEX(Catálogo!I$5:I$73,MATCH($A63,Catálogo!$A$5:$A$73,0))="","",INDEX(Catálogo!I$5:I$73,MATCH($A63,Catálogo!$A$5:$A$73,0)))</f>
        <v/>
      </c>
      <c r="J63" s="13" t="str">
        <f>IF(INDEX(Catálogo!J$5:J$73,MATCH($A63,Catálogo!$A$5:$A$73,0))="","",INDEX(Catálogo!J$5:J$73,MATCH($A63,Catálogo!$A$5:$A$73,0)))</f>
        <v/>
      </c>
      <c r="K63" s="19" t="s">
        <v>42</v>
      </c>
      <c r="L63" s="19"/>
      <c r="M63" s="13" t="str">
        <f t="shared" si="1"/>
        <v/>
      </c>
      <c r="N63" s="19"/>
      <c r="O63" s="20"/>
      <c r="P63" s="13" t="str">
        <f>IF(INDEX(Catálogo!M$5:M$73,MATCH($A63,Catálogo!$A$5:$A$73,0))="","",INDEX(Catálogo!M$5:M$73,MATCH($A63,Catálogo!$A$5:$A$73,0)))</f>
        <v>C00044X3S70</v>
      </c>
    </row>
    <row r="64" spans="1:16" x14ac:dyDescent="0.25">
      <c r="A64" s="13" t="s">
        <v>331</v>
      </c>
      <c r="B64" s="13" t="str">
        <f>IF(INDEX(Catálogo!B$5:B$73,MATCH($A64,Catálogo!$A$5:$A$73,0))="","",INDEX(Catálogo!B$5:B$73,MATCH($A64,Catálogo!$A$5:$A$73,0)))</f>
        <v>6. Filtros y consumibles</v>
      </c>
      <c r="C64" s="13" t="str">
        <f>IF(INDEX(Catálogo!C$5:C$73,MATCH($A64,Catálogo!$A$5:$A$73,0))="","",INDEX(Catálogo!C$5:C$73,MATCH($A64,Catálogo!$A$5:$A$73,0)))</f>
        <v>6.2 Juntas y sellos</v>
      </c>
      <c r="D64" s="13" t="str">
        <f>IF(INDEX(Catálogo!D$5:D$73,MATCH($A64,Catálogo!$A$5:$A$73,0))="","",INDEX(Catálogo!D$5:D$73,MATCH($A64,Catálogo!$A$5:$A$73,0)))</f>
        <v>Set de tornillería</v>
      </c>
      <c r="E64" s="14" t="str">
        <f>IF(INDEX(Catálogo!E$5:E$73,MATCH($A64,Catálogo!$A$5:$A$73,0))="","",INDEX(Catálogo!E$5:E$73,MATCH($A64,Catálogo!$A$5:$A$73,0)))</f>
        <v>Estado y completitud de la tornillería de servicio</v>
      </c>
      <c r="F64" s="13" t="str">
        <f>IF(INDEX(Catálogo!F$5:F$73,MATCH($A64,Catálogo!$A$5:$A$73,0))="","",INDEX(Catálogo!F$5:F$73,MATCH($A64,Catálogo!$A$5:$A$73,0)))</f>
        <v>OK / No OK</v>
      </c>
      <c r="G64" s="13" t="str">
        <f>IF(INDEX(Catálogo!G$5:G$73,MATCH($A64,Catálogo!$A$5:$A$73,0))="","",INDEX(Catálogo!G$5:G$73,MATCH($A64,Catálogo!$A$5:$A$73,0)))</f>
        <v/>
      </c>
      <c r="H64" s="14" t="str">
        <f>IF(INDEX(Catálogo!H$5:H$73,MATCH($A64,Catálogo!$A$5:$A$73,0))="","",INDEX(Catálogo!H$5:H$73,MATCH($A64,Catálogo!$A$5:$A$73,0)))</f>
        <v>Completa y sin deformación</v>
      </c>
      <c r="I64" s="13" t="str">
        <f>IF(INDEX(Catálogo!I$5:I$73,MATCH($A64,Catálogo!$A$5:$A$73,0))="","",INDEX(Catálogo!I$5:I$73,MATCH($A64,Catálogo!$A$5:$A$73,0)))</f>
        <v/>
      </c>
      <c r="J64" s="13" t="str">
        <f>IF(INDEX(Catálogo!J$5:J$73,MATCH($A64,Catálogo!$A$5:$A$73,0))="","",INDEX(Catálogo!J$5:J$73,MATCH($A64,Catálogo!$A$5:$A$73,0)))</f>
        <v/>
      </c>
      <c r="K64" s="19" t="s">
        <v>42</v>
      </c>
      <c r="L64" s="19"/>
      <c r="M64" s="13" t="str">
        <f t="shared" si="1"/>
        <v/>
      </c>
      <c r="N64" s="19"/>
      <c r="O64" s="20"/>
      <c r="P64" s="13" t="str">
        <f>IF(INDEX(Catálogo!M$5:M$73,MATCH($A64,Catálogo!$A$5:$A$73,0))="","",INDEX(Catálogo!M$5:M$73,MATCH($A64,Catálogo!$A$5:$A$73,0)))</f>
        <v>4037489 / M00M3X3D913A2</v>
      </c>
    </row>
    <row r="65" spans="1:16" ht="24" x14ac:dyDescent="0.25">
      <c r="A65" s="11" t="s">
        <v>335</v>
      </c>
      <c r="B65" s="11" t="str">
        <f>IF(INDEX(Catálogo!B$5:B$73,MATCH($A65,Catálogo!$A$5:$A$73,0))="","",INDEX(Catálogo!B$5:B$73,MATCH($A65,Catálogo!$A$5:$A$73,0)))</f>
        <v>7. Sensores auxiliares</v>
      </c>
      <c r="C65" s="11" t="str">
        <f>IF(INDEX(Catálogo!C$5:C$73,MATCH($A65,Catálogo!$A$5:$A$73,0))="","",INDEX(Catálogo!C$5:C$73,MATCH($A65,Catálogo!$A$5:$A$73,0)))</f>
        <v>7.1 Sensor ambiental</v>
      </c>
      <c r="D65" s="11" t="str">
        <f>IF(INDEX(Catálogo!D$5:D$73,MATCH($A65,Catálogo!$A$5:$A$73,0))="","",INDEX(Catálogo!D$5:D$73,MATCH($A65,Catálogo!$A$5:$A$73,0)))</f>
        <v>Sensor de T y HR ambiente</v>
      </c>
      <c r="E65" s="12" t="str">
        <f>IF(INDEX(Catálogo!E$5:E$73,MATCH($A65,Catálogo!$A$5:$A$73,0))="","",INDEX(Catálogo!E$5:E$73,MATCH($A65,Catálogo!$A$5:$A$73,0)))</f>
        <v>Presencia del sensor de humedad y temperatura ambiente</v>
      </c>
      <c r="F65" s="11" t="str">
        <f>IF(INDEX(Catálogo!F$5:F$73,MATCH($A65,Catálogo!$A$5:$A$73,0))="","",INDEX(Catálogo!F$5:F$73,MATCH($A65,Catálogo!$A$5:$A$73,0)))</f>
        <v>Presente / Ausente</v>
      </c>
      <c r="G65" s="11" t="str">
        <f>IF(INDEX(Catálogo!G$5:G$73,MATCH($A65,Catálogo!$A$5:$A$73,0))="","",INDEX(Catálogo!G$5:G$73,MATCH($A65,Catálogo!$A$5:$A$73,0)))</f>
        <v/>
      </c>
      <c r="H65" s="12" t="str">
        <f>IF(INDEX(Catálogo!H$5:H$73,MATCH($A65,Catálogo!$A$5:$A$73,0))="","",INDEX(Catálogo!H$5:H$73,MATCH($A65,Catálogo!$A$5:$A$73,0)))</f>
        <v>Debe estar presente para poder verificar los parámetros</v>
      </c>
      <c r="I65" s="11" t="str">
        <f>IF(INDEX(Catálogo!I$5:I$73,MATCH($A65,Catálogo!$A$5:$A$73,0))="","",INDEX(Catálogo!I$5:I$73,MATCH($A65,Catálogo!$A$5:$A$73,0)))</f>
        <v/>
      </c>
      <c r="J65" s="11" t="str">
        <f>IF(INDEX(Catálogo!J$5:J$73,MATCH($A65,Catálogo!$A$5:$A$73,0))="","",INDEX(Catálogo!J$5:J$73,MATCH($A65,Catálogo!$A$5:$A$73,0)))</f>
        <v/>
      </c>
      <c r="K65" s="19" t="s">
        <v>42</v>
      </c>
      <c r="L65" s="19"/>
      <c r="M65" s="11" t="str">
        <f t="shared" si="1"/>
        <v/>
      </c>
      <c r="N65" s="19"/>
      <c r="O65" s="20"/>
      <c r="P65" s="11" t="str">
        <f>IF(INDEX(Catálogo!M$5:M$73,MATCH($A65,Catálogo!$A$5:$A$73,0))="","",INDEX(Catálogo!M$5:M$73,MATCH($A65,Catálogo!$A$5:$A$73,0)))</f>
        <v/>
      </c>
    </row>
    <row r="66" spans="1:16" ht="24" x14ac:dyDescent="0.25">
      <c r="A66" s="13" t="s">
        <v>341</v>
      </c>
      <c r="B66" s="13" t="str">
        <f>IF(INDEX(Catálogo!B$5:B$73,MATCH($A66,Catálogo!$A$5:$A$73,0))="","",INDEX(Catálogo!B$5:B$73,MATCH($A66,Catálogo!$A$5:$A$73,0)))</f>
        <v>7. Sensores auxiliares</v>
      </c>
      <c r="C66" s="13" t="str">
        <f>IF(INDEX(Catálogo!C$5:C$73,MATCH($A66,Catálogo!$A$5:$A$73,0))="","",INDEX(Catálogo!C$5:C$73,MATCH($A66,Catálogo!$A$5:$A$73,0)))</f>
        <v>7.1 Sensor ambiental</v>
      </c>
      <c r="D66" s="13" t="str">
        <f>IF(INDEX(Catálogo!D$5:D$73,MATCH($A66,Catálogo!$A$5:$A$73,0))="","",INDEX(Catálogo!D$5:D$73,MATCH($A66,Catálogo!$A$5:$A$73,0)))</f>
        <v>Lectura de temperatura ambiente</v>
      </c>
      <c r="E66" s="14" t="str">
        <f>IF(INDEX(Catálogo!E$5:E$73,MATCH($A66,Catálogo!$A$5:$A$73,0))="","",INDEX(Catálogo!E$5:E$73,MATCH($A66,Catálogo!$A$5:$A$73,0)))</f>
        <v>Valor de temperatura ambiente reportado por el equipo</v>
      </c>
      <c r="F66" s="13" t="str">
        <f>IF(INDEX(Catálogo!F$5:F$73,MATCH($A66,Catálogo!$A$5:$A$73,0))="","",INDEX(Catálogo!F$5:F$73,MATCH($A66,Catálogo!$A$5:$A$73,0)))</f>
        <v>Numérico</v>
      </c>
      <c r="G66" s="13" t="str">
        <f>IF(INDEX(Catálogo!G$5:G$73,MATCH($A66,Catálogo!$A$5:$A$73,0))="","",INDEX(Catálogo!G$5:G$73,MATCH($A66,Catálogo!$A$5:$A$73,0)))</f>
        <v>°C</v>
      </c>
      <c r="H66" s="14" t="str">
        <f>IF(INDEX(Catálogo!H$5:H$73,MATCH($A66,Catálogo!$A$5:$A$73,0))="","",INDEX(Catálogo!H$5:H$73,MATCH($A66,Catálogo!$A$5:$A$73,0)))</f>
        <v>Coherente con patrón de referencia</v>
      </c>
      <c r="I66" s="13" t="str">
        <f>IF(INDEX(Catálogo!I$5:I$73,MATCH($A66,Catálogo!$A$5:$A$73,0))="","",INDEX(Catálogo!I$5:I$73,MATCH($A66,Catálogo!$A$5:$A$73,0)))</f>
        <v>PENDIENTE DE VALIDAR</v>
      </c>
      <c r="J66" s="13" t="str">
        <f>IF(INDEX(Catálogo!J$5:J$73,MATCH($A66,Catálogo!$A$5:$A$73,0))="","",INDEX(Catálogo!J$5:J$73,MATCH($A66,Catálogo!$A$5:$A$73,0)))</f>
        <v>PENDIENTE DE VALIDAR</v>
      </c>
      <c r="K66" s="19" t="s">
        <v>42</v>
      </c>
      <c r="L66" s="19"/>
      <c r="M66" s="13" t="str">
        <f t="shared" si="1"/>
        <v>Sin dato</v>
      </c>
      <c r="N66" s="19"/>
      <c r="O66" s="20"/>
      <c r="P66" s="13" t="str">
        <f>IF(INDEX(Catálogo!M$5:M$73,MATCH($A66,Catálogo!$A$5:$A$73,0))="","",INDEX(Catálogo!M$5:M$73,MATCH($A66,Catálogo!$A$5:$A$73,0)))</f>
        <v/>
      </c>
    </row>
    <row r="67" spans="1:16" x14ac:dyDescent="0.25">
      <c r="A67" s="13" t="s">
        <v>346</v>
      </c>
      <c r="B67" s="13" t="str">
        <f>IF(INDEX(Catálogo!B$5:B$73,MATCH($A67,Catálogo!$A$5:$A$73,0))="","",INDEX(Catálogo!B$5:B$73,MATCH($A67,Catálogo!$A$5:$A$73,0)))</f>
        <v>7. Sensores auxiliares</v>
      </c>
      <c r="C67" s="13" t="str">
        <f>IF(INDEX(Catálogo!C$5:C$73,MATCH($A67,Catálogo!$A$5:$A$73,0))="","",INDEX(Catálogo!C$5:C$73,MATCH($A67,Catálogo!$A$5:$A$73,0)))</f>
        <v>7.1 Sensor ambiental</v>
      </c>
      <c r="D67" s="13" t="str">
        <f>IF(INDEX(Catálogo!D$5:D$73,MATCH($A67,Catálogo!$A$5:$A$73,0))="","",INDEX(Catálogo!D$5:D$73,MATCH($A67,Catálogo!$A$5:$A$73,0)))</f>
        <v>Lectura de humedad relativa</v>
      </c>
      <c r="E67" s="14" t="str">
        <f>IF(INDEX(Catálogo!E$5:E$73,MATCH($A67,Catálogo!$A$5:$A$73,0))="","",INDEX(Catálogo!E$5:E$73,MATCH($A67,Catálogo!$A$5:$A$73,0)))</f>
        <v>Valor de humedad relativa reportado por el equipo</v>
      </c>
      <c r="F67" s="13" t="str">
        <f>IF(INDEX(Catálogo!F$5:F$73,MATCH($A67,Catálogo!$A$5:$A$73,0))="","",INDEX(Catálogo!F$5:F$73,MATCH($A67,Catálogo!$A$5:$A$73,0)))</f>
        <v>Numérico</v>
      </c>
      <c r="G67" s="13" t="str">
        <f>IF(INDEX(Catálogo!G$5:G$73,MATCH($A67,Catálogo!$A$5:$A$73,0))="","",INDEX(Catálogo!G$5:G$73,MATCH($A67,Catálogo!$A$5:$A$73,0)))</f>
        <v>%HR</v>
      </c>
      <c r="H67" s="14" t="str">
        <f>IF(INDEX(Catálogo!H$5:H$73,MATCH($A67,Catálogo!$A$5:$A$73,0))="","",INDEX(Catálogo!H$5:H$73,MATCH($A67,Catálogo!$A$5:$A$73,0)))</f>
        <v>Coherente con patrón de referencia</v>
      </c>
      <c r="I67" s="13">
        <f>IF(INDEX(Catálogo!I$5:I$73,MATCH($A67,Catálogo!$A$5:$A$73,0))="","",INDEX(Catálogo!I$5:I$73,MATCH($A67,Catálogo!$A$5:$A$73,0)))</f>
        <v>0</v>
      </c>
      <c r="J67" s="13">
        <f>IF(INDEX(Catálogo!J$5:J$73,MATCH($A67,Catálogo!$A$5:$A$73,0))="","",INDEX(Catálogo!J$5:J$73,MATCH($A67,Catálogo!$A$5:$A$73,0)))</f>
        <v>100</v>
      </c>
      <c r="K67" s="19" t="s">
        <v>42</v>
      </c>
      <c r="L67" s="19"/>
      <c r="M67" s="13" t="str">
        <f t="shared" si="1"/>
        <v>Sin dato</v>
      </c>
      <c r="N67" s="19"/>
      <c r="O67" s="20"/>
      <c r="P67" s="13" t="str">
        <f>IF(INDEX(Catálogo!M$5:M$73,MATCH($A67,Catálogo!$A$5:$A$73,0))="","",INDEX(Catálogo!M$5:M$73,MATCH($A67,Catálogo!$A$5:$A$73,0)))</f>
        <v/>
      </c>
    </row>
    <row r="68" spans="1:16" ht="24" x14ac:dyDescent="0.25">
      <c r="A68" s="13" t="s">
        <v>350</v>
      </c>
      <c r="B68" s="13" t="str">
        <f>IF(INDEX(Catálogo!B$5:B$73,MATCH($A68,Catálogo!$A$5:$A$73,0))="","",INDEX(Catálogo!B$5:B$73,MATCH($A68,Catálogo!$A$5:$A$73,0)))</f>
        <v>7. Sensores auxiliares</v>
      </c>
      <c r="C68" s="13" t="str">
        <f>IF(INDEX(Catálogo!C$5:C$73,MATCH($A68,Catálogo!$A$5:$A$73,0))="","",INDEX(Catálogo!C$5:C$73,MATCH($A68,Catálogo!$A$5:$A$73,0)))</f>
        <v>7.2 Sensores internos</v>
      </c>
      <c r="D68" s="13" t="str">
        <f>IF(INDEX(Catálogo!D$5:D$73,MATCH($A68,Catálogo!$A$5:$A$73,0))="","",INDEX(Catálogo!D$5:D$73,MATCH($A68,Catálogo!$A$5:$A$73,0)))</f>
        <v>Temperatura interna del equipo</v>
      </c>
      <c r="E68" s="14" t="str">
        <f>IF(INDEX(Catálogo!E$5:E$73,MATCH($A68,Catálogo!$A$5:$A$73,0))="","",INDEX(Catálogo!E$5:E$73,MATCH($A68,Catálogo!$A$5:$A$73,0)))</f>
        <v>Temperatura interna reportada en el software de diagnóstico</v>
      </c>
      <c r="F68" s="13" t="str">
        <f>IF(INDEX(Catálogo!F$5:F$73,MATCH($A68,Catálogo!$A$5:$A$73,0))="","",INDEX(Catálogo!F$5:F$73,MATCH($A68,Catálogo!$A$5:$A$73,0)))</f>
        <v>Numérico</v>
      </c>
      <c r="G68" s="13" t="str">
        <f>IF(INDEX(Catálogo!G$5:G$73,MATCH($A68,Catálogo!$A$5:$A$73,0))="","",INDEX(Catálogo!G$5:G$73,MATCH($A68,Catálogo!$A$5:$A$73,0)))</f>
        <v>°C</v>
      </c>
      <c r="H68" s="14" t="str">
        <f>IF(INDEX(Catálogo!H$5:H$73,MATCH($A68,Catálogo!$A$5:$A$73,0))="","",INDEX(Catálogo!H$5:H$73,MATCH($A68,Catálogo!$A$5:$A$73,0)))</f>
        <v>Dentro del rango del fabricante</v>
      </c>
      <c r="I68" s="13" t="str">
        <f>IF(INDEX(Catálogo!I$5:I$73,MATCH($A68,Catálogo!$A$5:$A$73,0))="","",INDEX(Catálogo!I$5:I$73,MATCH($A68,Catálogo!$A$5:$A$73,0)))</f>
        <v>PENDIENTE DE VALIDAR</v>
      </c>
      <c r="J68" s="13" t="str">
        <f>IF(INDEX(Catálogo!J$5:J$73,MATCH($A68,Catálogo!$A$5:$A$73,0))="","",INDEX(Catálogo!J$5:J$73,MATCH($A68,Catálogo!$A$5:$A$73,0)))</f>
        <v>PENDIENTE DE VALIDAR</v>
      </c>
      <c r="K68" s="19" t="s">
        <v>42</v>
      </c>
      <c r="L68" s="19"/>
      <c r="M68" s="13" t="str">
        <f t="shared" si="1"/>
        <v>Sin dato</v>
      </c>
      <c r="N68" s="19"/>
      <c r="O68" s="20"/>
      <c r="P68" s="13" t="str">
        <f>IF(INDEX(Catálogo!M$5:M$73,MATCH($A68,Catálogo!$A$5:$A$73,0))="","",INDEX(Catálogo!M$5:M$73,MATCH($A68,Catálogo!$A$5:$A$73,0)))</f>
        <v/>
      </c>
    </row>
    <row r="69" spans="1:16" x14ac:dyDescent="0.25">
      <c r="A69" s="13" t="s">
        <v>354</v>
      </c>
      <c r="B69" s="13" t="str">
        <f>IF(INDEX(Catálogo!B$5:B$73,MATCH($A69,Catálogo!$A$5:$A$73,0))="","",INDEX(Catálogo!B$5:B$73,MATCH($A69,Catálogo!$A$5:$A$73,0)))</f>
        <v>7. Sensores auxiliares</v>
      </c>
      <c r="C69" s="13" t="str">
        <f>IF(INDEX(Catálogo!C$5:C$73,MATCH($A69,Catálogo!$A$5:$A$73,0))="","",INDEX(Catálogo!C$5:C$73,MATCH($A69,Catálogo!$A$5:$A$73,0)))</f>
        <v>7.2 Sensores internos</v>
      </c>
      <c r="D69" s="13" t="str">
        <f>IF(INDEX(Catálogo!D$5:D$73,MATCH($A69,Catálogo!$A$5:$A$73,0))="","",INDEX(Catálogo!D$5:D$73,MATCH($A69,Catálogo!$A$5:$A$73,0)))</f>
        <v>Sensor de flujo</v>
      </c>
      <c r="E69" s="14" t="str">
        <f>IF(INDEX(Catálogo!E$5:E$73,MATCH($A69,Catálogo!$A$5:$A$73,0))="","",INDEX(Catálogo!E$5:E$73,MATCH($A69,Catálogo!$A$5:$A$73,0)))</f>
        <v>Coherencia de la lectura del sensor de flujo</v>
      </c>
      <c r="F69" s="13" t="str">
        <f>IF(INDEX(Catálogo!F$5:F$73,MATCH($A69,Catálogo!$A$5:$A$73,0))="","",INDEX(Catálogo!F$5:F$73,MATCH($A69,Catálogo!$A$5:$A$73,0)))</f>
        <v>OK / No OK</v>
      </c>
      <c r="G69" s="13" t="str">
        <f>IF(INDEX(Catálogo!G$5:G$73,MATCH($A69,Catálogo!$A$5:$A$73,0))="","",INDEX(Catálogo!G$5:G$73,MATCH($A69,Catálogo!$A$5:$A$73,0)))</f>
        <v/>
      </c>
      <c r="H69" s="14" t="str">
        <f>IF(INDEX(Catálogo!H$5:H$73,MATCH($A69,Catálogo!$A$5:$A$73,0))="","",INDEX(Catálogo!H$5:H$73,MATCH($A69,Catálogo!$A$5:$A$73,0)))</f>
        <v>Coherente con la medición externa</v>
      </c>
      <c r="I69" s="13" t="str">
        <f>IF(INDEX(Catálogo!I$5:I$73,MATCH($A69,Catálogo!$A$5:$A$73,0))="","",INDEX(Catálogo!I$5:I$73,MATCH($A69,Catálogo!$A$5:$A$73,0)))</f>
        <v/>
      </c>
      <c r="J69" s="13" t="str">
        <f>IF(INDEX(Catálogo!J$5:J$73,MATCH($A69,Catálogo!$A$5:$A$73,0))="","",INDEX(Catálogo!J$5:J$73,MATCH($A69,Catálogo!$A$5:$A$73,0)))</f>
        <v/>
      </c>
      <c r="K69" s="19" t="s">
        <v>42</v>
      </c>
      <c r="L69" s="19"/>
      <c r="M69" s="13" t="str">
        <f t="shared" si="1"/>
        <v/>
      </c>
      <c r="N69" s="19"/>
      <c r="O69" s="20"/>
      <c r="P69" s="13" t="str">
        <f>IF(INDEX(Catálogo!M$5:M$73,MATCH($A69,Catálogo!$A$5:$A$73,0))="","",INDEX(Catálogo!M$5:M$73,MATCH($A69,Catálogo!$A$5:$A$73,0)))</f>
        <v/>
      </c>
    </row>
    <row r="70" spans="1:16" x14ac:dyDescent="0.25">
      <c r="A70" s="11" t="s">
        <v>358</v>
      </c>
      <c r="B70" s="11" t="str">
        <f>IF(INDEX(Catálogo!B$5:B$73,MATCH($A70,Catálogo!$A$5:$A$73,0))="","",INDEX(Catálogo!B$5:B$73,MATCH($A70,Catálogo!$A$5:$A$73,0)))</f>
        <v>8. Gabinete, montaje e instalación</v>
      </c>
      <c r="C70" s="11" t="str">
        <f>IF(INDEX(Catálogo!C$5:C$73,MATCH($A70,Catálogo!$A$5:$A$73,0))="","",INDEX(Catálogo!C$5:C$73,MATCH($A70,Catálogo!$A$5:$A$73,0)))</f>
        <v>8.1 Gabinete</v>
      </c>
      <c r="D70" s="11" t="str">
        <f>IF(INDEX(Catálogo!D$5:D$73,MATCH($A70,Catálogo!$A$5:$A$73,0))="","",INDEX(Catálogo!D$5:D$73,MATCH($A70,Catálogo!$A$5:$A$73,0)))</f>
        <v>Estado externo de la carcasa</v>
      </c>
      <c r="E70" s="12" t="str">
        <f>IF(INDEX(Catálogo!E$5:E$73,MATCH($A70,Catálogo!$A$5:$A$73,0))="","",INDEX(Catálogo!E$5:E$73,MATCH($A70,Catálogo!$A$5:$A$73,0)))</f>
        <v>Golpes, corrosión y pintura de la carcasa</v>
      </c>
      <c r="F70" s="11" t="str">
        <f>IF(INDEX(Catálogo!F$5:F$73,MATCH($A70,Catálogo!$A$5:$A$73,0))="","",INDEX(Catálogo!F$5:F$73,MATCH($A70,Catálogo!$A$5:$A$73,0)))</f>
        <v>OK / No OK</v>
      </c>
      <c r="G70" s="11" t="str">
        <f>IF(INDEX(Catálogo!G$5:G$73,MATCH($A70,Catálogo!$A$5:$A$73,0))="","",INDEX(Catálogo!G$5:G$73,MATCH($A70,Catálogo!$A$5:$A$73,0)))</f>
        <v/>
      </c>
      <c r="H70" s="12" t="str">
        <f>IF(INDEX(Catálogo!H$5:H$73,MATCH($A70,Catálogo!$A$5:$A$73,0))="","",INDEX(Catálogo!H$5:H$73,MATCH($A70,Catálogo!$A$5:$A$73,0)))</f>
        <v>Sin daño estructural</v>
      </c>
      <c r="I70" s="11" t="str">
        <f>IF(INDEX(Catálogo!I$5:I$73,MATCH($A70,Catálogo!$A$5:$A$73,0))="","",INDEX(Catálogo!I$5:I$73,MATCH($A70,Catálogo!$A$5:$A$73,0)))</f>
        <v/>
      </c>
      <c r="J70" s="11" t="str">
        <f>IF(INDEX(Catálogo!J$5:J$73,MATCH($A70,Catálogo!$A$5:$A$73,0))="","",INDEX(Catálogo!J$5:J$73,MATCH($A70,Catálogo!$A$5:$A$73,0)))</f>
        <v/>
      </c>
      <c r="K70" s="19" t="s">
        <v>42</v>
      </c>
      <c r="L70" s="19"/>
      <c r="M70" s="11" t="str">
        <f t="shared" si="1"/>
        <v/>
      </c>
      <c r="N70" s="19"/>
      <c r="O70" s="20"/>
      <c r="P70" s="11" t="str">
        <f>IF(INDEX(Catálogo!M$5:M$73,MATCH($A70,Catálogo!$A$5:$A$73,0))="","",INDEX(Catálogo!M$5:M$73,MATCH($A70,Catálogo!$A$5:$A$73,0)))</f>
        <v/>
      </c>
    </row>
    <row r="71" spans="1:16" ht="24" x14ac:dyDescent="0.25">
      <c r="A71" s="13" t="s">
        <v>364</v>
      </c>
      <c r="B71" s="13" t="str">
        <f>IF(INDEX(Catálogo!B$5:B$73,MATCH($A71,Catálogo!$A$5:$A$73,0))="","",INDEX(Catálogo!B$5:B$73,MATCH($A71,Catálogo!$A$5:$A$73,0)))</f>
        <v>8. Gabinete, montaje e instalación</v>
      </c>
      <c r="C71" s="13" t="str">
        <f>IF(INDEX(Catálogo!C$5:C$73,MATCH($A71,Catálogo!$A$5:$A$73,0))="","",INDEX(Catálogo!C$5:C$73,MATCH($A71,Catálogo!$A$5:$A$73,0)))</f>
        <v>8.1 Gabinete</v>
      </c>
      <c r="D71" s="13" t="str">
        <f>IF(INDEX(Catálogo!D$5:D$73,MATCH($A71,Catálogo!$A$5:$A$73,0))="","",INDEX(Catálogo!D$5:D$73,MATCH($A71,Catálogo!$A$5:$A$73,0)))</f>
        <v>Sellado y hermeticidad</v>
      </c>
      <c r="E71" s="14" t="str">
        <f>IF(INDEX(Catálogo!E$5:E$73,MATCH($A71,Catálogo!$A$5:$A$73,0))="","",INDEX(Catálogo!E$5:E$73,MATCH($A71,Catálogo!$A$5:$A$73,0)))</f>
        <v>Hermeticidad del gabinete frente al ingreso de humedad</v>
      </c>
      <c r="F71" s="13" t="str">
        <f>IF(INDEX(Catálogo!F$5:F$73,MATCH($A71,Catálogo!$A$5:$A$73,0))="","",INDEX(Catálogo!F$5:F$73,MATCH($A71,Catálogo!$A$5:$A$73,0)))</f>
        <v>OK / No OK</v>
      </c>
      <c r="G71" s="13" t="str">
        <f>IF(INDEX(Catálogo!G$5:G$73,MATCH($A71,Catálogo!$A$5:$A$73,0))="","",INDEX(Catálogo!G$5:G$73,MATCH($A71,Catálogo!$A$5:$A$73,0)))</f>
        <v/>
      </c>
      <c r="H71" s="14" t="str">
        <f>IF(INDEX(Catálogo!H$5:H$73,MATCH($A71,Catálogo!$A$5:$A$73,0))="","",INDEX(Catálogo!H$5:H$73,MATCH($A71,Catálogo!$A$5:$A$73,0)))</f>
        <v>Hermético</v>
      </c>
      <c r="I71" s="13" t="str">
        <f>IF(INDEX(Catálogo!I$5:I$73,MATCH($A71,Catálogo!$A$5:$A$73,0))="","",INDEX(Catálogo!I$5:I$73,MATCH($A71,Catálogo!$A$5:$A$73,0)))</f>
        <v/>
      </c>
      <c r="J71" s="13" t="str">
        <f>IF(INDEX(Catálogo!J$5:J$73,MATCH($A71,Catálogo!$A$5:$A$73,0))="","",INDEX(Catálogo!J$5:J$73,MATCH($A71,Catálogo!$A$5:$A$73,0)))</f>
        <v/>
      </c>
      <c r="K71" s="19" t="s">
        <v>42</v>
      </c>
      <c r="L71" s="19"/>
      <c r="M71" s="13" t="str">
        <f t="shared" si="1"/>
        <v/>
      </c>
      <c r="N71" s="19"/>
      <c r="O71" s="20"/>
      <c r="P71" s="13" t="str">
        <f>IF(INDEX(Catálogo!M$5:M$73,MATCH($A71,Catálogo!$A$5:$A$73,0))="","",INDEX(Catálogo!M$5:M$73,MATCH($A71,Catálogo!$A$5:$A$73,0)))</f>
        <v/>
      </c>
    </row>
    <row r="72" spans="1:16" x14ac:dyDescent="0.25">
      <c r="A72" s="13" t="s">
        <v>368</v>
      </c>
      <c r="B72" s="13" t="str">
        <f>IF(INDEX(Catálogo!B$5:B$73,MATCH($A72,Catálogo!$A$5:$A$73,0))="","",INDEX(Catálogo!B$5:B$73,MATCH($A72,Catálogo!$A$5:$A$73,0)))</f>
        <v>8. Gabinete, montaje e instalación</v>
      </c>
      <c r="C72" s="13" t="str">
        <f>IF(INDEX(Catálogo!C$5:C$73,MATCH($A72,Catálogo!$A$5:$A$73,0))="","",INDEX(Catálogo!C$5:C$73,MATCH($A72,Catálogo!$A$5:$A$73,0)))</f>
        <v>8.1 Gabinete</v>
      </c>
      <c r="D72" s="13" t="str">
        <f>IF(INDEX(Catálogo!D$5:D$73,MATCH($A72,Catálogo!$A$5:$A$73,0))="","",INDEX(Catálogo!D$5:D$73,MATCH($A72,Catálogo!$A$5:$A$73,0)))</f>
        <v>Ventilación y disipación</v>
      </c>
      <c r="E72" s="14" t="str">
        <f>IF(INDEX(Catálogo!E$5:E$73,MATCH($A72,Catálogo!$A$5:$A$73,0))="","",INDEX(Catálogo!E$5:E$73,MATCH($A72,Catálogo!$A$5:$A$73,0)))</f>
        <v>Rejillas y ventilación libres de obstrucción</v>
      </c>
      <c r="F72" s="13" t="str">
        <f>IF(INDEX(Catálogo!F$5:F$73,MATCH($A72,Catálogo!$A$5:$A$73,0))="","",INDEX(Catálogo!F$5:F$73,MATCH($A72,Catálogo!$A$5:$A$73,0)))</f>
        <v>OK / No OK</v>
      </c>
      <c r="G72" s="13" t="str">
        <f>IF(INDEX(Catálogo!G$5:G$73,MATCH($A72,Catálogo!$A$5:$A$73,0))="","",INDEX(Catálogo!G$5:G$73,MATCH($A72,Catálogo!$A$5:$A$73,0)))</f>
        <v/>
      </c>
      <c r="H72" s="14" t="str">
        <f>IF(INDEX(Catálogo!H$5:H$73,MATCH($A72,Catálogo!$A$5:$A$73,0))="","",INDEX(Catálogo!H$5:H$73,MATCH($A72,Catálogo!$A$5:$A$73,0)))</f>
        <v>Libre de obstrucción</v>
      </c>
      <c r="I72" s="13" t="str">
        <f>IF(INDEX(Catálogo!I$5:I$73,MATCH($A72,Catálogo!$A$5:$A$73,0))="","",INDEX(Catálogo!I$5:I$73,MATCH($A72,Catálogo!$A$5:$A$73,0)))</f>
        <v/>
      </c>
      <c r="J72" s="13" t="str">
        <f>IF(INDEX(Catálogo!J$5:J$73,MATCH($A72,Catálogo!$A$5:$A$73,0))="","",INDEX(Catálogo!J$5:J$73,MATCH($A72,Catálogo!$A$5:$A$73,0)))</f>
        <v/>
      </c>
      <c r="K72" s="19" t="s">
        <v>42</v>
      </c>
      <c r="L72" s="19"/>
      <c r="M72" s="13" t="str">
        <f t="shared" si="1"/>
        <v/>
      </c>
      <c r="N72" s="19"/>
      <c r="O72" s="20"/>
      <c r="P72" s="13" t="str">
        <f>IF(INDEX(Catálogo!M$5:M$73,MATCH($A72,Catálogo!$A$5:$A$73,0))="","",INDEX(Catálogo!M$5:M$73,MATCH($A72,Catálogo!$A$5:$A$73,0)))</f>
        <v/>
      </c>
    </row>
    <row r="73" spans="1:16" x14ac:dyDescent="0.25">
      <c r="A73" s="13" t="s">
        <v>372</v>
      </c>
      <c r="B73" s="13" t="str">
        <f>IF(INDEX(Catálogo!B$5:B$73,MATCH($A73,Catálogo!$A$5:$A$73,0))="","",INDEX(Catálogo!B$5:B$73,MATCH($A73,Catálogo!$A$5:$A$73,0)))</f>
        <v>8. Gabinete, montaje e instalación</v>
      </c>
      <c r="C73" s="13" t="str">
        <f>IF(INDEX(Catálogo!C$5:C$73,MATCH($A73,Catálogo!$A$5:$A$73,0))="","",INDEX(Catálogo!C$5:C$73,MATCH($A73,Catálogo!$A$5:$A$73,0)))</f>
        <v>8.2 Montaje en estación</v>
      </c>
      <c r="D73" s="13" t="str">
        <f>IF(INDEX(Catálogo!D$5:D$73,MATCH($A73,Catálogo!$A$5:$A$73,0))="","",INDEX(Catálogo!D$5:D$73,MATCH($A73,Catálogo!$A$5:$A$73,0)))</f>
        <v>Fijación mecánica del equipo</v>
      </c>
      <c r="E73" s="14" t="str">
        <f>IF(INDEX(Catálogo!E$5:E$73,MATCH($A73,Catálogo!$A$5:$A$73,0))="","",INDEX(Catálogo!E$5:E$73,MATCH($A73,Catálogo!$A$5:$A$73,0)))</f>
        <v>Anclaje y fijación del equipo en la estación</v>
      </c>
      <c r="F73" s="13" t="str">
        <f>IF(INDEX(Catálogo!F$5:F$73,MATCH($A73,Catálogo!$A$5:$A$73,0))="","",INDEX(Catálogo!F$5:F$73,MATCH($A73,Catálogo!$A$5:$A$73,0)))</f>
        <v>OK / No OK</v>
      </c>
      <c r="G73" s="13" t="str">
        <f>IF(INDEX(Catálogo!G$5:G$73,MATCH($A73,Catálogo!$A$5:$A$73,0))="","",INDEX(Catálogo!G$5:G$73,MATCH($A73,Catálogo!$A$5:$A$73,0)))</f>
        <v/>
      </c>
      <c r="H73" s="14" t="str">
        <f>IF(INDEX(Catálogo!H$5:H$73,MATCH($A73,Catálogo!$A$5:$A$73,0))="","",INDEX(Catálogo!H$5:H$73,MATCH($A73,Catálogo!$A$5:$A$73,0)))</f>
        <v>Firme y sin holgura</v>
      </c>
      <c r="I73" s="13" t="str">
        <f>IF(INDEX(Catálogo!I$5:I$73,MATCH($A73,Catálogo!$A$5:$A$73,0))="","",INDEX(Catálogo!I$5:I$73,MATCH($A73,Catálogo!$A$5:$A$73,0)))</f>
        <v/>
      </c>
      <c r="J73" s="13" t="str">
        <f>IF(INDEX(Catálogo!J$5:J$73,MATCH($A73,Catálogo!$A$5:$A$73,0))="","",INDEX(Catálogo!J$5:J$73,MATCH($A73,Catálogo!$A$5:$A$73,0)))</f>
        <v/>
      </c>
      <c r="K73" s="19" t="s">
        <v>42</v>
      </c>
      <c r="L73" s="19"/>
      <c r="M73" s="13" t="str">
        <f t="shared" si="1"/>
        <v/>
      </c>
      <c r="N73" s="19"/>
      <c r="O73" s="20"/>
      <c r="P73" s="13" t="str">
        <f>IF(INDEX(Catálogo!M$5:M$73,MATCH($A73,Catálogo!$A$5:$A$73,0))="","",INDEX(Catálogo!M$5:M$73,MATCH($A73,Catálogo!$A$5:$A$73,0)))</f>
        <v/>
      </c>
    </row>
    <row r="74" spans="1:16" ht="24" x14ac:dyDescent="0.25">
      <c r="A74" s="13" t="s">
        <v>377</v>
      </c>
      <c r="B74" s="13" t="str">
        <f>IF(INDEX(Catálogo!B$5:B$73,MATCH($A74,Catálogo!$A$5:$A$73,0))="","",INDEX(Catálogo!B$5:B$73,MATCH($A74,Catálogo!$A$5:$A$73,0)))</f>
        <v>8. Gabinete, montaje e instalación</v>
      </c>
      <c r="C74" s="13" t="str">
        <f>IF(INDEX(Catálogo!C$5:C$73,MATCH($A74,Catálogo!$A$5:$A$73,0))="","",INDEX(Catálogo!C$5:C$73,MATCH($A74,Catálogo!$A$5:$A$73,0)))</f>
        <v>8.2 Montaje en estación</v>
      </c>
      <c r="D74" s="13" t="str">
        <f>IF(INDEX(Catálogo!D$5:D$73,MATCH($A74,Catálogo!$A$5:$A$73,0))="","",INDEX(Catálogo!D$5:D$73,MATCH($A74,Catálogo!$A$5:$A$73,0)))</f>
        <v>Paso del tubo por el shelter</v>
      </c>
      <c r="E74" s="14" t="str">
        <f>IF(INDEX(Catálogo!E$5:E$73,MATCH($A74,Catálogo!$A$5:$A$73,0))="","",INDEX(Catálogo!E$5:E$73,MATCH($A74,Catálogo!$A$5:$A$73,0)))</f>
        <v>Sellado del paso del tubo de muestra a través del shelter</v>
      </c>
      <c r="F74" s="13" t="str">
        <f>IF(INDEX(Catálogo!F$5:F$73,MATCH($A74,Catálogo!$A$5:$A$73,0))="","",INDEX(Catálogo!F$5:F$73,MATCH($A74,Catálogo!$A$5:$A$73,0)))</f>
        <v>OK / No OK</v>
      </c>
      <c r="G74" s="13" t="str">
        <f>IF(INDEX(Catálogo!G$5:G$73,MATCH($A74,Catálogo!$A$5:$A$73,0))="","",INDEX(Catálogo!G$5:G$73,MATCH($A74,Catálogo!$A$5:$A$73,0)))</f>
        <v/>
      </c>
      <c r="H74" s="14" t="str">
        <f>IF(INDEX(Catálogo!H$5:H$73,MATCH($A74,Catálogo!$A$5:$A$73,0))="","",INDEX(Catálogo!H$5:H$73,MATCH($A74,Catálogo!$A$5:$A$73,0)))</f>
        <v>Sellado con acople original</v>
      </c>
      <c r="I74" s="13" t="str">
        <f>IF(INDEX(Catálogo!I$5:I$73,MATCH($A74,Catálogo!$A$5:$A$73,0))="","",INDEX(Catálogo!I$5:I$73,MATCH($A74,Catálogo!$A$5:$A$73,0)))</f>
        <v/>
      </c>
      <c r="J74" s="13" t="str">
        <f>IF(INDEX(Catálogo!J$5:J$73,MATCH($A74,Catálogo!$A$5:$A$73,0))="","",INDEX(Catálogo!J$5:J$73,MATCH($A74,Catálogo!$A$5:$A$73,0)))</f>
        <v/>
      </c>
      <c r="K74" s="19" t="s">
        <v>42</v>
      </c>
      <c r="L74" s="19"/>
      <c r="M74" s="13" t="str">
        <f t="shared" si="1"/>
        <v/>
      </c>
      <c r="N74" s="19"/>
      <c r="O74" s="20"/>
      <c r="P74" s="13" t="str">
        <f>IF(INDEX(Catálogo!M$5:M$73,MATCH($A74,Catálogo!$A$5:$A$73,0))="","",INDEX(Catálogo!M$5:M$73,MATCH($A74,Catálogo!$A$5:$A$73,0)))</f>
        <v>4019827</v>
      </c>
    </row>
    <row r="75" spans="1:16" x14ac:dyDescent="0.25">
      <c r="A75" s="13" t="s">
        <v>381</v>
      </c>
      <c r="B75" s="13" t="str">
        <f>IF(INDEX(Catálogo!B$5:B$73,MATCH($A75,Catálogo!$A$5:$A$73,0))="","",INDEX(Catálogo!B$5:B$73,MATCH($A75,Catálogo!$A$5:$A$73,0)))</f>
        <v>8. Gabinete, montaje e instalación</v>
      </c>
      <c r="C75" s="13" t="str">
        <f>IF(INDEX(Catálogo!C$5:C$73,MATCH($A75,Catálogo!$A$5:$A$73,0))="","",INDEX(Catálogo!C$5:C$73,MATCH($A75,Catálogo!$A$5:$A$73,0)))</f>
        <v>8.2 Montaje en estación</v>
      </c>
      <c r="D75" s="13" t="str">
        <f>IF(INDEX(Catálogo!D$5:D$73,MATCH($A75,Catálogo!$A$5:$A$73,0))="","",INDEX(Catálogo!D$5:D$73,MATCH($A75,Catálogo!$A$5:$A$73,0)))</f>
        <v>Ingreso de agua al shelter</v>
      </c>
      <c r="E75" s="14" t="str">
        <f>IF(INDEX(Catálogo!E$5:E$73,MATCH($A75,Catálogo!$A$5:$A$73,0))="","",INDEX(Catálogo!E$5:E$73,MATCH($A75,Catálogo!$A$5:$A$73,0)))</f>
        <v>Evidencia de filtraciones o humedad en el shelter</v>
      </c>
      <c r="F75" s="13" t="str">
        <f>IF(INDEX(Catálogo!F$5:F$73,MATCH($A75,Catálogo!$A$5:$A$73,0))="","",INDEX(Catálogo!F$5:F$73,MATCH($A75,Catálogo!$A$5:$A$73,0)))</f>
        <v>Sí/No</v>
      </c>
      <c r="G75" s="13" t="str">
        <f>IF(INDEX(Catálogo!G$5:G$73,MATCH($A75,Catálogo!$A$5:$A$73,0))="","",INDEX(Catálogo!G$5:G$73,MATCH($A75,Catálogo!$A$5:$A$73,0)))</f>
        <v/>
      </c>
      <c r="H75" s="14" t="str">
        <f>IF(INDEX(Catálogo!H$5:H$73,MATCH($A75,Catálogo!$A$5:$A$73,0))="","",INDEX(Catálogo!H$5:H$73,MATCH($A75,Catálogo!$A$5:$A$73,0)))</f>
        <v>Sin filtraciones</v>
      </c>
      <c r="I75" s="13" t="str">
        <f>IF(INDEX(Catálogo!I$5:I$73,MATCH($A75,Catálogo!$A$5:$A$73,0))="","",INDEX(Catálogo!I$5:I$73,MATCH($A75,Catálogo!$A$5:$A$73,0)))</f>
        <v/>
      </c>
      <c r="J75" s="13" t="str">
        <f>IF(INDEX(Catálogo!J$5:J$73,MATCH($A75,Catálogo!$A$5:$A$73,0))="","",INDEX(Catálogo!J$5:J$73,MATCH($A75,Catálogo!$A$5:$A$73,0)))</f>
        <v/>
      </c>
      <c r="K75" s="19" t="s">
        <v>42</v>
      </c>
      <c r="L75" s="19"/>
      <c r="M75" s="13" t="str">
        <f t="shared" si="1"/>
        <v/>
      </c>
      <c r="N75" s="19"/>
      <c r="O75" s="20"/>
      <c r="P75" s="13" t="str">
        <f>IF(INDEX(Catálogo!M$5:M$73,MATCH($A75,Catálogo!$A$5:$A$73,0))="","",INDEX(Catálogo!M$5:M$73,MATCH($A75,Catálogo!$A$5:$A$73,0)))</f>
        <v/>
      </c>
    </row>
    <row r="76" spans="1:16" x14ac:dyDescent="0.25">
      <c r="A76" s="13" t="s">
        <v>385</v>
      </c>
      <c r="B76" s="13" t="str">
        <f>IF(INDEX(Catálogo!B$5:B$73,MATCH($A76,Catálogo!$A$5:$A$73,0))="","",INDEX(Catálogo!B$5:B$73,MATCH($A76,Catálogo!$A$5:$A$73,0)))</f>
        <v>8. Gabinete, montaje e instalación</v>
      </c>
      <c r="C76" s="13" t="str">
        <f>IF(INDEX(Catálogo!C$5:C$73,MATCH($A76,Catálogo!$A$5:$A$73,0))="","",INDEX(Catálogo!C$5:C$73,MATCH($A76,Catálogo!$A$5:$A$73,0)))</f>
        <v>8.3 Servicios</v>
      </c>
      <c r="D76" s="13" t="str">
        <f>IF(INDEX(Catálogo!D$5:D$73,MATCH($A76,Catálogo!$A$5:$A$73,0))="","",INDEX(Catálogo!D$5:D$73,MATCH($A76,Catálogo!$A$5:$A$73,0)))</f>
        <v>Alimentación eléctrica y tierra</v>
      </c>
      <c r="E76" s="14" t="str">
        <f>IF(INDEX(Catálogo!E$5:E$73,MATCH($A76,Catálogo!$A$5:$A$73,0))="","",INDEX(Catálogo!E$5:E$73,MATCH($A76,Catálogo!$A$5:$A$73,0)))</f>
        <v>Tensión de alimentación y puesta a tierra</v>
      </c>
      <c r="F76" s="13" t="str">
        <f>IF(INDEX(Catálogo!F$5:F$73,MATCH($A76,Catálogo!$A$5:$A$73,0))="","",INDEX(Catálogo!F$5:F$73,MATCH($A76,Catálogo!$A$5:$A$73,0)))</f>
        <v>OK / No OK</v>
      </c>
      <c r="G76" s="13" t="str">
        <f>IF(INDEX(Catálogo!G$5:G$73,MATCH($A76,Catálogo!$A$5:$A$73,0))="","",INDEX(Catálogo!G$5:G$73,MATCH($A76,Catálogo!$A$5:$A$73,0)))</f>
        <v/>
      </c>
      <c r="H76" s="14" t="str">
        <f>IF(INDEX(Catálogo!H$5:H$73,MATCH($A76,Catálogo!$A$5:$A$73,0))="","",INDEX(Catálogo!H$5:H$73,MATCH($A76,Catálogo!$A$5:$A$73,0)))</f>
        <v>Conforme a la instalación requerida</v>
      </c>
      <c r="I76" s="13" t="str">
        <f>IF(INDEX(Catálogo!I$5:I$73,MATCH($A76,Catálogo!$A$5:$A$73,0))="","",INDEX(Catálogo!I$5:I$73,MATCH($A76,Catálogo!$A$5:$A$73,0)))</f>
        <v/>
      </c>
      <c r="J76" s="13" t="str">
        <f>IF(INDEX(Catálogo!J$5:J$73,MATCH($A76,Catálogo!$A$5:$A$73,0))="","",INDEX(Catálogo!J$5:J$73,MATCH($A76,Catálogo!$A$5:$A$73,0)))</f>
        <v/>
      </c>
      <c r="K76" s="19" t="s">
        <v>42</v>
      </c>
      <c r="L76" s="19"/>
      <c r="M76" s="13" t="str">
        <f t="shared" si="1"/>
        <v/>
      </c>
      <c r="N76" s="19"/>
      <c r="O76" s="20"/>
      <c r="P76" s="13" t="str">
        <f>IF(INDEX(Catálogo!M$5:M$73,MATCH($A76,Catálogo!$A$5:$A$73,0))="","",INDEX(Catálogo!M$5:M$73,MATCH($A76,Catálogo!$A$5:$A$73,0)))</f>
        <v/>
      </c>
    </row>
    <row r="77" spans="1:16" ht="24" x14ac:dyDescent="0.25">
      <c r="A77" s="13" t="s">
        <v>390</v>
      </c>
      <c r="B77" s="13" t="str">
        <f>IF(INDEX(Catálogo!B$5:B$73,MATCH($A77,Catálogo!$A$5:$A$73,0))="","",INDEX(Catálogo!B$5:B$73,MATCH($A77,Catálogo!$A$5:$A$73,0)))</f>
        <v>8. Gabinete, montaje e instalación</v>
      </c>
      <c r="C77" s="13" t="str">
        <f>IF(INDEX(Catálogo!C$5:C$73,MATCH($A77,Catálogo!$A$5:$A$73,0))="","",INDEX(Catálogo!C$5:C$73,MATCH($A77,Catálogo!$A$5:$A$73,0)))</f>
        <v>8.3 Servicios</v>
      </c>
      <c r="D77" s="13" t="str">
        <f>IF(INDEX(Catálogo!D$5:D$73,MATCH($A77,Catálogo!$A$5:$A$73,0))="","",INDEX(Catálogo!D$5:D$73,MATCH($A77,Catálogo!$A$5:$A$73,0)))</f>
        <v>Comunicaciones / adquisición de datos</v>
      </c>
      <c r="E77" s="14" t="str">
        <f>IF(INDEX(Catálogo!E$5:E$73,MATCH($A77,Catálogo!$A$5:$A$73,0))="","",INDEX(Catálogo!E$5:E$73,MATCH($A77,Catálogo!$A$5:$A$73,0)))</f>
        <v>Enlace de comunicaciones con el datalogger o sistema de adquisición</v>
      </c>
      <c r="F77" s="13" t="str">
        <f>IF(INDEX(Catálogo!F$5:F$73,MATCH($A77,Catálogo!$A$5:$A$73,0))="","",INDEX(Catálogo!F$5:F$73,MATCH($A77,Catálogo!$A$5:$A$73,0)))</f>
        <v>OK / No OK</v>
      </c>
      <c r="G77" s="13" t="str">
        <f>IF(INDEX(Catálogo!G$5:G$73,MATCH($A77,Catálogo!$A$5:$A$73,0))="","",INDEX(Catálogo!G$5:G$73,MATCH($A77,Catálogo!$A$5:$A$73,0)))</f>
        <v/>
      </c>
      <c r="H77" s="14" t="str">
        <f>IF(INDEX(Catálogo!H$5:H$73,MATCH($A77,Catálogo!$A$5:$A$73,0))="","",INDEX(Catálogo!H$5:H$73,MATCH($A77,Catálogo!$A$5:$A$73,0)))</f>
        <v>Enlace estable</v>
      </c>
      <c r="I77" s="13" t="str">
        <f>IF(INDEX(Catálogo!I$5:I$73,MATCH($A77,Catálogo!$A$5:$A$73,0))="","",INDEX(Catálogo!I$5:I$73,MATCH($A77,Catálogo!$A$5:$A$73,0)))</f>
        <v/>
      </c>
      <c r="J77" s="13" t="str">
        <f>IF(INDEX(Catálogo!J$5:J$73,MATCH($A77,Catálogo!$A$5:$A$73,0))="","",INDEX(Catálogo!J$5:J$73,MATCH($A77,Catálogo!$A$5:$A$73,0)))</f>
        <v/>
      </c>
      <c r="K77" s="19" t="s">
        <v>42</v>
      </c>
      <c r="L77" s="19"/>
      <c r="M77" s="13" t="str">
        <f t="shared" si="1"/>
        <v/>
      </c>
      <c r="N77" s="19"/>
      <c r="O77" s="20"/>
      <c r="P77" s="13" t="str">
        <f>IF(INDEX(Catálogo!M$5:M$73,MATCH($A77,Catálogo!$A$5:$A$73,0))="","",INDEX(Catálogo!M$5:M$73,MATCH($A77,Catálogo!$A$5:$A$73,0)))</f>
        <v/>
      </c>
    </row>
    <row r="79" spans="1:16" x14ac:dyDescent="0.25">
      <c r="A79" s="21" t="s">
        <v>409</v>
      </c>
      <c r="B79" s="22" t="s">
        <v>410</v>
      </c>
    </row>
    <row r="80" spans="1:16" x14ac:dyDescent="0.25">
      <c r="B80" s="22" t="s">
        <v>411</v>
      </c>
    </row>
    <row r="81" spans="2:2" x14ac:dyDescent="0.25">
      <c r="B81" s="22" t="s">
        <v>412</v>
      </c>
    </row>
  </sheetData>
  <conditionalFormatting sqref="K9:K77">
    <cfRule type="cellIs" dxfId="3" priority="2" operator="equal">
      <formula>"Conforme"</formula>
    </cfRule>
    <cfRule type="cellIs" dxfId="2" priority="3" operator="equal">
      <formula>"No conforme"</formula>
    </cfRule>
    <cfRule type="cellIs" dxfId="1" priority="4" operator="equal">
      <formula>"Requiere reemplazo"</formula>
    </cfRule>
  </conditionalFormatting>
  <conditionalFormatting sqref="M9:M77">
    <cfRule type="cellIs" dxfId="0" priority="5" operator="equal">
      <formula>"Fuera de rango"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Listas!$A$2:$A$6</xm:f>
          </x14:formula1>
          <x14:formula2>
            <xm:f>0</xm:f>
          </x14:formula2>
          <xm:sqref>K9:K77</xm:sqref>
        </x14:dataValidation>
        <x14:dataValidation type="list" allowBlank="1" xr:uid="{00000000-0002-0000-0300-000001000000}">
          <x14:formula1>
            <xm:f>Listas!$B$2:$B$4</xm:f>
          </x14:formula1>
          <x14:formula2>
            <xm:f>0</xm:f>
          </x14:formula2>
          <xm:sqref>N9:N77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zoomScaleNormal="100" workbookViewId="0"/>
  </sheetViews>
  <sheetFormatPr baseColWidth="10" defaultColWidth="8.7109375" defaultRowHeight="15" x14ac:dyDescent="0.25"/>
  <cols>
    <col min="1" max="1" width="40" customWidth="1"/>
    <col min="2" max="2" width="9" customWidth="1"/>
    <col min="3" max="3" width="11" customWidth="1"/>
    <col min="4" max="4" width="13" customWidth="1"/>
    <col min="5" max="5" width="20" customWidth="1"/>
    <col min="6" max="7" width="11" customWidth="1"/>
    <col min="8" max="8" width="14" customWidth="1"/>
    <col min="9" max="9" width="15" customWidth="1"/>
  </cols>
  <sheetData>
    <row r="1" spans="1:9" ht="16.5" x14ac:dyDescent="0.25">
      <c r="A1" s="8" t="s">
        <v>413</v>
      </c>
    </row>
    <row r="2" spans="1:9" x14ac:dyDescent="0.25">
      <c r="A2" s="9" t="s">
        <v>414</v>
      </c>
    </row>
    <row r="4" spans="1:9" ht="31.5" customHeight="1" x14ac:dyDescent="0.25">
      <c r="A4" s="10" t="s">
        <v>45</v>
      </c>
      <c r="B4" s="10" t="s">
        <v>415</v>
      </c>
      <c r="C4" s="10" t="s">
        <v>38</v>
      </c>
      <c r="D4" s="10" t="s">
        <v>39</v>
      </c>
      <c r="E4" s="10" t="s">
        <v>28</v>
      </c>
      <c r="F4" s="10" t="s">
        <v>41</v>
      </c>
      <c r="G4" s="10" t="s">
        <v>42</v>
      </c>
      <c r="H4" s="10" t="s">
        <v>416</v>
      </c>
      <c r="I4" s="10" t="s">
        <v>417</v>
      </c>
    </row>
    <row r="5" spans="1:9" x14ac:dyDescent="0.25">
      <c r="A5" s="23" t="s">
        <v>58</v>
      </c>
      <c r="B5" s="24">
        <f>COUNTIF(Inspección!$B$9:$B$77,$A5)</f>
        <v>8</v>
      </c>
      <c r="C5" s="24">
        <f>COUNTIFS(Inspección!$B$9:$B$77,$A5,Inspección!$K$9:$K$77,"Conforme")</f>
        <v>0</v>
      </c>
      <c r="D5" s="24">
        <f>COUNTIFS(Inspección!$B$9:$B$77,$A5,Inspección!$K$9:$K$77,"No conforme")</f>
        <v>0</v>
      </c>
      <c r="E5" s="24">
        <f>COUNTIFS(Inspección!$B$9:$B$77,$A5,Inspección!$K$9:$K$77,"Requiere reemplazo")</f>
        <v>0</v>
      </c>
      <c r="F5" s="24">
        <f>COUNTIFS(Inspección!$B$9:$B$77,$A5,Inspección!$K$9:$K$77,"No aplica")</f>
        <v>0</v>
      </c>
      <c r="G5" s="24">
        <f>COUNTIFS(Inspección!$B$9:$B$77,$A5,Inspección!$K$9:$K$77,"Pendiente")</f>
        <v>8</v>
      </c>
      <c r="H5" s="25" t="str">
        <f t="shared" ref="H5:H13" si="0">IFERROR($C5/($B5-$F5-$G5),"")</f>
        <v/>
      </c>
      <c r="I5" s="24">
        <f>COUNTIFS(Inspección!$B$9:$B$77,$A5,Inspección!$M$9:$M$77,"Fuera de rango")</f>
        <v>0</v>
      </c>
    </row>
    <row r="6" spans="1:9" x14ac:dyDescent="0.25">
      <c r="A6" s="23" t="s">
        <v>101</v>
      </c>
      <c r="B6" s="24">
        <f>COUNTIF(Inspección!$B$9:$B$77,$A6)</f>
        <v>14</v>
      </c>
      <c r="C6" s="24">
        <f>COUNTIFS(Inspección!$B$9:$B$77,$A6,Inspección!$K$9:$K$77,"Conforme")</f>
        <v>0</v>
      </c>
      <c r="D6" s="24">
        <f>COUNTIFS(Inspección!$B$9:$B$77,$A6,Inspección!$K$9:$K$77,"No conforme")</f>
        <v>0</v>
      </c>
      <c r="E6" s="24">
        <f>COUNTIFS(Inspección!$B$9:$B$77,$A6,Inspección!$K$9:$K$77,"Requiere reemplazo")</f>
        <v>0</v>
      </c>
      <c r="F6" s="24">
        <f>COUNTIFS(Inspección!$B$9:$B$77,$A6,Inspección!$K$9:$K$77,"No aplica")</f>
        <v>0</v>
      </c>
      <c r="G6" s="24">
        <f>COUNTIFS(Inspección!$B$9:$B$77,$A6,Inspección!$K$9:$K$77,"Pendiente")</f>
        <v>14</v>
      </c>
      <c r="H6" s="25" t="str">
        <f t="shared" si="0"/>
        <v/>
      </c>
      <c r="I6" s="24">
        <f>COUNTIFS(Inspección!$B$9:$B$77,$A6,Inspección!$M$9:$M$77,"Fuera de rango")</f>
        <v>0</v>
      </c>
    </row>
    <row r="7" spans="1:9" x14ac:dyDescent="0.25">
      <c r="A7" s="23" t="s">
        <v>169</v>
      </c>
      <c r="B7" s="24">
        <f>COUNTIF(Inspección!$B$9:$B$77,$A7)</f>
        <v>9</v>
      </c>
      <c r="C7" s="24">
        <f>COUNTIFS(Inspección!$B$9:$B$77,$A7,Inspección!$K$9:$K$77,"Conforme")</f>
        <v>0</v>
      </c>
      <c r="D7" s="24">
        <f>COUNTIFS(Inspección!$B$9:$B$77,$A7,Inspección!$K$9:$K$77,"No conforme")</f>
        <v>0</v>
      </c>
      <c r="E7" s="24">
        <f>COUNTIFS(Inspección!$B$9:$B$77,$A7,Inspección!$K$9:$K$77,"Requiere reemplazo")</f>
        <v>1</v>
      </c>
      <c r="F7" s="24">
        <f>COUNTIFS(Inspección!$B$9:$B$77,$A7,Inspección!$K$9:$K$77,"No aplica")</f>
        <v>0</v>
      </c>
      <c r="G7" s="24">
        <f>COUNTIFS(Inspección!$B$9:$B$77,$A7,Inspección!$K$9:$K$77,"Pendiente")</f>
        <v>8</v>
      </c>
      <c r="H7" s="25">
        <f t="shared" si="0"/>
        <v>0</v>
      </c>
      <c r="I7" s="24">
        <f>COUNTIFS(Inspección!$B$9:$B$77,$A7,Inspección!$M$9:$M$77,"Fuera de rango")</f>
        <v>0</v>
      </c>
    </row>
    <row r="8" spans="1:9" x14ac:dyDescent="0.25">
      <c r="A8" s="23" t="s">
        <v>217</v>
      </c>
      <c r="B8" s="24">
        <f>COUNTIF(Inspección!$B$9:$B$77,$A8)</f>
        <v>10</v>
      </c>
      <c r="C8" s="24">
        <f>COUNTIFS(Inspección!$B$9:$B$77,$A8,Inspección!$K$9:$K$77,"Conforme")</f>
        <v>0</v>
      </c>
      <c r="D8" s="24">
        <f>COUNTIFS(Inspección!$B$9:$B$77,$A8,Inspección!$K$9:$K$77,"No conforme")</f>
        <v>0</v>
      </c>
      <c r="E8" s="24">
        <f>COUNTIFS(Inspección!$B$9:$B$77,$A8,Inspección!$K$9:$K$77,"Requiere reemplazo")</f>
        <v>0</v>
      </c>
      <c r="F8" s="24">
        <f>COUNTIFS(Inspección!$B$9:$B$77,$A8,Inspección!$K$9:$K$77,"No aplica")</f>
        <v>0</v>
      </c>
      <c r="G8" s="24">
        <f>COUNTIFS(Inspección!$B$9:$B$77,$A8,Inspección!$K$9:$K$77,"Pendiente")</f>
        <v>10</v>
      </c>
      <c r="H8" s="25" t="str">
        <f t="shared" si="0"/>
        <v/>
      </c>
      <c r="I8" s="24">
        <f>COUNTIFS(Inspección!$B$9:$B$77,$A8,Inspección!$M$9:$M$77,"Fuera de rango")</f>
        <v>0</v>
      </c>
    </row>
    <row r="9" spans="1:9" x14ac:dyDescent="0.25">
      <c r="A9" s="23" t="s">
        <v>265</v>
      </c>
      <c r="B9" s="24">
        <f>COUNTIF(Inspección!$B$9:$B$77,$A9)</f>
        <v>10</v>
      </c>
      <c r="C9" s="24">
        <f>COUNTIFS(Inspección!$B$9:$B$77,$A9,Inspección!$K$9:$K$77,"Conforme")</f>
        <v>0</v>
      </c>
      <c r="D9" s="24">
        <f>COUNTIFS(Inspección!$B$9:$B$77,$A9,Inspección!$K$9:$K$77,"No conforme")</f>
        <v>0</v>
      </c>
      <c r="E9" s="24">
        <f>COUNTIFS(Inspección!$B$9:$B$77,$A9,Inspección!$K$9:$K$77,"Requiere reemplazo")</f>
        <v>0</v>
      </c>
      <c r="F9" s="24">
        <f>COUNTIFS(Inspección!$B$9:$B$77,$A9,Inspección!$K$9:$K$77,"No aplica")</f>
        <v>0</v>
      </c>
      <c r="G9" s="24">
        <f>COUNTIFS(Inspección!$B$9:$B$77,$A9,Inspección!$K$9:$K$77,"Pendiente")</f>
        <v>10</v>
      </c>
      <c r="H9" s="25" t="str">
        <f t="shared" si="0"/>
        <v/>
      </c>
      <c r="I9" s="24">
        <f>COUNTIFS(Inspección!$B$9:$B$77,$A9,Inspección!$M$9:$M$77,"Fuera de rango")</f>
        <v>0</v>
      </c>
    </row>
    <row r="10" spans="1:9" x14ac:dyDescent="0.25">
      <c r="A10" s="23" t="s">
        <v>313</v>
      </c>
      <c r="B10" s="24">
        <f>COUNTIF(Inspección!$B$9:$B$77,$A10)</f>
        <v>5</v>
      </c>
      <c r="C10" s="24">
        <f>COUNTIFS(Inspección!$B$9:$B$77,$A10,Inspección!$K$9:$K$77,"Conforme")</f>
        <v>0</v>
      </c>
      <c r="D10" s="24">
        <f>COUNTIFS(Inspección!$B$9:$B$77,$A10,Inspección!$K$9:$K$77,"No conforme")</f>
        <v>0</v>
      </c>
      <c r="E10" s="24">
        <f>COUNTIFS(Inspección!$B$9:$B$77,$A10,Inspección!$K$9:$K$77,"Requiere reemplazo")</f>
        <v>0</v>
      </c>
      <c r="F10" s="24">
        <f>COUNTIFS(Inspección!$B$9:$B$77,$A10,Inspección!$K$9:$K$77,"No aplica")</f>
        <v>0</v>
      </c>
      <c r="G10" s="24">
        <f>COUNTIFS(Inspección!$B$9:$B$77,$A10,Inspección!$K$9:$K$77,"Pendiente")</f>
        <v>5</v>
      </c>
      <c r="H10" s="25" t="str">
        <f t="shared" si="0"/>
        <v/>
      </c>
      <c r="I10" s="24">
        <f>COUNTIFS(Inspección!$B$9:$B$77,$A10,Inspección!$M$9:$M$77,"Fuera de rango")</f>
        <v>0</v>
      </c>
    </row>
    <row r="11" spans="1:9" x14ac:dyDescent="0.25">
      <c r="A11" s="23" t="s">
        <v>336</v>
      </c>
      <c r="B11" s="24">
        <f>COUNTIF(Inspección!$B$9:$B$77,$A11)</f>
        <v>5</v>
      </c>
      <c r="C11" s="24">
        <f>COUNTIFS(Inspección!$B$9:$B$77,$A11,Inspección!$K$9:$K$77,"Conforme")</f>
        <v>0</v>
      </c>
      <c r="D11" s="24">
        <f>COUNTIFS(Inspección!$B$9:$B$77,$A11,Inspección!$K$9:$K$77,"No conforme")</f>
        <v>0</v>
      </c>
      <c r="E11" s="24">
        <f>COUNTIFS(Inspección!$B$9:$B$77,$A11,Inspección!$K$9:$K$77,"Requiere reemplazo")</f>
        <v>0</v>
      </c>
      <c r="F11" s="24">
        <f>COUNTIFS(Inspección!$B$9:$B$77,$A11,Inspección!$K$9:$K$77,"No aplica")</f>
        <v>0</v>
      </c>
      <c r="G11" s="24">
        <f>COUNTIFS(Inspección!$B$9:$B$77,$A11,Inspección!$K$9:$K$77,"Pendiente")</f>
        <v>5</v>
      </c>
      <c r="H11" s="25" t="str">
        <f t="shared" si="0"/>
        <v/>
      </c>
      <c r="I11" s="24">
        <f>COUNTIFS(Inspección!$B$9:$B$77,$A11,Inspección!$M$9:$M$77,"Fuera de rango")</f>
        <v>0</v>
      </c>
    </row>
    <row r="12" spans="1:9" x14ac:dyDescent="0.25">
      <c r="A12" s="23" t="s">
        <v>359</v>
      </c>
      <c r="B12" s="24">
        <f>COUNTIF(Inspección!$B$9:$B$77,$A12)</f>
        <v>8</v>
      </c>
      <c r="C12" s="24">
        <f>COUNTIFS(Inspección!$B$9:$B$77,$A12,Inspección!$K$9:$K$77,"Conforme")</f>
        <v>0</v>
      </c>
      <c r="D12" s="24">
        <f>COUNTIFS(Inspección!$B$9:$B$77,$A12,Inspección!$K$9:$K$77,"No conforme")</f>
        <v>0</v>
      </c>
      <c r="E12" s="24">
        <f>COUNTIFS(Inspección!$B$9:$B$77,$A12,Inspección!$K$9:$K$77,"Requiere reemplazo")</f>
        <v>0</v>
      </c>
      <c r="F12" s="24">
        <f>COUNTIFS(Inspección!$B$9:$B$77,$A12,Inspección!$K$9:$K$77,"No aplica")</f>
        <v>0</v>
      </c>
      <c r="G12" s="24">
        <f>COUNTIFS(Inspección!$B$9:$B$77,$A12,Inspección!$K$9:$K$77,"Pendiente")</f>
        <v>8</v>
      </c>
      <c r="H12" s="25" t="str">
        <f t="shared" si="0"/>
        <v/>
      </c>
      <c r="I12" s="24">
        <f>COUNTIFS(Inspección!$B$9:$B$77,$A12,Inspección!$M$9:$M$77,"Fuera de rango")</f>
        <v>0</v>
      </c>
    </row>
    <row r="13" spans="1:9" x14ac:dyDescent="0.25">
      <c r="A13" s="26" t="s">
        <v>418</v>
      </c>
      <c r="B13" s="26">
        <f t="shared" ref="B13:G13" si="1">SUM(B5:B12)</f>
        <v>69</v>
      </c>
      <c r="C13" s="26">
        <f t="shared" si="1"/>
        <v>0</v>
      </c>
      <c r="D13" s="26">
        <f t="shared" si="1"/>
        <v>0</v>
      </c>
      <c r="E13" s="26">
        <f t="shared" si="1"/>
        <v>1</v>
      </c>
      <c r="F13" s="26">
        <f t="shared" si="1"/>
        <v>0</v>
      </c>
      <c r="G13" s="26">
        <f t="shared" si="1"/>
        <v>68</v>
      </c>
      <c r="H13" s="27">
        <f t="shared" si="0"/>
        <v>0</v>
      </c>
      <c r="I13" s="26">
        <f>SUM(I5:I12)</f>
        <v>0</v>
      </c>
    </row>
    <row r="15" spans="1:9" x14ac:dyDescent="0.25">
      <c r="A15" s="28" t="s">
        <v>419</v>
      </c>
    </row>
    <row r="16" spans="1:9" x14ac:dyDescent="0.25">
      <c r="A16" s="28" t="s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Listas</vt:lpstr>
      <vt:lpstr>Catálogo</vt:lpstr>
      <vt:lpstr>Inspección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Alfonso García del Pino Beneitez</cp:lastModifiedBy>
  <cp:revision>0</cp:revision>
  <dcterms:created xsi:type="dcterms:W3CDTF">2026-09-02T13:08:50Z</dcterms:created>
  <dcterms:modified xsi:type="dcterms:W3CDTF">2026-09-02T15:03:19Z</dcterms:modified>
  <dc:language>en-US</dc:language>
</cp:coreProperties>
</file>