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lgar\Downloads\"/>
    </mc:Choice>
  </mc:AlternateContent>
  <xr:revisionPtr revIDLastSave="0" documentId="13_ncr:1_{A9D80F1D-EAFA-4530-83C6-DD156EC0D7B2}" xr6:coauthVersionLast="47" xr6:coauthVersionMax="47" xr10:uidLastSave="{00000000-0000-0000-0000-000000000000}"/>
  <bookViews>
    <workbookView xWindow="-120" yWindow="-120" windowWidth="29040" windowHeight="15720" tabRatio="500" activeTab="2" xr2:uid="{00000000-000D-0000-FFFF-FFFF00000000}"/>
  </bookViews>
  <sheets>
    <sheet name="Instrucciones" sheetId="1" r:id="rId1"/>
    <sheet name="Listas" sheetId="2" r:id="rId2"/>
    <sheet name="Inspección" sheetId="3" r:id="rId3"/>
    <sheet name="Resumen" sheetId="4" r:id="rId4"/>
  </sheets>
  <definedNames>
    <definedName name="_xlnm._FilterDatabase" localSheetId="2" hidden="1">Inspección!$A$8:$S$111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2" i="4" l="1"/>
  <c r="F12" i="4"/>
  <c r="E12" i="4"/>
  <c r="D12" i="4"/>
  <c r="C12" i="4"/>
  <c r="B12" i="4"/>
  <c r="G11" i="4"/>
  <c r="F11" i="4"/>
  <c r="E11" i="4"/>
  <c r="D11" i="4"/>
  <c r="C11" i="4"/>
  <c r="B11" i="4"/>
  <c r="G10" i="4"/>
  <c r="F10" i="4"/>
  <c r="E10" i="4"/>
  <c r="D10" i="4"/>
  <c r="C10" i="4"/>
  <c r="B10" i="4"/>
  <c r="G9" i="4"/>
  <c r="F9" i="4"/>
  <c r="E9" i="4"/>
  <c r="D9" i="4"/>
  <c r="C9" i="4"/>
  <c r="B9" i="4"/>
  <c r="G8" i="4"/>
  <c r="F8" i="4"/>
  <c r="E8" i="4"/>
  <c r="D8" i="4"/>
  <c r="C8" i="4"/>
  <c r="B8" i="4"/>
  <c r="G7" i="4"/>
  <c r="F7" i="4"/>
  <c r="E7" i="4"/>
  <c r="D7" i="4"/>
  <c r="C7" i="4"/>
  <c r="B7" i="4"/>
  <c r="G6" i="4"/>
  <c r="F6" i="4"/>
  <c r="E6" i="4"/>
  <c r="D6" i="4"/>
  <c r="C6" i="4"/>
  <c r="B6" i="4"/>
  <c r="G5" i="4"/>
  <c r="F5" i="4"/>
  <c r="E5" i="4"/>
  <c r="D5" i="4"/>
  <c r="C5" i="4"/>
  <c r="B5" i="4"/>
  <c r="Q111" i="3"/>
  <c r="Q110" i="3"/>
  <c r="Q109" i="3"/>
  <c r="Q108" i="3"/>
  <c r="Q107" i="3"/>
  <c r="Q106" i="3"/>
  <c r="Q105" i="3"/>
  <c r="Q104" i="3"/>
  <c r="Q103" i="3"/>
  <c r="Q102" i="3"/>
  <c r="Q101" i="3"/>
  <c r="I12" i="4" s="1"/>
  <c r="Q100" i="3"/>
  <c r="Q99" i="3"/>
  <c r="Q98" i="3"/>
  <c r="Q97" i="3"/>
  <c r="Q96" i="3"/>
  <c r="Q95" i="3"/>
  <c r="I11" i="4" s="1"/>
  <c r="Q94" i="3"/>
  <c r="Q93" i="3"/>
  <c r="Q92" i="3"/>
  <c r="Q91" i="3"/>
  <c r="Q90" i="3"/>
  <c r="Q89" i="3"/>
  <c r="Q88" i="3"/>
  <c r="Q87" i="3"/>
  <c r="Q86" i="3"/>
  <c r="I10" i="4" s="1"/>
  <c r="Q85" i="3"/>
  <c r="Q84" i="3"/>
  <c r="Q83" i="3"/>
  <c r="Q82" i="3"/>
  <c r="Q81" i="3"/>
  <c r="Q80" i="3"/>
  <c r="Q79" i="3"/>
  <c r="Q78" i="3"/>
  <c r="Q77" i="3"/>
  <c r="Q76" i="3"/>
  <c r="Q75" i="3"/>
  <c r="Q74" i="3"/>
  <c r="Q73" i="3"/>
  <c r="Q72" i="3"/>
  <c r="Q71" i="3"/>
  <c r="I9" i="4" s="1"/>
  <c r="Q70" i="3"/>
  <c r="Q69" i="3"/>
  <c r="Q68" i="3"/>
  <c r="Q67" i="3"/>
  <c r="Q66" i="3"/>
  <c r="Q65" i="3"/>
  <c r="Q64" i="3"/>
  <c r="Q63" i="3"/>
  <c r="Q62" i="3"/>
  <c r="Q61" i="3"/>
  <c r="Q60" i="3"/>
  <c r="Q59" i="3"/>
  <c r="Q58" i="3"/>
  <c r="Q57" i="3"/>
  <c r="I8" i="4" s="1"/>
  <c r="Q56" i="3"/>
  <c r="Q55" i="3"/>
  <c r="Q54" i="3"/>
  <c r="Q53" i="3"/>
  <c r="Q52" i="3"/>
  <c r="Q51" i="3"/>
  <c r="Q50" i="3"/>
  <c r="Q49" i="3"/>
  <c r="Q48" i="3"/>
  <c r="Q47" i="3"/>
  <c r="Q46" i="3"/>
  <c r="Q45" i="3"/>
  <c r="Q44" i="3"/>
  <c r="Q43" i="3"/>
  <c r="Q42" i="3"/>
  <c r="Q41" i="3"/>
  <c r="Q40" i="3"/>
  <c r="Q39" i="3"/>
  <c r="I7" i="4" s="1"/>
  <c r="Q38" i="3"/>
  <c r="Q37" i="3"/>
  <c r="Q36" i="3"/>
  <c r="Q35" i="3"/>
  <c r="Q34" i="3"/>
  <c r="Q33" i="3"/>
  <c r="Q32" i="3"/>
  <c r="Q31" i="3"/>
  <c r="Q30" i="3"/>
  <c r="Q29" i="3"/>
  <c r="Q28" i="3"/>
  <c r="Q27" i="3"/>
  <c r="Q26" i="3"/>
  <c r="Q25" i="3"/>
  <c r="Q24" i="3"/>
  <c r="Q23" i="3"/>
  <c r="Q22" i="3"/>
  <c r="Q21" i="3"/>
  <c r="Q20" i="3"/>
  <c r="Q19" i="3"/>
  <c r="I6" i="4" s="1"/>
  <c r="Q18" i="3"/>
  <c r="Q17" i="3"/>
  <c r="Q16" i="3"/>
  <c r="Q15" i="3"/>
  <c r="Q14" i="3"/>
  <c r="Q13" i="3"/>
  <c r="Q12" i="3"/>
  <c r="Q11" i="3"/>
  <c r="Q10" i="3"/>
  <c r="Q9" i="3"/>
  <c r="H11" i="4" l="1"/>
  <c r="B13" i="4"/>
  <c r="H9" i="4"/>
  <c r="H12" i="4"/>
  <c r="G13" i="4"/>
  <c r="H6" i="4"/>
  <c r="E13" i="4"/>
  <c r="H5" i="4"/>
  <c r="H8" i="4"/>
  <c r="H7" i="4"/>
  <c r="F13" i="4"/>
  <c r="I5" i="4"/>
  <c r="I13" i="4" s="1"/>
  <c r="D13" i="4"/>
  <c r="H10" i="4"/>
  <c r="C13" i="4"/>
  <c r="H13" i="4" l="1"/>
</calcChain>
</file>

<file path=xl/sharedStrings.xml><?xml version="1.0" encoding="utf-8"?>
<sst xmlns="http://schemas.openxmlformats.org/spreadsheetml/2006/main" count="1317" uniqueCount="597">
  <si>
    <t>INSPECCIÓN FÍSICA DEL EQUIPO — GRIMM EDM180 (C/D)</t>
  </si>
  <si>
    <t>Prototipo de estructura jerárquica en Excel · Ambientalia — Servicio Técnico · v3</t>
  </si>
  <si>
    <t>Novedades de la v3</t>
  </si>
  <si>
    <t>1) Se incorporaron 15 ítems nuevos hallados al revisar 'Service Training NEW [Version 0.8]',</t>
  </si>
  <si>
    <t xml:space="preserve">   el documento más extenso del notebook y el único con diagrama interno detallado. El hallazgo</t>
  </si>
  <si>
    <t xml:space="preserve">   más relevante: el equipo tiene una Bomba de muestra (Sample Pump) física, distinta de la bomba</t>
  </si>
  <si>
    <t xml:space="preserve">   de vacío/secado (antes la única bomba registrada) — ver ítem 3.1.5. Los demás 14 ítems cubren</t>
  </si>
  <si>
    <t xml:space="preserve">   soporte del tubo, paso de techo, calefactor opcional del cabezal, trampa de agua, depósito de</t>
  </si>
  <si>
    <t xml:space="preserve">   compensación, presostatos, válvula y filtro del ciclo self-test, tarjeta driver del láser y tarjeta</t>
  </si>
  <si>
    <t xml:space="preserve">   LED, filtros CQ (selftest/vacío), el procedimiento de reinicio del contador de filtro a 60.000 µg,</t>
  </si>
  <si>
    <t xml:space="preserve">   puertos RS-232 y las etiquetas físicas del equipo (ítem 1.2.4).</t>
  </si>
  <si>
    <t>2) Catálogo e Inspección se fusionaron en UNA sola hoja/tabla (antes eran dos hojas enlazadas</t>
  </si>
  <si>
    <t xml:space="preserve">   por fórmulas). Ninguna columna se eliminó: todas las de Catálogo y todas las de Inspección</t>
  </si>
  <si>
    <t xml:space="preserve">   quedan presentes en la misma fila, por ítem.</t>
  </si>
  <si>
    <t>Origen de la estructura</t>
  </si>
  <si>
    <t>Los niveles macro, subniveles e ítems se derivaron de los 199 informes de mantenimiento (MT) del</t>
  </si>
  <si>
    <t>notebook «ST Grimm EDM180» en NotebookLM, más 19 fuentes técnicas incorporadas después (manual</t>
  </si>
  <si>
    <t>de servicio oficial, dos documentos de Service Training y correos de soporte GRIMM/DURAG). Los</t>
  </si>
  <si>
    <t>informes MT son narrativos: no existe hoy una lista de chequeo formalizada por GRIMM, por lo que</t>
  </si>
  <si>
    <t>esta jerarquía es una propuesta construida a partir de los hallazgos que se repiten en ellos.</t>
  </si>
  <si>
    <t>Cómo está organizado el libro</t>
  </si>
  <si>
    <t>Inspección  Tabla única: es a la vez el catálogo maestro de la jerarquía (8 niveles macro N1,</t>
  </si>
  <si>
    <t xml:space="preserve">            27 subniveles N2 y 103 ítems N3) y la hoja de captura de una visita. Las columnas</t>
  </si>
  <si>
    <t xml:space="preserve">            A a N son la definición del ítem (editar aquí para añadir/quitar ítems); las columnas</t>
  </si>
  <si>
    <t xml:space="preserve">            O a S son lo que diligencia el técnico en cada visita (en amarillo).</t>
  </si>
  <si>
    <t>Resumen     Conformidad por nivel macro, calculada automáticamente sobre la hoja Inspección.</t>
  </si>
  <si>
    <t>Listas      Dominios de las listas desplegables.</t>
  </si>
  <si>
    <t>Qué diligencia el técnico (columnas en amarillo)</t>
  </si>
  <si>
    <t>Resultado         Lista desplegable: Conforme / No conforme / Requiere reemplazo / No aplica / Pendiente.</t>
  </si>
  <si>
    <t>Valor medido      Solo para ítems de tipo Numérico o Fecha. Se contrasta contra los límites (LI/LS) de la misma fila.</t>
  </si>
  <si>
    <t>Foto adjunta      Sí / No / No aplica — si el técnico adjuntó evidencia fotográfica en esta visita.</t>
  </si>
  <si>
    <t>Observación       Texto libre: es lo que después alimenta la redacción del informe.</t>
  </si>
  <si>
    <t>Nota: para repetir la inspección en una visita futura sin perder el histórico, duplique la hoja</t>
  </si>
  <si>
    <t>Inspección (clic derecho → Mover o copiar → Crear una copia) antes de diligenciar las columnas O-S.</t>
  </si>
  <si>
    <t>Ejemplo de diligenciamiento</t>
  </si>
  <si>
    <t>Advertencias sobre los límites numéricos</t>
  </si>
  <si>
    <t>Incorpora rangos oficiales del manual de servicio y de Service Training para: flujo de bomba de</t>
  </si>
  <si>
    <t>secado, flujo de muestra, presión de vacío, prueba de estanqueidad, potencia óptica del láser, valores</t>
  </si>
  <si>
    <t>K-Line (DC_h/DC_diff), aire de purga, batería del reloj interno y desviación relativa de masa en</t>
  </si>
  <si>
    <t>calibración. Persisten ítems marcados PENDIENTE DE VALIDAR (p. ej. corriente del láser en mA y</t>
  </si>
  <si>
    <t>tensión mínima de la batería CR2025): ningún documento revisado hasta ahora da ese valor. Dos</t>
  </si>
  <si>
    <t>fuentes dan valores distintos para el voltaje de la válvula proporcional (3,7±0,4 V vs. 6-7 V): revisar</t>
  </si>
  <si>
    <t>cuál aplica según la generación del equipo antes de usarlo como criterio de aceptación. Tampoco hay</t>
  </si>
  <si>
    <t>respaldo documental encontrado (en dos pasadas por los documentos de Service Training) para el</t>
  </si>
  <si>
    <t>criterio de ganancia de los canales F/G (-2 %/+5 %): puede ser un criterio interno de Ambientalia y</t>
  </si>
  <si>
    <t>no uno publicado por GRIMM; se deja igual, pero sin fuente oficial confirmada.</t>
  </si>
  <si>
    <t>ID</t>
  </si>
  <si>
    <t>Ítem</t>
  </si>
  <si>
    <t>Resultado</t>
  </si>
  <si>
    <t>Valor medido</t>
  </si>
  <si>
    <t>Foto</t>
  </si>
  <si>
    <t>Observación</t>
  </si>
  <si>
    <t>3.1.1</t>
  </si>
  <si>
    <t>Flujo de la bomba de secado</t>
  </si>
  <si>
    <t>Requiere reemplazo</t>
  </si>
  <si>
    <t>Sí</t>
  </si>
  <si>
    <t>Flujo cercano al límite de reemplazo; desgaste en el empaque del pistón.</t>
  </si>
  <si>
    <t>Foto adjunta</t>
  </si>
  <si>
    <t>Obligatorio</t>
  </si>
  <si>
    <t>Conforme</t>
  </si>
  <si>
    <t>No conforme</t>
  </si>
  <si>
    <t>No</t>
  </si>
  <si>
    <t>No aplica</t>
  </si>
  <si>
    <t>Pendiente</t>
  </si>
  <si>
    <t>FASE 1 — INSPECCIÓN FÍSICA DEL EQUIPO (catálogo + captura)</t>
  </si>
  <si>
    <t>Cliente:</t>
  </si>
  <si>
    <t>Serie del espectrómetro:</t>
  </si>
  <si>
    <t>NIT:</t>
  </si>
  <si>
    <t>Fecha de inspección:</t>
  </si>
  <si>
    <t>Equipo / Modelo:</t>
  </si>
  <si>
    <t>Monitor de partículas GRIMM EDM180</t>
  </si>
  <si>
    <t>Técnico responsable:</t>
  </si>
  <si>
    <t>Número de serie:</t>
  </si>
  <si>
    <t>N.º de informe (MT):</t>
  </si>
  <si>
    <t>Nivel macro (N1)</t>
  </si>
  <si>
    <t>Subnivel (N2)</t>
  </si>
  <si>
    <t>Ítem (N3)</t>
  </si>
  <si>
    <t>Qué se verifica</t>
  </si>
  <si>
    <t>Tipo de dato</t>
  </si>
  <si>
    <t>Unidad</t>
  </si>
  <si>
    <t>Criterio de aceptación</t>
  </si>
  <si>
    <t>Límite inferior</t>
  </si>
  <si>
    <t>Límite superior</t>
  </si>
  <si>
    <t>Evidencia fotográfica requerida</t>
  </si>
  <si>
    <t>Repuesto / parte asociada</t>
  </si>
  <si>
    <t>Informe de referencia</t>
  </si>
  <si>
    <t>Verificación de rango</t>
  </si>
  <si>
    <t>1.1.1</t>
  </si>
  <si>
    <t>1. Verificación funcional inicial</t>
  </si>
  <si>
    <t>1.1 Encendido y autodiagnóstico</t>
  </si>
  <si>
    <t>Ciclo self-test</t>
  </si>
  <si>
    <t>El equipo enciende y supera el ciclo self test</t>
  </si>
  <si>
    <t>Sí/No</t>
  </si>
  <si>
    <t>Debe superar el self test</t>
  </si>
  <si>
    <t>MT_18A12051_260811</t>
  </si>
  <si>
    <t>1.1.2</t>
  </si>
  <si>
    <t>Inicio de medición</t>
  </si>
  <si>
    <t>El equipo comienza a medir tras el self test</t>
  </si>
  <si>
    <t>Debe iniciar medición</t>
  </si>
  <si>
    <t>1.1.3</t>
  </si>
  <si>
    <t>Alarmas activas</t>
  </si>
  <si>
    <t>Alarmas o avisos en pantalla al arranque (p. ej. alerta "Dryer")</t>
  </si>
  <si>
    <t>Texto</t>
  </si>
  <si>
    <t>Sin alarmas activas</t>
  </si>
  <si>
    <t>MT_18A21062_260227</t>
  </si>
  <si>
    <t>1.2.1</t>
  </si>
  <si>
    <t>1.2 Identificación y trazabilidad</t>
  </si>
  <si>
    <t>Serial del monitor</t>
  </si>
  <si>
    <t>El serial del monitor coincide con la placa y con la orden de servicio</t>
  </si>
  <si>
    <t>Debe coincidir</t>
  </si>
  <si>
    <t>MT_18A19035_260727</t>
  </si>
  <si>
    <t>1.2.2</t>
  </si>
  <si>
    <t>Serial del espectrómetro</t>
  </si>
  <si>
    <t>El espectrómetro instalado corresponde al del equipo (no de otro monitor)</t>
  </si>
  <si>
    <t>Debe corresponder</t>
  </si>
  <si>
    <t>1.2.3</t>
  </si>
  <si>
    <t>Accesorios recibidos</t>
  </si>
  <si>
    <t>Inventario de accesorios: tubo de muestra, cabezal TSP, sensor T/HR, cables</t>
  </si>
  <si>
    <t>Inventario completo</t>
  </si>
  <si>
    <t>1.2.4</t>
  </si>
  <si>
    <t>Etiquetas físicas (Type Label / etiqueta de calibración)</t>
  </si>
  <si>
    <t>Presencia y legibilidad de la etiqueta de tipo y de la etiqueta de calibración vigente</t>
  </si>
  <si>
    <t>OK / No OK</t>
  </si>
  <si>
    <t>Presentes y legibles</t>
  </si>
  <si>
    <t>Service Training NEW v0.8</t>
  </si>
  <si>
    <t>1.3.1</t>
  </si>
  <si>
    <t>1.3 Estado de calibración</t>
  </si>
  <si>
    <t>Vigencia de calibración en Torre GRIMM</t>
  </si>
  <si>
    <t>Fecha de la última calibración en torre patrón</t>
  </si>
  <si>
    <t>Fecha</t>
  </si>
  <si>
    <t>Vigencia máxima 12 meses</t>
  </si>
  <si>
    <t>AMB-STCALENVIRO-01</t>
  </si>
  <si>
    <t>1.3.2</t>
  </si>
  <si>
    <t>Certificado disponible</t>
  </si>
  <si>
    <t>Existe certificado de la última calibración</t>
  </si>
  <si>
    <t>Debe existir</t>
  </si>
  <si>
    <t>1.3.3</t>
  </si>
  <si>
    <t>Desviación relativa de masa (verificación con aire ambiente)</t>
  </si>
  <si>
    <t>Diferencia entre el candidato y el espectrómetro de referencia al verificar con aire ambiente tras la calibración en torre</t>
  </si>
  <si>
    <t>Numérico</t>
  </si>
  <si>
    <t>% o µg/m³</t>
  </si>
  <si>
    <t>Criterio de fábrica: ±3% o ±2µg/m³. Criterio para cliente/campo: ±5% o ±2µg/m³ (correo GRIMM 25-nov-2021)</t>
  </si>
  <si>
    <t>Correo EDM180C Calibration desviación (nov-2021)</t>
  </si>
  <si>
    <t>2.1.1</t>
  </si>
  <si>
    <t>2. Línea de muestreo y cabezal</t>
  </si>
  <si>
    <t>2.1 Cabezal TSP</t>
  </si>
  <si>
    <t>Estado físico del cabezal</t>
  </si>
  <si>
    <t>Golpes, deformación, corrosión del cabezal TSP</t>
  </si>
  <si>
    <t>Sin deformación ni corrosión</t>
  </si>
  <si>
    <t>MT_18A20087_260512</t>
  </si>
  <si>
    <t>2.1.2</t>
  </si>
  <si>
    <t>Tornillo de seguridad del cabezal</t>
  </si>
  <si>
    <t>Presencia y estado del tornillo de seguridad del cabezal TSP</t>
  </si>
  <si>
    <t>Presente / Ausente</t>
  </si>
  <si>
    <t>Debe estar presente</t>
  </si>
  <si>
    <t>M02M2X4D912A4</t>
  </si>
  <si>
    <t>2.1.3</t>
  </si>
  <si>
    <t>Limpieza interna del cabezal</t>
  </si>
  <si>
    <t>Acumulación de material particulado en el interior del cabezal</t>
  </si>
  <si>
    <t>Libre de acumulación</t>
  </si>
  <si>
    <t>2.1.4</t>
  </si>
  <si>
    <t>Malla fly-mesh de la sonda</t>
  </si>
  <si>
    <t>Estado de la malla de protección (fly-mesh) del cabezal de muestreo</t>
  </si>
  <si>
    <t>Sin obstrucción ni rotura</t>
  </si>
  <si>
    <t>Service Training.pdf</t>
  </si>
  <si>
    <t>2.1.5</t>
  </si>
  <si>
    <t>Calefactor opcional del cabezal (head heater)</t>
  </si>
  <si>
    <t>Presencia y funcionamiento del calefactor opcional del cabezal de muestreo, en los equipos que lo incorporen</t>
  </si>
  <si>
    <t>Aplica solo si el equipo trae la opción instalada; de ser así, debe operar sin falla</t>
  </si>
  <si>
    <t>2.2.1</t>
  </si>
  <si>
    <t>2.2 Tubo de muestra (1.5 m)</t>
  </si>
  <si>
    <t>Rectitud del tubo</t>
  </si>
  <si>
    <t>Deformación o torcedura del tubo de muestra</t>
  </si>
  <si>
    <t>Sin deformación mecánica</t>
  </si>
  <si>
    <t>GR-TI-01</t>
  </si>
  <si>
    <t>2.2.2</t>
  </si>
  <si>
    <t>Fugas internas</t>
  </si>
  <si>
    <t>Prueba de estanqueidad del tubo de muestra</t>
  </si>
  <si>
    <t>Sin fugas</t>
  </si>
  <si>
    <t>2.2.3</t>
  </si>
  <si>
    <t>Estructura interna de bronce</t>
  </si>
  <si>
    <t>Integridad de la estructura de bronce y su base respecto a las líneas neumáticas</t>
  </si>
  <si>
    <t>Base unida a las líneas neumáticas</t>
  </si>
  <si>
    <t>2.2.4</t>
  </si>
  <si>
    <t>Tornillería del tubo</t>
  </si>
  <si>
    <t>Deformación mecánica de la tornillería del tubo de muestra</t>
  </si>
  <si>
    <t>Sin deformación</t>
  </si>
  <si>
    <t>4037489 / M00M3X3D913A2</t>
  </si>
  <si>
    <t>2.2.5</t>
  </si>
  <si>
    <t>O-Ring de la boquilla de entrada</t>
  </si>
  <si>
    <t>Desgaste de la junta tórica interna de la boquilla de ingreso de muestreo</t>
  </si>
  <si>
    <t>Sin desgaste que genere fuga</t>
  </si>
  <si>
    <t>C0004x1</t>
  </si>
  <si>
    <t>2.2.6</t>
  </si>
  <si>
    <t>Soporte del tubo (Sample Pipe Holder) y tornillo de fijación</t>
  </si>
  <si>
    <t>Presencia y estado del soporte que fija el tubo de muestra y de su tornillo de fijación</t>
  </si>
  <si>
    <t>Presente y firme</t>
  </si>
  <si>
    <t>2.3.1</t>
  </si>
  <si>
    <t>2.3 Protección contra intemperie</t>
  </si>
  <si>
    <t>Rain protector / deflector</t>
  </si>
  <si>
    <t>Presencia e integridad del protector de lluvia del tubo de muestra</t>
  </si>
  <si>
    <t>Presente y sin roturas</t>
  </si>
  <si>
    <t>4019827</t>
  </si>
  <si>
    <t>2.3.2</t>
  </si>
  <si>
    <t>Acople de sellado tubo–shelter</t>
  </si>
  <si>
    <t>Acople de protección para filtrado de agua hacia el shelter</t>
  </si>
  <si>
    <t>Acople original instalado</t>
  </si>
  <si>
    <t>2.3.3</t>
  </si>
  <si>
    <t>Sellados provisionales</t>
  </si>
  <si>
    <t>Uso de cinta u otros sellos provisionales en la conexión</t>
  </si>
  <si>
    <t>No debe haber sellos provisionales</t>
  </si>
  <si>
    <t>2.3.4</t>
  </si>
  <si>
    <t>Paso de techo (roof lead through)</t>
  </si>
  <si>
    <t>Estado del pasamuros/paso de techo por donde ingresa el tubo de muestra a la caseta</t>
  </si>
  <si>
    <t>Sellado y sin daño</t>
  </si>
  <si>
    <t>2.4.1</t>
  </si>
  <si>
    <t>2.4 Secador Nafion y drenaje</t>
  </si>
  <si>
    <t>Estado del Nafion</t>
  </si>
  <si>
    <t>Deterioro del secador Nafion integrado</t>
  </si>
  <si>
    <t>Sin deterioro</t>
  </si>
  <si>
    <t>2.4.2</t>
  </si>
  <si>
    <t>Water drain</t>
  </si>
  <si>
    <t>Drenaje de agua despejado y operativo</t>
  </si>
  <si>
    <t>Despejado</t>
  </si>
  <si>
    <t>2.4.3</t>
  </si>
  <si>
    <t>Mangueras de la línea neumática</t>
  </si>
  <si>
    <t>Roturas, fisuras o endurecimiento de las mangueras</t>
  </si>
  <si>
    <t>Sin roturas</t>
  </si>
  <si>
    <t>2.4.4</t>
  </si>
  <si>
    <t>Prueba de luz "First Aid" (obstrucción del tubo)</t>
  </si>
  <si>
    <t>Pasar una luz LED por el tubo de muestra: la luz debe atravesarlo completo, sin bloqueos ni residuos visibles; limpiar con aire comprimido si hay obstrucción</t>
  </si>
  <si>
    <t>La luz debe pasar completa por el tubo</t>
  </si>
  <si>
    <t>Correo GRIMM EDM180 TEST FIRST AID 18A12046</t>
  </si>
  <si>
    <t>2.4.5</t>
  </si>
  <si>
    <t>Trampa de agua y racor de salida (water trap / condensate outlet)</t>
  </si>
  <si>
    <t>Integridad física de la trampa de agua y del racor de salida de condensado, como componentes distintos del secador Nafion</t>
  </si>
  <si>
    <t>Sin daño ni fugas</t>
  </si>
  <si>
    <t>3. Sistema neumático y etapa de secado</t>
  </si>
  <si>
    <t>3.1 Bombas (vacío/secado y muestra)</t>
  </si>
  <si>
    <t>Flujo de la bomba de secado (vacuum flow)</t>
  </si>
  <si>
    <t>Medición del flujo de la bomba de secado en la salida de condensado (condensate outlet)</t>
  </si>
  <si>
    <t>L/min</t>
  </si>
  <si>
    <t>Manual: ~1,8 L/min (válvula de aguja, equipos antiguos) o 2,0-2,2 L/min (tobera crítica, desde 2004). Service Training: 2,0 ±0,1 L/min. 2,45 L/min se registró en campo como valor cercano al límite de reemplazo</t>
  </si>
  <si>
    <t>1205273</t>
  </si>
  <si>
    <t>SER-MAN DUST MONITOR 180 / Service Training.pdf / MT_18A24064_260609</t>
  </si>
  <si>
    <t>EJEMPLO — Flujo en el límite superior del rango; desgaste en el empaque del pistón. Borrar antes de usar el formato.</t>
  </si>
  <si>
    <t>3.1.2</t>
  </si>
  <si>
    <t>Estado del kit de la bomba (bomba de vacío/secado)</t>
  </si>
  <si>
    <t>Desgaste de los componentes internos del kit de la bomba de vacío</t>
  </si>
  <si>
    <t>Sin desgaste significativo</t>
  </si>
  <si>
    <t>3.1.3</t>
  </si>
  <si>
    <t>Empaque del pistón (sealing sleeve) de la bomba de vacío/secado</t>
  </si>
  <si>
    <t>Desgaste del empaque del pistón de la bomba de secado</t>
  </si>
  <si>
    <t>Sin desgaste</t>
  </si>
  <si>
    <t>1204480</t>
  </si>
  <si>
    <t>MT_18A24064_260609</t>
  </si>
  <si>
    <t>3.1.4</t>
  </si>
  <si>
    <t>Ruido y vibración de la bomba de vacío/secado</t>
  </si>
  <si>
    <t>Ruido o vibración anómala de la bomba</t>
  </si>
  <si>
    <t>Sin ruido anómalo</t>
  </si>
  <si>
    <t>Derivado</t>
  </si>
  <si>
    <t>3.1.5</t>
  </si>
  <si>
    <t>Bomba de muestra (Sample Pump)</t>
  </si>
  <si>
    <t>El equipo incorpora una bomba de muestra física, distinta de la bomba de vacío/secado (ítems 3.1.1-3.1.4); verificar presencia, fijación y funcionamiento</t>
  </si>
  <si>
    <t>Operativa, sin fugas ni ruido anómalo</t>
  </si>
  <si>
    <t>3.1.6</t>
  </si>
  <si>
    <t>Depósito de compensación (Compensating Reservoir)</t>
  </si>
  <si>
    <t>Presencia e integridad del depósito de compensación del circuito neumático</t>
  </si>
  <si>
    <t>Presente, sin daño</t>
  </si>
  <si>
    <t>3.2.1</t>
  </si>
  <si>
    <t>3.2 Instrumentación de presión</t>
  </si>
  <si>
    <t>Manómetro de vacío</t>
  </si>
  <si>
    <t>El manómetro entrega lectura y no presenta falla mecánica</t>
  </si>
  <si>
    <t>Debe entregar lectura</t>
  </si>
  <si>
    <t>1201007</t>
  </si>
  <si>
    <t>3.2.2</t>
  </si>
  <si>
    <t>Presión negativa de succión (vacío)</t>
  </si>
  <si>
    <t>Presión negativa generada por la etapa de secado, leída en el manómetro/sensor de vacío</t>
  </si>
  <si>
    <t>kPa</t>
  </si>
  <si>
    <t>-60 ±10 kPa (Service Training); rango técnico general del equipo 0 a -30 mBar</t>
  </si>
  <si>
    <t>3.2.3</t>
  </si>
  <si>
    <t>Presostatos (pressure switches)</t>
  </si>
  <si>
    <t>Operatividad de los presostatos del circuito neumático (hasta tres, según Service Training NEW)</t>
  </si>
  <si>
    <t>Deben conmutar correctamente</t>
  </si>
  <si>
    <t>3.3.1</t>
  </si>
  <si>
    <t>3.3 Estanqueidad</t>
  </si>
  <si>
    <t>Prueba de fugas del circuito (test de presión)</t>
  </si>
  <si>
    <t>Cargar el circuito a 80 mmHg con tensiómetro y verificar la caída de presión</t>
  </si>
  <si>
    <t>mmHg</t>
  </si>
  <si>
    <t>Manual: la caída no debe superar 2 mmHg en 10 s. Service Training: el sistema es estanco si tras 20 s queda por encima de 60 mmHg</t>
  </si>
  <si>
    <t>SER-MAN DUST MONITOR 180 / Service Training.pdf</t>
  </si>
  <si>
    <t>3.3.2</t>
  </si>
  <si>
    <t>O-Rings y conectores del holder</t>
  </si>
  <si>
    <t>Estado de los O-Rings y conectores del cabezal de muestra (holder)</t>
  </si>
  <si>
    <t>C0004x1.2N70 / 1201011</t>
  </si>
  <si>
    <t>3.3.3</t>
  </si>
  <si>
    <t>Alerta "Dryer"</t>
  </si>
  <si>
    <t>Alerta activa de la etapa de secado en el equipo</t>
  </si>
  <si>
    <t>No debe estar activa</t>
  </si>
  <si>
    <t>3.4.1</t>
  </si>
  <si>
    <t>3.4 Flujo de muestra y válvulas</t>
  </si>
  <si>
    <t>Flujo de muestra (sample flow)</t>
  </si>
  <si>
    <t>Caudal de aire de muestreo medido en operación normal</t>
  </si>
  <si>
    <t>1,2 L/min ±3% (Service Training); manual: no debe desviarse más de 0,02 L/min de 1,20 L/min</t>
  </si>
  <si>
    <t>Service Training.pdf / SER-MAN DUST MONITOR 180</t>
  </si>
  <si>
    <t>3.4.2</t>
  </si>
  <si>
    <t>Voltaje de la válvula proporcional (P-Valve)</t>
  </si>
  <si>
    <t>Tensión de control de la válvula proporcional del circuito de flujo</t>
  </si>
  <si>
    <t>V</t>
  </si>
  <si>
    <t>Service Training: 3,7 ±0,4 V. Manual: ~6,5 V en medición (aceptable 6-7 V), ~4,5 V en arranque. Valores no reconciliados entre fuentes: verificar según generación del equipo</t>
  </si>
  <si>
    <t>3.4.3</t>
  </si>
  <si>
    <t>Controlador de aire de purga (Rinsing Air Controller)</t>
  </si>
  <si>
    <t>Flujo del aire de purga/barrido del controlador RAC y su filtro asociado</t>
  </si>
  <si>
    <t>0,3-0,5 L/min; chequeo anual</t>
  </si>
  <si>
    <t>3.4.4</t>
  </si>
  <si>
    <t>Flujo en modo self-test</t>
  </si>
  <si>
    <t>Flujo mostrado durante el ciclo de autodiagnóstico (self-test) del equipo</t>
  </si>
  <si>
    <t>Debe ser 0,0 L/min (o 0,3 L/min según variante); si no, revisar estanqueidad o la válvula</t>
  </si>
  <si>
    <t>Correo GRIMM EDM180 TEST FIRST AID 18A12046 / Correo Flow Error 18A12047</t>
  </si>
  <si>
    <t>3.4.5</t>
  </si>
  <si>
    <t>Válvula de autodiagnóstico (Valve Selftest)</t>
  </si>
  <si>
    <t>Operatividad de la válvula dedicada al ciclo de self-test, distinta de la válvula proporcional (P-Valve)</t>
  </si>
  <si>
    <t>Debe abrir y cerrar correctamente durante el self-test</t>
  </si>
  <si>
    <t>3.4.6</t>
  </si>
  <si>
    <t>Filtro de aire de purga (Rinsing Air Filter)</t>
  </si>
  <si>
    <t>Estado y colmatación del filtro asociado al controlador de aire de purga (RAC, ítem 3.4.3)</t>
  </si>
  <si>
    <t>Sin colmatación</t>
  </si>
  <si>
    <t>4.1.1</t>
  </si>
  <si>
    <t>4. Espectrómetro: cámara de medida y óptica</t>
  </si>
  <si>
    <t>4.1 Estado del recinto</t>
  </si>
  <si>
    <t>Humedad / condensación</t>
  </si>
  <si>
    <t>Presencia de humedad o condensación en el gabinete del espectrómetro</t>
  </si>
  <si>
    <t>Ausencia de humedad</t>
  </si>
  <si>
    <t>MT_18A18033_260108</t>
  </si>
  <si>
    <t>4.1.2</t>
  </si>
  <si>
    <t>Óxido y corrosión</t>
  </si>
  <si>
    <t>Óxido o corrosión en componentes internos por ingreso de humedad</t>
  </si>
  <si>
    <t>Sin óxido ni corrosión</t>
  </si>
  <si>
    <t>4.1.3</t>
  </si>
  <si>
    <t>Limpieza de la cámara de medida</t>
  </si>
  <si>
    <t>Necesidad de limpieza integral de la cámara de medición</t>
  </si>
  <si>
    <t>Cámara limpia</t>
  </si>
  <si>
    <t>4.2.1</t>
  </si>
  <si>
    <t>4.2 Componentes ópticos</t>
  </si>
  <si>
    <t>Espejo y tornillo del espejo</t>
  </si>
  <si>
    <t>Estado del espejo y de su O-Ring de montaje</t>
  </si>
  <si>
    <t>Sin daño ni fuga</t>
  </si>
  <si>
    <t>C00014x2.5NBR70</t>
  </si>
  <si>
    <t>4.2.2</t>
  </si>
  <si>
    <t>Manchas en la óptica</t>
  </si>
  <si>
    <t>Manchas o suciedad que generen ruido electrónico en la medida</t>
  </si>
  <si>
    <t>Óptica libre de manchas</t>
  </si>
  <si>
    <t>MT_18A20034_250703_Mantenimiento</t>
  </si>
  <si>
    <t>4.2.3</t>
  </si>
  <si>
    <t>Boquilla de ingreso de material particulado</t>
  </si>
  <si>
    <t>Estado de la boquilla y su sello neumático</t>
  </si>
  <si>
    <t>Sello neumático íntegro</t>
  </si>
  <si>
    <t>4.3.1</t>
  </si>
  <si>
    <t>4.3 Unidad láser</t>
  </si>
  <si>
    <t>Corriente de operación en alta (La_h)</t>
  </si>
  <si>
    <t>Corriente del diodo láser en alta según software Diagnosis GRIMM</t>
  </si>
  <si>
    <t>mA</t>
  </si>
  <si>
    <t>Ningún documento de referencia (manual, Service Training) da el valor máximo en mA; ver también ítem de potencia óptica (mW) como criterio alternativo</t>
  </si>
  <si>
    <t>PENDIENTE DE VALIDAR</t>
  </si>
  <si>
    <t>X187LDRVR-R</t>
  </si>
  <si>
    <t>MT_18A24064_260609 — PENDIENTE DE VALIDAR</t>
  </si>
  <si>
    <t>4.3.2</t>
  </si>
  <si>
    <t>Valores K-Line: DC_h y DC_diff</t>
  </si>
  <si>
    <t>Lectura de DC_h y DC_diff (DC_h menos DC_d) en el diagnóstico del láser</t>
  </si>
  <si>
    <t>mV</t>
  </si>
  <si>
    <t>DC_h debe ser menor a 500,0 mV; DC_diff (DC_h - DC_d) debe ser menor a 100,0 mV</t>
  </si>
  <si>
    <t>4.3.5</t>
  </si>
  <si>
    <t>Potencia óptica del láser</t>
  </si>
  <si>
    <t>Potencia óptica medida en alta y en baja (modo dúplex)</t>
  </si>
  <si>
    <t>mW</t>
  </si>
  <si>
    <t>Alta: 30 ±10 mW. Baja: 0,4 ±0,1 mW. Potencia máxima de fábrica 60 mW; clase láser 3B (máx. 500 mW, 660 nm)</t>
  </si>
  <si>
    <t>4.3.3</t>
  </si>
  <si>
    <t>Respuesta a verificación con dolomita</t>
  </si>
  <si>
    <t>El láser reacciona durante el procedimiento de verificación con dolomita</t>
  </si>
  <si>
    <t>Debe presentar reacción</t>
  </si>
  <si>
    <t>4.3.4</t>
  </si>
  <si>
    <t>Capacidad de ajuste de potenciómetros</t>
  </si>
  <si>
    <t>Los potenciómetros permiten llevar la ganancia al rango operativo</t>
  </si>
  <si>
    <t>Debe permitir el ajuste</t>
  </si>
  <si>
    <t>4.4.1</t>
  </si>
  <si>
    <t>4.4 Pruebas funcionales del espectrómetro</t>
  </si>
  <si>
    <t>Prueba de filtro cero (0-Filter)</t>
  </si>
  <si>
    <t>Colocar filtro de partículas cero en la entrada y verificar el conteo</t>
  </si>
  <si>
    <t>Todos los conteos deben ser cero</t>
  </si>
  <si>
    <t>Service Training.pdf / Correo EDM180C fault (dic-2021)</t>
  </si>
  <si>
    <t>4.4.2</t>
  </si>
  <si>
    <t>Trampa de luz (light-trap)</t>
  </si>
  <si>
    <t>Limpieza y estado del vidrio especial de la trampa de luz de la cámara de medida</t>
  </si>
  <si>
    <t>Limpio, sin residuos; limpiar con alcohol</t>
  </si>
  <si>
    <t>SER-MAN DUST MONITOR 180</t>
  </si>
  <si>
    <t>4.4.3</t>
  </si>
  <si>
    <t>Preamplificador y fotodiodo del detector</t>
  </si>
  <si>
    <t>Corrosión o daño visible en el fotodiodo/preamplificador dentro de la cámara de medida</t>
  </si>
  <si>
    <t>Sin corrosión; CO_h/CO_d anormalmente altos indican problema aquí. Reparación solo en fábrica (Alemania)</t>
  </si>
  <si>
    <t>Correo EDM180C fault (dic-2021)</t>
  </si>
  <si>
    <t>5.1.1</t>
  </si>
  <si>
    <t>5. Electrónica y control</t>
  </si>
  <si>
    <t>5.1 Tarjetas</t>
  </si>
  <si>
    <t>Tarjeta digital del espectrómetro</t>
  </si>
  <si>
    <t>Operatividad de la tarjeta digital</t>
  </si>
  <si>
    <t>Debe permitir la operación del equipo</t>
  </si>
  <si>
    <t>X187486</t>
  </si>
  <si>
    <t>5.1.2</t>
  </si>
  <si>
    <t>Tarjeta análoga</t>
  </si>
  <si>
    <t>Estado y operatividad de la tarjeta análoga</t>
  </si>
  <si>
    <t>Operativa</t>
  </si>
  <si>
    <t>5.1.3</t>
  </si>
  <si>
    <t>Aislante de apantallamiento</t>
  </si>
  <si>
    <t>Presencia del aislante entre la tarjeta digital y la análoga</t>
  </si>
  <si>
    <t>Debe estar presente (su ausencia genera ruido electrónico)</t>
  </si>
  <si>
    <t>5.1.4</t>
  </si>
  <si>
    <t>Tarjeta driver del láser (Laser Driver Board)</t>
  </si>
  <si>
    <t>Estado y operatividad de la tarjeta que controla el diodo láser</t>
  </si>
  <si>
    <t>5.1.5</t>
  </si>
  <si>
    <t>Tarjeta del circuito LED</t>
  </si>
  <si>
    <t>Estado y operatividad de la tarjeta del circuito LED del equipo</t>
  </si>
  <si>
    <t>5.2.1</t>
  </si>
  <si>
    <t>5.2 Ajustes y ganancias</t>
  </si>
  <si>
    <t>Ganancia canal F</t>
  </si>
  <si>
    <t>Desviación de la ganancia del canal F respecto al espectrómetro de referencia</t>
  </si>
  <si>
    <t>%</t>
  </si>
  <si>
    <t>Entre -2 % y +5 %</t>
  </si>
  <si>
    <t>5.2.2</t>
  </si>
  <si>
    <t>Ganancia canal G</t>
  </si>
  <si>
    <t>Desviación de la ganancia del canal G respecto al espectrómetro de referencia</t>
  </si>
  <si>
    <t>5.2.3</t>
  </si>
  <si>
    <t>Ajuste digital de ganancias (canales 0 a J)</t>
  </si>
  <si>
    <t>Desviación tras el ajuste digital de ganancias de los canales 0 a J, en Dolomita</t>
  </si>
  <si>
    <t>±2% (recomendado calibrar 1-2% hacia el lado negativo para compensar la verificación con aire ambiente)</t>
  </si>
  <si>
    <t>5.3.1</t>
  </si>
  <si>
    <t>5.3 Alimentación y memoria</t>
  </si>
  <si>
    <t>Batería 3V tarjeta PCMCIA</t>
  </si>
  <si>
    <t>Estado / tensión de la batería CR2025</t>
  </si>
  <si>
    <t>Tensión mínima 2,8 V</t>
  </si>
  <si>
    <t>CR2025</t>
  </si>
  <si>
    <t>5.3.2</t>
  </si>
  <si>
    <t>Tarjeta PCMCIA / almacenamiento</t>
  </si>
  <si>
    <t>Lectura y escritura de datos en la tarjeta de memoria</t>
  </si>
  <si>
    <t>Debe leer y escribir</t>
  </si>
  <si>
    <t>5.3.3</t>
  </si>
  <si>
    <t>Cableado y conectores internos</t>
  </si>
  <si>
    <t>Estado de cableado, conectores y bornes internos</t>
  </si>
  <si>
    <t>Sin daño ni corrosión</t>
  </si>
  <si>
    <t>5.4.1</t>
  </si>
  <si>
    <t>5.4 Software de diagnóstico</t>
  </si>
  <si>
    <t>Lectura en Diagnosis GRIMM</t>
  </si>
  <si>
    <t>Los valores del software oficial indican operación correcta</t>
  </si>
  <si>
    <t>Valores dentro de rango</t>
  </si>
  <si>
    <t>5.4.2</t>
  </si>
  <si>
    <t>Captura del diagnóstico</t>
  </si>
  <si>
    <t>Se adjunta captura de pantalla del software de diagnóstico</t>
  </si>
  <si>
    <t>Debe adjuntarse</t>
  </si>
  <si>
    <t>5.5.1</t>
  </si>
  <si>
    <t>5.5 Reloj interno y trazabilidad</t>
  </si>
  <si>
    <t>Reloj interno (RTC)</t>
  </si>
  <si>
    <t>Persistencia de fecha y hora tras apagar el equipo; verificar en Hyperterminal esperando unos minutos</t>
  </si>
  <si>
    <t>Fecha/hora estable y correcta</t>
  </si>
  <si>
    <t>PCF8583F</t>
  </si>
  <si>
    <t>Correo Date and hour problem SN 18A18103</t>
  </si>
  <si>
    <t>5.5.2</t>
  </si>
  <si>
    <t>Batería del reloj interno</t>
  </si>
  <si>
    <t>Estado de la pila de litio del reloj interno (distinta de la batería de la tarjeta de memoria)</t>
  </si>
  <si>
    <t>3,6 V nominal (SL-389, 1AH)</t>
  </si>
  <si>
    <t>SL-389</t>
  </si>
  <si>
    <t>6.1.1</t>
  </si>
  <si>
    <t>6. Filtros y consumibles</t>
  </si>
  <si>
    <t>6.1 Filtros</t>
  </si>
  <si>
    <t>Filtro de disposición 9933-05-BQ</t>
  </si>
  <si>
    <t>Colmatación y estado del filtro de disposición</t>
  </si>
  <si>
    <t>J04993305BQ</t>
  </si>
  <si>
    <t>6.1.2</t>
  </si>
  <si>
    <t>Fecha del último cambio de filtro</t>
  </si>
  <si>
    <t>Registro de la fecha del último reemplazo</t>
  </si>
  <si>
    <t>Según periodicidad del plan de mantenimiento</t>
  </si>
  <si>
    <t>6.1.3</t>
  </si>
  <si>
    <t>Filtro principal de polvo (main dust filter)</t>
  </si>
  <si>
    <t>Colmatación del filtro principal, distinto del filtro de disposición</t>
  </si>
  <si>
    <t>Cambiar según carga acumulada: ~20.000 µg/120 días (filtro), ~40.000 µg/240 días (+ chequeo ventilador), ~60.000 µg/360 días (mantenimiento anual completo)</t>
  </si>
  <si>
    <t>6.1.4</t>
  </si>
  <si>
    <t>Filtro CQ de autodiagnóstico (CQ-Filter Selftest)</t>
  </si>
  <si>
    <t>Estado del filtro CQ dedicado al ciclo de self-test</t>
  </si>
  <si>
    <t>6.1.5</t>
  </si>
  <si>
    <t>Filtro CQ de vacío (CQ-Filter Vacuum)</t>
  </si>
  <si>
    <t>Estado del filtro CQ dedicado a la etapa de vacío</t>
  </si>
  <si>
    <t>6.1.6</t>
  </si>
  <si>
    <t>Reinicio del contador de filtro (umbral 60.000 µg)</t>
  </si>
  <si>
    <t>Verificar si el contador de carga del filtro alcanzó el umbral de 60.000 µg/360 días y, de ser así, reiniciarlo tras completar el mantenimiento anual</t>
  </si>
  <si>
    <t>Reiniciar solo si se alcanzó el umbral y se completó el mantenimiento</t>
  </si>
  <si>
    <t>Service Training NEW v0.8 / Service Training.pdf</t>
  </si>
  <si>
    <t>6.2.1</t>
  </si>
  <si>
    <t>6.2 Juntas y sellos</t>
  </si>
  <si>
    <t>O-Ring 4x1 mm entrada de muestreo</t>
  </si>
  <si>
    <t>Estado de la junta tórica de la entrada de muestreo</t>
  </si>
  <si>
    <t>6.2.2</t>
  </si>
  <si>
    <t>O-Ring 44x3 mm</t>
  </si>
  <si>
    <t>Estado de la junta tórica 44x3 mm</t>
  </si>
  <si>
    <t>C00044X3S70</t>
  </si>
  <si>
    <t>6.2.3</t>
  </si>
  <si>
    <t>Set de tornillería</t>
  </si>
  <si>
    <t>Estado y completitud de la tornillería de servicio</t>
  </si>
  <si>
    <t>Completa y sin deformación</t>
  </si>
  <si>
    <t>7.1.1</t>
  </si>
  <si>
    <t>7. Sensores auxiliares</t>
  </si>
  <si>
    <t>7.1 Sensor ambiental</t>
  </si>
  <si>
    <t>Sensor de T y HR ambiente</t>
  </si>
  <si>
    <t>Presencia del sensor de humedad y temperatura ambiente</t>
  </si>
  <si>
    <t>Debe estar presente para poder verificar los parámetros</t>
  </si>
  <si>
    <t>7.1.2</t>
  </si>
  <si>
    <t>Lectura de temperatura ambiente</t>
  </si>
  <si>
    <t>Valor de temperatura ambiente reportado por el equipo</t>
  </si>
  <si>
    <t>°C</t>
  </si>
  <si>
    <t>Coherente con patrón de referencia</t>
  </si>
  <si>
    <t>7.1.3</t>
  </si>
  <si>
    <t>Lectura de humedad relativa</t>
  </si>
  <si>
    <t>Valor de humedad relativa reportado por el equipo</t>
  </si>
  <si>
    <t>%HR</t>
  </si>
  <si>
    <t>7.1.4</t>
  </si>
  <si>
    <t>Sensor de presión atmosférica (barométrica)</t>
  </si>
  <si>
    <t>Lectura de presión atmosférica del equipo contrastada contra un valor de referencia local</t>
  </si>
  <si>
    <t>hPa</t>
  </si>
  <si>
    <t>Depende de la altitud de instalación (no hay un rango único válido para todos los sitios); en Bogotá el valor de referencia ronda 740-750 hPa. Un sensor saturado (salida cercana a 10 V) indica falla y debe reemplazarse/recalibrarse</t>
  </si>
  <si>
    <t>Correo Sensor Presión EDM180 18A12048 / Correo GRIMM Flow Error 18A12047</t>
  </si>
  <si>
    <t>7.2.1</t>
  </si>
  <si>
    <t>7.2 Sensores internos</t>
  </si>
  <si>
    <t>Temperatura interna del equipo</t>
  </si>
  <si>
    <t>Temperatura interna reportada en el software de diagnóstico</t>
  </si>
  <si>
    <t>Dentro del rango del fabricante</t>
  </si>
  <si>
    <t>7.2.2</t>
  </si>
  <si>
    <t>Sensor de flujo</t>
  </si>
  <si>
    <t>Coherencia de la lectura del sensor de flujo</t>
  </si>
  <si>
    <t>Coherente con la medición externa</t>
  </si>
  <si>
    <t>8.1.1</t>
  </si>
  <si>
    <t>8. Gabinete, montaje e instalación</t>
  </si>
  <si>
    <t>8.1 Gabinete</t>
  </si>
  <si>
    <t>Estado externo de la carcasa</t>
  </si>
  <si>
    <t>Golpes, corrosión y pintura de la carcasa</t>
  </si>
  <si>
    <t>Sin daño estructural</t>
  </si>
  <si>
    <t>8.1.2</t>
  </si>
  <si>
    <t>Sellado y hermeticidad</t>
  </si>
  <si>
    <t>Hermeticidad del gabinete frente al ingreso de humedad</t>
  </si>
  <si>
    <t>Hermético</t>
  </si>
  <si>
    <t>8.1.3</t>
  </si>
  <si>
    <t>Ventilación y disipación (ventilador/fan)</t>
  </si>
  <si>
    <t>Rejillas, ventilación y funcionamiento del ventilador de refrigeración libres de obstrucción</t>
  </si>
  <si>
    <t>Libre de obstrucción; chequeo del ventilador junto con el filtro principal (~240 días)</t>
  </si>
  <si>
    <t>8.1.4</t>
  </si>
  <si>
    <t>Teclado</t>
  </si>
  <si>
    <t>Verificación de todas las teclas, incluida tecla oculta de servicio</t>
  </si>
  <si>
    <t>Todas las teclas responden</t>
  </si>
  <si>
    <t>X602</t>
  </si>
  <si>
    <t>8.1.5</t>
  </si>
  <si>
    <t>Mecanismo de elevación (lift) del bastidor</t>
  </si>
  <si>
    <t>Funcionamiento del sensor/palanca de lift al levantar el bastidor para servicio</t>
  </si>
  <si>
    <t>Sin alarma "Self Test LIFT NOT OK"</t>
  </si>
  <si>
    <t>8.2.1</t>
  </si>
  <si>
    <t>8.2 Montaje en estación</t>
  </si>
  <si>
    <t>Fijación mecánica del equipo</t>
  </si>
  <si>
    <t>Anclaje y fijación del equipo en la estación</t>
  </si>
  <si>
    <t>Firme y sin holgura</t>
  </si>
  <si>
    <t>8.2.2</t>
  </si>
  <si>
    <t>Paso del tubo por el shelter</t>
  </si>
  <si>
    <t>Sellado del paso del tubo de muestra a través del shelter</t>
  </si>
  <si>
    <t>Sellado con acople original</t>
  </si>
  <si>
    <t>8.2.3</t>
  </si>
  <si>
    <t>Ingreso de agua al shelter</t>
  </si>
  <si>
    <t>Evidencia de filtraciones o humedad en el shelter</t>
  </si>
  <si>
    <t>Sin filtraciones</t>
  </si>
  <si>
    <t>8.3.1</t>
  </si>
  <si>
    <t>8.3 Servicios</t>
  </si>
  <si>
    <t>Alimentación eléctrica y tierra</t>
  </si>
  <si>
    <t>Tensión de alimentación y puesta a tierra</t>
  </si>
  <si>
    <t>Conforme a la instalación requerida</t>
  </si>
  <si>
    <t>8.3.2</t>
  </si>
  <si>
    <t>Comunicaciones / adquisición de datos</t>
  </si>
  <si>
    <t>Enlace de comunicaciones con el datalogger o sistema de adquisición</t>
  </si>
  <si>
    <t>Enlace estable</t>
  </si>
  <si>
    <t>8.3.3</t>
  </si>
  <si>
    <t>Puertos RS-232</t>
  </si>
  <si>
    <t>Presencia y estado físico de los dos puertos RS-232 de comunicación</t>
  </si>
  <si>
    <t>Presentes y sin daño</t>
  </si>
  <si>
    <t>Leyenda:</t>
  </si>
  <si>
    <t>Columnas A-N = definición del ítem (catálogo maestro). Columnas O-S en amarillo = diligencia el técnico en cada visita.</t>
  </si>
  <si>
    <t>LI / LS = límite inferior y superior del criterio numérico. «PENDIENTE DE VALIDAR» = falta confirmar contra el manual GRIMM.</t>
  </si>
  <si>
    <t>Q (Verificación de rango) se calcula solo para ítems de tipo Numérico, comparando el Valor medido (P) contra LI/LS de la misma fila.</t>
  </si>
  <si>
    <t>RESUMEN DE CONFORMIDAD POR NIVEL MACRO</t>
  </si>
  <si>
    <t>Calculado automáticamente sobre la hoja Inspección.</t>
  </si>
  <si>
    <t>Ítems</t>
  </si>
  <si>
    <t>% conformidad</t>
  </si>
  <si>
    <t>Fuera de rango</t>
  </si>
  <si>
    <t>TOTAL</t>
  </si>
  <si>
    <t>% conformidad = Conforme / (Ítems − No aplica − Pendiente).</t>
  </si>
  <si>
    <t>Nota: con la hoja recién abierta todos los ítems están en «Pendiente», por lo que el % queda vacío hasta diligenciar.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</si>
</sst>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5" x14ac:knownFonts="1">
    <font>
      <sz val="11"/>
      <color theme="1"/>
      <name val="Calibri"/>
      <family val="2"/>
      <charset val="1"/>
    </font>
    <font>
      <b/>
      <sz val="15"/>
      <color rgb="FF1F3864"/>
      <name val="Arial"/>
      <charset val="1"/>
    </font>
    <font>
      <i/>
      <sz val="10"/>
      <color rgb="FF595959"/>
      <name val="Arial"/>
      <charset val="1"/>
    </font>
    <font>
      <sz val="10"/>
      <name val="Arial"/>
      <charset val="1"/>
    </font>
    <font>
      <b/>
      <sz val="11"/>
      <color rgb="FF1F3864"/>
      <name val="Arial"/>
      <charset val="1"/>
    </font>
    <font>
      <b/>
      <sz val="9"/>
      <color rgb="FFFFFFFF"/>
      <name val="Arial"/>
      <charset val="1"/>
    </font>
    <font>
      <sz val="9"/>
      <name val="Arial"/>
      <charset val="1"/>
    </font>
    <font>
      <b/>
      <sz val="10"/>
      <color rgb="FFFFFFFF"/>
      <name val="Arial"/>
      <charset val="1"/>
    </font>
    <font>
      <b/>
      <sz val="14"/>
      <color rgb="FF1F3864"/>
      <name val="Arial"/>
      <charset val="1"/>
    </font>
    <font>
      <b/>
      <sz val="10"/>
      <name val="Arial"/>
      <charset val="1"/>
    </font>
    <font>
      <i/>
      <sz val="8"/>
      <color rgb="FFC00000"/>
      <name val="Arial"/>
      <charset val="1"/>
    </font>
    <font>
      <b/>
      <sz val="9"/>
      <name val="Arial"/>
      <charset val="1"/>
    </font>
    <font>
      <b/>
      <sz val="13"/>
      <color rgb="FF1F3864"/>
      <name val="Arial"/>
      <charset val="1"/>
    </font>
    <font>
      <i/>
      <sz val="9"/>
      <color rgb="FF595959"/>
      <name val="Arial"/>
      <charset val="1"/>
    </font>
    <font>
      <i/>
      <sz val="9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EB9C"/>
      </patternFill>
    </fill>
    <fill>
      <patternFill patternType="solid">
        <fgColor rgb="FFD9E2F3"/>
        <bgColor rgb="FFC6EFC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/>
    <xf numFmtId="0" fontId="6" fillId="3" borderId="1" xfId="0" applyFont="1" applyFill="1" applyBorder="1"/>
    <xf numFmtId="0" fontId="7" fillId="2" borderId="0" xfId="0" applyFont="1" applyFill="1"/>
    <xf numFmtId="0" fontId="8" fillId="0" borderId="0" xfId="0" applyFont="1"/>
    <xf numFmtId="0" fontId="9" fillId="0" borderId="0" xfId="0" applyFont="1"/>
    <xf numFmtId="0" fontId="3" fillId="3" borderId="1" xfId="0" applyFont="1" applyFill="1" applyBorder="1"/>
    <xf numFmtId="0" fontId="7" fillId="2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vertical="top"/>
    </xf>
    <xf numFmtId="0" fontId="6" fillId="4" borderId="1" xfId="0" applyFont="1" applyFill="1" applyBorder="1" applyAlignment="1">
      <alignment vertical="top" wrapText="1"/>
    </xf>
    <xf numFmtId="0" fontId="6" fillId="3" borderId="1" xfId="0" applyFont="1" applyFill="1" applyBorder="1" applyAlignment="1">
      <alignment vertical="top"/>
    </xf>
    <xf numFmtId="0" fontId="6" fillId="3" borderId="1" xfId="0" applyFont="1" applyFill="1" applyBorder="1" applyAlignment="1">
      <alignment vertical="top" wrapText="1"/>
    </xf>
    <xf numFmtId="0" fontId="6" fillId="0" borderId="1" xfId="0" applyFont="1" applyBorder="1" applyAlignment="1">
      <alignment vertical="top"/>
    </xf>
    <xf numFmtId="0" fontId="6" fillId="0" borderId="1" xfId="0" applyFont="1" applyBorder="1" applyAlignment="1">
      <alignment vertical="top" wrapText="1"/>
    </xf>
    <xf numFmtId="0" fontId="10" fillId="0" borderId="1" xfId="0" applyFont="1" applyBorder="1" applyAlignment="1">
      <alignment vertical="top"/>
    </xf>
    <xf numFmtId="0" fontId="11" fillId="0" borderId="0" xfId="0" applyFont="1"/>
    <xf numFmtId="0" fontId="6" fillId="0" borderId="0" xfId="0" applyFont="1"/>
    <xf numFmtId="0" fontId="12" fillId="0" borderId="0" xfId="0" applyFont="1"/>
    <xf numFmtId="0" fontId="13" fillId="0" borderId="0" xfId="0" applyFont="1"/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164" fontId="3" fillId="0" borderId="1" xfId="0" applyNumberFormat="1" applyFont="1" applyBorder="1" applyAlignment="1">
      <alignment vertical="center"/>
    </xf>
    <xf numFmtId="0" fontId="9" fillId="4" borderId="1" xfId="0" applyFont="1" applyFill="1" applyBorder="1"/>
    <xf numFmtId="164" fontId="9" fillId="4" borderId="1" xfId="0" applyNumberFormat="1" applyFont="1" applyFill="1" applyBorder="1"/>
    <xf numFmtId="0" fontId="14" fillId="0" borderId="0" xfId="0" applyFont="1"/>
  </cellXfs>
  <cellStyles count="1">
    <cellStyle name="Normal" xfId="0" builtinId="0"/>
  </cellStyles>
  <dxfs count="4">
    <dxf>
      <font>
        <sz val="9"/>
        <color rgb="FF9C0006"/>
        <name val="Arial"/>
        <charset val="1"/>
      </font>
      <fill>
        <patternFill>
          <bgColor rgb="FFFFC7CE"/>
        </patternFill>
      </fill>
    </dxf>
    <dxf>
      <font>
        <sz val="9"/>
        <color rgb="FF9C5700"/>
        <name val="Arial"/>
        <charset val="1"/>
      </font>
      <fill>
        <patternFill>
          <bgColor rgb="FFFFEB9C"/>
        </patternFill>
      </fill>
    </dxf>
    <dxf>
      <font>
        <sz val="9"/>
        <color rgb="FF9C0006"/>
        <name val="Arial"/>
        <charset val="1"/>
      </font>
      <fill>
        <patternFill>
          <bgColor rgb="FFFFC7CE"/>
        </patternFill>
      </fill>
    </dxf>
    <dxf>
      <font>
        <sz val="9"/>
        <color rgb="FF006100"/>
        <name val="Arial"/>
        <charset val="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C57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5"/>
  <sheetViews>
    <sheetView showGridLines="0" zoomScaleNormal="100" workbookViewId="0"/>
  </sheetViews>
  <sheetFormatPr baseColWidth="10" defaultColWidth="8.7109375" defaultRowHeight="15" x14ac:dyDescent="0.25"/>
  <cols>
    <col min="1" max="1" width="22" customWidth="1"/>
    <col min="2" max="2" width="34" customWidth="1"/>
    <col min="3" max="3" width="20" customWidth="1"/>
    <col min="4" max="4" width="14" customWidth="1"/>
    <col min="5" max="5" width="10" customWidth="1"/>
    <col min="6" max="6" width="60" customWidth="1"/>
  </cols>
  <sheetData>
    <row r="1" spans="1:1" ht="19.5" x14ac:dyDescent="0.3">
      <c r="A1" s="1" t="s">
        <v>0</v>
      </c>
    </row>
    <row r="2" spans="1:1" x14ac:dyDescent="0.25">
      <c r="A2" s="2" t="s">
        <v>1</v>
      </c>
    </row>
    <row r="3" spans="1:1" x14ac:dyDescent="0.25">
      <c r="A3" s="3"/>
    </row>
    <row r="4" spans="1:1" x14ac:dyDescent="0.25">
      <c r="A4" s="4" t="s">
        <v>2</v>
      </c>
    </row>
    <row r="5" spans="1:1" x14ac:dyDescent="0.25">
      <c r="A5" s="3" t="s">
        <v>3</v>
      </c>
    </row>
    <row r="6" spans="1:1" x14ac:dyDescent="0.25">
      <c r="A6" s="3" t="s">
        <v>4</v>
      </c>
    </row>
    <row r="7" spans="1:1" x14ac:dyDescent="0.25">
      <c r="A7" s="3" t="s">
        <v>5</v>
      </c>
    </row>
    <row r="8" spans="1:1" x14ac:dyDescent="0.25">
      <c r="A8" s="3" t="s">
        <v>6</v>
      </c>
    </row>
    <row r="9" spans="1:1" x14ac:dyDescent="0.25">
      <c r="A9" s="3" t="s">
        <v>7</v>
      </c>
    </row>
    <row r="10" spans="1:1" x14ac:dyDescent="0.25">
      <c r="A10" s="3" t="s">
        <v>8</v>
      </c>
    </row>
    <row r="11" spans="1:1" x14ac:dyDescent="0.25">
      <c r="A11" s="3" t="s">
        <v>9</v>
      </c>
    </row>
    <row r="12" spans="1:1" x14ac:dyDescent="0.25">
      <c r="A12" s="3" t="s">
        <v>10</v>
      </c>
    </row>
    <row r="13" spans="1:1" x14ac:dyDescent="0.25">
      <c r="A13" s="3" t="s">
        <v>11</v>
      </c>
    </row>
    <row r="14" spans="1:1" x14ac:dyDescent="0.25">
      <c r="A14" s="3" t="s">
        <v>12</v>
      </c>
    </row>
    <row r="15" spans="1:1" x14ac:dyDescent="0.25">
      <c r="A15" s="3" t="s">
        <v>13</v>
      </c>
    </row>
    <row r="16" spans="1:1" x14ac:dyDescent="0.25">
      <c r="A16" s="3"/>
    </row>
    <row r="17" spans="1:1" x14ac:dyDescent="0.25">
      <c r="A17" s="4" t="s">
        <v>14</v>
      </c>
    </row>
    <row r="18" spans="1:1" x14ac:dyDescent="0.25">
      <c r="A18" s="3" t="s">
        <v>15</v>
      </c>
    </row>
    <row r="19" spans="1:1" x14ac:dyDescent="0.25">
      <c r="A19" s="3" t="s">
        <v>16</v>
      </c>
    </row>
    <row r="20" spans="1:1" x14ac:dyDescent="0.25">
      <c r="A20" s="3" t="s">
        <v>17</v>
      </c>
    </row>
    <row r="21" spans="1:1" x14ac:dyDescent="0.25">
      <c r="A21" s="3" t="s">
        <v>18</v>
      </c>
    </row>
    <row r="22" spans="1:1" x14ac:dyDescent="0.25">
      <c r="A22" s="3" t="s">
        <v>19</v>
      </c>
    </row>
    <row r="23" spans="1:1" x14ac:dyDescent="0.25">
      <c r="A23" s="3"/>
    </row>
    <row r="24" spans="1:1" x14ac:dyDescent="0.25">
      <c r="A24" s="4" t="s">
        <v>20</v>
      </c>
    </row>
    <row r="25" spans="1:1" x14ac:dyDescent="0.25">
      <c r="A25" s="3" t="s">
        <v>21</v>
      </c>
    </row>
    <row r="26" spans="1:1" x14ac:dyDescent="0.25">
      <c r="A26" s="3" t="s">
        <v>22</v>
      </c>
    </row>
    <row r="27" spans="1:1" x14ac:dyDescent="0.25">
      <c r="A27" s="3" t="s">
        <v>23</v>
      </c>
    </row>
    <row r="28" spans="1:1" x14ac:dyDescent="0.25">
      <c r="A28" s="3" t="s">
        <v>24</v>
      </c>
    </row>
    <row r="29" spans="1:1" x14ac:dyDescent="0.25">
      <c r="A29" s="3" t="s">
        <v>25</v>
      </c>
    </row>
    <row r="30" spans="1:1" x14ac:dyDescent="0.25">
      <c r="A30" s="3" t="s">
        <v>26</v>
      </c>
    </row>
    <row r="31" spans="1:1" x14ac:dyDescent="0.25">
      <c r="A31" s="3"/>
    </row>
    <row r="32" spans="1:1" x14ac:dyDescent="0.25">
      <c r="A32" s="4" t="s">
        <v>27</v>
      </c>
    </row>
    <row r="33" spans="1:1" x14ac:dyDescent="0.25">
      <c r="A33" s="3" t="s">
        <v>28</v>
      </c>
    </row>
    <row r="34" spans="1:1" x14ac:dyDescent="0.25">
      <c r="A34" s="3" t="s">
        <v>29</v>
      </c>
    </row>
    <row r="35" spans="1:1" x14ac:dyDescent="0.25">
      <c r="A35" s="3" t="s">
        <v>30</v>
      </c>
    </row>
    <row r="36" spans="1:1" x14ac:dyDescent="0.25">
      <c r="A36" s="3" t="s">
        <v>31</v>
      </c>
    </row>
    <row r="37" spans="1:1" x14ac:dyDescent="0.25">
      <c r="A37" s="3"/>
    </row>
    <row r="38" spans="1:1" x14ac:dyDescent="0.25">
      <c r="A38" s="3" t="s">
        <v>32</v>
      </c>
    </row>
    <row r="39" spans="1:1" x14ac:dyDescent="0.25">
      <c r="A39" s="3" t="s">
        <v>33</v>
      </c>
    </row>
    <row r="40" spans="1:1" x14ac:dyDescent="0.25">
      <c r="A40" s="3"/>
    </row>
    <row r="41" spans="1:1" x14ac:dyDescent="0.25">
      <c r="A41" s="4" t="s">
        <v>34</v>
      </c>
    </row>
    <row r="42" spans="1:1" x14ac:dyDescent="0.25">
      <c r="A42" s="3"/>
    </row>
    <row r="43" spans="1:1" x14ac:dyDescent="0.25">
      <c r="A43" s="4" t="s">
        <v>35</v>
      </c>
    </row>
    <row r="44" spans="1:1" x14ac:dyDescent="0.25">
      <c r="A44" s="3" t="s">
        <v>36</v>
      </c>
    </row>
    <row r="45" spans="1:1" x14ac:dyDescent="0.25">
      <c r="A45" s="3" t="s">
        <v>37</v>
      </c>
    </row>
    <row r="46" spans="1:1" x14ac:dyDescent="0.25">
      <c r="A46" s="3" t="s">
        <v>38</v>
      </c>
    </row>
    <row r="47" spans="1:1" x14ac:dyDescent="0.25">
      <c r="A47" s="3" t="s">
        <v>39</v>
      </c>
    </row>
    <row r="48" spans="1:1" x14ac:dyDescent="0.25">
      <c r="A48" s="3" t="s">
        <v>40</v>
      </c>
    </row>
    <row r="49" spans="1:6" x14ac:dyDescent="0.25">
      <c r="A49" s="3" t="s">
        <v>41</v>
      </c>
    </row>
    <row r="50" spans="1:6" x14ac:dyDescent="0.25">
      <c r="A50" s="3" t="s">
        <v>42</v>
      </c>
    </row>
    <row r="51" spans="1:6" x14ac:dyDescent="0.25">
      <c r="A51" s="3" t="s">
        <v>43</v>
      </c>
    </row>
    <row r="52" spans="1:6" x14ac:dyDescent="0.25">
      <c r="A52" s="3" t="s">
        <v>44</v>
      </c>
    </row>
    <row r="53" spans="1:6" x14ac:dyDescent="0.25">
      <c r="A53" s="3" t="s">
        <v>45</v>
      </c>
    </row>
    <row r="54" spans="1:6" x14ac:dyDescent="0.25">
      <c r="A54" s="5" t="s">
        <v>46</v>
      </c>
      <c r="B54" s="5" t="s">
        <v>47</v>
      </c>
      <c r="C54" s="5" t="s">
        <v>48</v>
      </c>
      <c r="D54" s="5" t="s">
        <v>49</v>
      </c>
      <c r="E54" s="5" t="s">
        <v>50</v>
      </c>
      <c r="F54" s="5" t="s">
        <v>51</v>
      </c>
    </row>
    <row r="55" spans="1:6" x14ac:dyDescent="0.25">
      <c r="A55" s="6" t="s">
        <v>52</v>
      </c>
      <c r="B55" s="6" t="s">
        <v>53</v>
      </c>
      <c r="C55" s="6" t="s">
        <v>54</v>
      </c>
      <c r="D55" s="6">
        <v>2.4500000000000002</v>
      </c>
      <c r="E55" s="6" t="s">
        <v>55</v>
      </c>
      <c r="F55" s="6" t="s">
        <v>56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zoomScaleNormal="100" workbookViewId="0"/>
  </sheetViews>
  <sheetFormatPr baseColWidth="10" defaultColWidth="8.7109375" defaultRowHeight="15" x14ac:dyDescent="0.25"/>
  <cols>
    <col min="1" max="1" width="22" customWidth="1"/>
    <col min="2" max="2" width="16" customWidth="1"/>
    <col min="3" max="3" width="14" customWidth="1"/>
  </cols>
  <sheetData>
    <row r="1" spans="1:3" x14ac:dyDescent="0.25">
      <c r="A1" s="7" t="s">
        <v>48</v>
      </c>
      <c r="B1" s="7" t="s">
        <v>57</v>
      </c>
      <c r="C1" s="7" t="s">
        <v>58</v>
      </c>
    </row>
    <row r="2" spans="1:3" x14ac:dyDescent="0.25">
      <c r="A2" s="3" t="s">
        <v>59</v>
      </c>
      <c r="B2" s="3" t="s">
        <v>55</v>
      </c>
      <c r="C2" s="3" t="s">
        <v>55</v>
      </c>
    </row>
    <row r="3" spans="1:3" x14ac:dyDescent="0.25">
      <c r="A3" s="3" t="s">
        <v>60</v>
      </c>
      <c r="B3" s="3" t="s">
        <v>61</v>
      </c>
      <c r="C3" s="3" t="s">
        <v>61</v>
      </c>
    </row>
    <row r="4" spans="1:3" x14ac:dyDescent="0.25">
      <c r="A4" s="3" t="s">
        <v>54</v>
      </c>
      <c r="B4" s="3" t="s">
        <v>62</v>
      </c>
    </row>
    <row r="5" spans="1:3" x14ac:dyDescent="0.25">
      <c r="A5" s="3" t="s">
        <v>62</v>
      </c>
    </row>
    <row r="6" spans="1:3" x14ac:dyDescent="0.25">
      <c r="A6" s="3" t="s">
        <v>63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15"/>
  <sheetViews>
    <sheetView showGridLines="0" tabSelected="1" zoomScaleNormal="100" workbookViewId="0">
      <selection activeCell="E12" sqref="E12"/>
    </sheetView>
  </sheetViews>
  <sheetFormatPr baseColWidth="10" defaultColWidth="8.7109375" defaultRowHeight="15" outlineLevelRow="1" x14ac:dyDescent="0.25"/>
  <cols>
    <col min="1" max="1" width="8" customWidth="1"/>
    <col min="2" max="2" width="30.7109375" customWidth="1"/>
    <col min="3" max="3" width="30" customWidth="1"/>
    <col min="4" max="4" width="58.85546875" customWidth="1"/>
    <col min="5" max="5" width="42" customWidth="1"/>
    <col min="6" max="6" width="10" customWidth="1"/>
    <col min="7" max="7" width="8" customWidth="1"/>
    <col min="8" max="8" width="40" customWidth="1"/>
    <col min="9" max="10" width="9" customWidth="1"/>
    <col min="11" max="11" width="11" customWidth="1"/>
    <col min="12" max="12" width="14" customWidth="1"/>
    <col min="13" max="13" width="20" customWidth="1"/>
    <col min="14" max="14" width="24" customWidth="1"/>
    <col min="15" max="15" width="19" customWidth="1"/>
    <col min="16" max="16" width="13" customWidth="1"/>
    <col min="17" max="17" width="16" customWidth="1"/>
    <col min="18" max="18" width="12" customWidth="1"/>
    <col min="19" max="19" width="46" customWidth="1"/>
  </cols>
  <sheetData>
    <row r="1" spans="1:19" ht="18" x14ac:dyDescent="0.25">
      <c r="A1" s="8" t="s">
        <v>64</v>
      </c>
    </row>
    <row r="3" spans="1:19" x14ac:dyDescent="0.25">
      <c r="A3" s="9" t="s">
        <v>65</v>
      </c>
      <c r="B3" s="10"/>
      <c r="D3" s="9" t="s">
        <v>66</v>
      </c>
      <c r="E3" s="10"/>
    </row>
    <row r="4" spans="1:19" x14ac:dyDescent="0.25">
      <c r="A4" s="9" t="s">
        <v>67</v>
      </c>
      <c r="B4" s="10"/>
      <c r="D4" s="9" t="s">
        <v>68</v>
      </c>
      <c r="E4" s="10"/>
    </row>
    <row r="5" spans="1:19" x14ac:dyDescent="0.25">
      <c r="A5" s="9" t="s">
        <v>69</v>
      </c>
      <c r="B5" s="10" t="s">
        <v>70</v>
      </c>
      <c r="D5" s="9" t="s">
        <v>71</v>
      </c>
      <c r="E5" s="10"/>
    </row>
    <row r="6" spans="1:19" x14ac:dyDescent="0.25">
      <c r="A6" s="9" t="s">
        <v>72</v>
      </c>
      <c r="B6" s="10"/>
      <c r="D6" s="9" t="s">
        <v>73</v>
      </c>
      <c r="E6" s="10"/>
    </row>
    <row r="8" spans="1:19" ht="31.5" customHeight="1" x14ac:dyDescent="0.25">
      <c r="A8" s="11" t="s">
        <v>46</v>
      </c>
      <c r="B8" s="11" t="s">
        <v>74</v>
      </c>
      <c r="C8" s="11" t="s">
        <v>75</v>
      </c>
      <c r="D8" s="11" t="s">
        <v>76</v>
      </c>
      <c r="E8" s="11" t="s">
        <v>77</v>
      </c>
      <c r="F8" s="11" t="s">
        <v>78</v>
      </c>
      <c r="G8" s="11" t="s">
        <v>79</v>
      </c>
      <c r="H8" s="11" t="s">
        <v>80</v>
      </c>
      <c r="I8" s="11" t="s">
        <v>81</v>
      </c>
      <c r="J8" s="11" t="s">
        <v>82</v>
      </c>
      <c r="K8" s="11" t="s">
        <v>58</v>
      </c>
      <c r="L8" s="11" t="s">
        <v>83</v>
      </c>
      <c r="M8" s="11" t="s">
        <v>84</v>
      </c>
      <c r="N8" s="11" t="s">
        <v>85</v>
      </c>
      <c r="O8" s="11" t="s">
        <v>48</v>
      </c>
      <c r="P8" s="11" t="s">
        <v>49</v>
      </c>
      <c r="Q8" s="11" t="s">
        <v>86</v>
      </c>
      <c r="R8" s="11" t="s">
        <v>57</v>
      </c>
      <c r="S8" s="11" t="s">
        <v>51</v>
      </c>
    </row>
    <row r="9" spans="1:19" x14ac:dyDescent="0.25">
      <c r="A9" s="12" t="s">
        <v>87</v>
      </c>
      <c r="B9" s="12" t="s">
        <v>88</v>
      </c>
      <c r="C9" s="12" t="s">
        <v>89</v>
      </c>
      <c r="D9" s="12" t="s">
        <v>90</v>
      </c>
      <c r="E9" s="13" t="s">
        <v>91</v>
      </c>
      <c r="F9" s="12" t="s">
        <v>92</v>
      </c>
      <c r="G9" s="12"/>
      <c r="H9" s="13" t="s">
        <v>93</v>
      </c>
      <c r="I9" s="12"/>
      <c r="J9" s="12"/>
      <c r="K9" s="12" t="s">
        <v>55</v>
      </c>
      <c r="L9" s="12" t="s">
        <v>61</v>
      </c>
      <c r="M9" s="12"/>
      <c r="N9" s="12" t="s">
        <v>94</v>
      </c>
      <c r="O9" s="14" t="s">
        <v>63</v>
      </c>
      <c r="P9" s="14"/>
      <c r="Q9" s="12" t="str">
        <f t="shared" ref="Q9:Q40" si="0">IF($F9&lt;&gt;"Numérico","",IF($P9="","Sin dato",IF(AND(OR(NOT(ISNUMBER($I9)),$P9&gt;=$I9),OR(NOT(ISNUMBER($J9)),$P9&lt;=$J9)),"Dentro de rango","Fuera de rango")))</f>
        <v/>
      </c>
      <c r="R9" s="14"/>
      <c r="S9" s="15"/>
    </row>
    <row r="10" spans="1:19" outlineLevel="1" x14ac:dyDescent="0.25">
      <c r="A10" s="16" t="s">
        <v>95</v>
      </c>
      <c r="B10" s="16" t="s">
        <v>88</v>
      </c>
      <c r="C10" s="16" t="s">
        <v>89</v>
      </c>
      <c r="D10" s="16" t="s">
        <v>96</v>
      </c>
      <c r="E10" s="17" t="s">
        <v>97</v>
      </c>
      <c r="F10" s="16" t="s">
        <v>92</v>
      </c>
      <c r="G10" s="16"/>
      <c r="H10" s="17" t="s">
        <v>98</v>
      </c>
      <c r="I10" s="16"/>
      <c r="J10" s="16"/>
      <c r="K10" s="16" t="s">
        <v>55</v>
      </c>
      <c r="L10" s="16" t="s">
        <v>61</v>
      </c>
      <c r="M10" s="16"/>
      <c r="N10" s="16" t="s">
        <v>94</v>
      </c>
      <c r="O10" s="14" t="s">
        <v>63</v>
      </c>
      <c r="P10" s="14"/>
      <c r="Q10" s="16" t="str">
        <f t="shared" si="0"/>
        <v/>
      </c>
      <c r="R10" s="14"/>
      <c r="S10" s="15"/>
    </row>
    <row r="11" spans="1:19" ht="24" outlineLevel="1" x14ac:dyDescent="0.25">
      <c r="A11" s="16" t="s">
        <v>99</v>
      </c>
      <c r="B11" s="16" t="s">
        <v>88</v>
      </c>
      <c r="C11" s="16" t="s">
        <v>89</v>
      </c>
      <c r="D11" s="16" t="s">
        <v>100</v>
      </c>
      <c r="E11" s="17" t="s">
        <v>101</v>
      </c>
      <c r="F11" s="16" t="s">
        <v>102</v>
      </c>
      <c r="G11" s="16"/>
      <c r="H11" s="17" t="s">
        <v>103</v>
      </c>
      <c r="I11" s="16"/>
      <c r="J11" s="16"/>
      <c r="K11" s="16" t="s">
        <v>55</v>
      </c>
      <c r="L11" s="16" t="s">
        <v>55</v>
      </c>
      <c r="M11" s="16"/>
      <c r="N11" s="16" t="s">
        <v>104</v>
      </c>
      <c r="O11" s="14" t="s">
        <v>63</v>
      </c>
      <c r="P11" s="14"/>
      <c r="Q11" s="16" t="str">
        <f t="shared" si="0"/>
        <v/>
      </c>
      <c r="R11" s="14"/>
      <c r="S11" s="15"/>
    </row>
    <row r="12" spans="1:19" ht="24" outlineLevel="1" x14ac:dyDescent="0.25">
      <c r="A12" s="16" t="s">
        <v>105</v>
      </c>
      <c r="B12" s="16" t="s">
        <v>88</v>
      </c>
      <c r="C12" s="16" t="s">
        <v>106</v>
      </c>
      <c r="D12" s="16" t="s">
        <v>107</v>
      </c>
      <c r="E12" s="17" t="s">
        <v>108</v>
      </c>
      <c r="F12" s="16" t="s">
        <v>92</v>
      </c>
      <c r="G12" s="16"/>
      <c r="H12" s="17" t="s">
        <v>109</v>
      </c>
      <c r="I12" s="16"/>
      <c r="J12" s="16"/>
      <c r="K12" s="16" t="s">
        <v>55</v>
      </c>
      <c r="L12" s="16" t="s">
        <v>55</v>
      </c>
      <c r="M12" s="16"/>
      <c r="N12" s="16" t="s">
        <v>110</v>
      </c>
      <c r="O12" s="14" t="s">
        <v>63</v>
      </c>
      <c r="P12" s="14"/>
      <c r="Q12" s="16" t="str">
        <f t="shared" si="0"/>
        <v/>
      </c>
      <c r="R12" s="14"/>
      <c r="S12" s="15"/>
    </row>
    <row r="13" spans="1:19" ht="24" outlineLevel="1" x14ac:dyDescent="0.25">
      <c r="A13" s="16" t="s">
        <v>111</v>
      </c>
      <c r="B13" s="16" t="s">
        <v>88</v>
      </c>
      <c r="C13" s="16" t="s">
        <v>106</v>
      </c>
      <c r="D13" s="16" t="s">
        <v>112</v>
      </c>
      <c r="E13" s="17" t="s">
        <v>113</v>
      </c>
      <c r="F13" s="16" t="s">
        <v>92</v>
      </c>
      <c r="G13" s="16"/>
      <c r="H13" s="17" t="s">
        <v>114</v>
      </c>
      <c r="I13" s="16"/>
      <c r="J13" s="16"/>
      <c r="K13" s="16" t="s">
        <v>55</v>
      </c>
      <c r="L13" s="16" t="s">
        <v>55</v>
      </c>
      <c r="M13" s="16"/>
      <c r="N13" s="16" t="s">
        <v>110</v>
      </c>
      <c r="O13" s="14" t="s">
        <v>63</v>
      </c>
      <c r="P13" s="14"/>
      <c r="Q13" s="16" t="str">
        <f t="shared" si="0"/>
        <v/>
      </c>
      <c r="R13" s="14"/>
      <c r="S13" s="15"/>
    </row>
    <row r="14" spans="1:19" ht="24" outlineLevel="1" x14ac:dyDescent="0.25">
      <c r="A14" s="16" t="s">
        <v>115</v>
      </c>
      <c r="B14" s="16" t="s">
        <v>88</v>
      </c>
      <c r="C14" s="16" t="s">
        <v>106</v>
      </c>
      <c r="D14" s="16" t="s">
        <v>116</v>
      </c>
      <c r="E14" s="17" t="s">
        <v>117</v>
      </c>
      <c r="F14" s="16" t="s">
        <v>102</v>
      </c>
      <c r="G14" s="16"/>
      <c r="H14" s="17" t="s">
        <v>118</v>
      </c>
      <c r="I14" s="16"/>
      <c r="J14" s="16"/>
      <c r="K14" s="16" t="s">
        <v>55</v>
      </c>
      <c r="L14" s="16" t="s">
        <v>55</v>
      </c>
      <c r="M14" s="16"/>
      <c r="N14" s="16" t="s">
        <v>110</v>
      </c>
      <c r="O14" s="14" t="s">
        <v>63</v>
      </c>
      <c r="P14" s="14"/>
      <c r="Q14" s="16" t="str">
        <f t="shared" si="0"/>
        <v/>
      </c>
      <c r="R14" s="14"/>
      <c r="S14" s="15"/>
    </row>
    <row r="15" spans="1:19" ht="24" outlineLevel="1" x14ac:dyDescent="0.25">
      <c r="A15" s="16" t="s">
        <v>119</v>
      </c>
      <c r="B15" s="16" t="s">
        <v>88</v>
      </c>
      <c r="C15" s="16" t="s">
        <v>106</v>
      </c>
      <c r="D15" s="16" t="s">
        <v>120</v>
      </c>
      <c r="E15" s="17" t="s">
        <v>121</v>
      </c>
      <c r="F15" s="16" t="s">
        <v>122</v>
      </c>
      <c r="G15" s="16"/>
      <c r="H15" s="17" t="s">
        <v>123</v>
      </c>
      <c r="I15" s="16"/>
      <c r="J15" s="16"/>
      <c r="K15" s="16" t="s">
        <v>61</v>
      </c>
      <c r="L15" s="16" t="s">
        <v>55</v>
      </c>
      <c r="M15" s="16"/>
      <c r="N15" s="16" t="s">
        <v>124</v>
      </c>
      <c r="O15" s="14" t="s">
        <v>63</v>
      </c>
      <c r="P15" s="14"/>
      <c r="Q15" s="16" t="str">
        <f t="shared" si="0"/>
        <v/>
      </c>
      <c r="R15" s="14"/>
      <c r="S15" s="15"/>
    </row>
    <row r="16" spans="1:19" outlineLevel="1" x14ac:dyDescent="0.25">
      <c r="A16" s="16" t="s">
        <v>125</v>
      </c>
      <c r="B16" s="16" t="s">
        <v>88</v>
      </c>
      <c r="C16" s="16" t="s">
        <v>126</v>
      </c>
      <c r="D16" s="16" t="s">
        <v>127</v>
      </c>
      <c r="E16" s="17" t="s">
        <v>128</v>
      </c>
      <c r="F16" s="16" t="s">
        <v>129</v>
      </c>
      <c r="G16" s="16"/>
      <c r="H16" s="17" t="s">
        <v>130</v>
      </c>
      <c r="I16" s="16"/>
      <c r="J16" s="16"/>
      <c r="K16" s="16" t="s">
        <v>55</v>
      </c>
      <c r="L16" s="16" t="s">
        <v>61</v>
      </c>
      <c r="M16" s="16" t="s">
        <v>131</v>
      </c>
      <c r="N16" s="16" t="s">
        <v>94</v>
      </c>
      <c r="O16" s="14" t="s">
        <v>63</v>
      </c>
      <c r="P16" s="14"/>
      <c r="Q16" s="16" t="str">
        <f t="shared" si="0"/>
        <v/>
      </c>
      <c r="R16" s="14"/>
      <c r="S16" s="15"/>
    </row>
    <row r="17" spans="1:19" outlineLevel="1" x14ac:dyDescent="0.25">
      <c r="A17" s="16" t="s">
        <v>132</v>
      </c>
      <c r="B17" s="16" t="s">
        <v>88</v>
      </c>
      <c r="C17" s="16" t="s">
        <v>126</v>
      </c>
      <c r="D17" s="16" t="s">
        <v>133</v>
      </c>
      <c r="E17" s="17" t="s">
        <v>134</v>
      </c>
      <c r="F17" s="16" t="s">
        <v>92</v>
      </c>
      <c r="G17" s="16"/>
      <c r="H17" s="17" t="s">
        <v>135</v>
      </c>
      <c r="I17" s="16"/>
      <c r="J17" s="16"/>
      <c r="K17" s="16" t="s">
        <v>61</v>
      </c>
      <c r="L17" s="16" t="s">
        <v>61</v>
      </c>
      <c r="M17" s="16"/>
      <c r="N17" s="16" t="s">
        <v>110</v>
      </c>
      <c r="O17" s="14" t="s">
        <v>63</v>
      </c>
      <c r="P17" s="14"/>
      <c r="Q17" s="16" t="str">
        <f t="shared" si="0"/>
        <v/>
      </c>
      <c r="R17" s="14"/>
      <c r="S17" s="15"/>
    </row>
    <row r="18" spans="1:19" ht="36" outlineLevel="1" x14ac:dyDescent="0.25">
      <c r="A18" s="16" t="s">
        <v>136</v>
      </c>
      <c r="B18" s="16" t="s">
        <v>88</v>
      </c>
      <c r="C18" s="16" t="s">
        <v>126</v>
      </c>
      <c r="D18" s="16" t="s">
        <v>137</v>
      </c>
      <c r="E18" s="17" t="s">
        <v>138</v>
      </c>
      <c r="F18" s="16" t="s">
        <v>139</v>
      </c>
      <c r="G18" s="16" t="s">
        <v>140</v>
      </c>
      <c r="H18" s="17" t="s">
        <v>141</v>
      </c>
      <c r="I18" s="16">
        <v>-5</v>
      </c>
      <c r="J18" s="16">
        <v>5</v>
      </c>
      <c r="K18" s="16" t="s">
        <v>55</v>
      </c>
      <c r="L18" s="16" t="s">
        <v>55</v>
      </c>
      <c r="M18" s="16"/>
      <c r="N18" s="16" t="s">
        <v>142</v>
      </c>
      <c r="O18" s="14" t="s">
        <v>63</v>
      </c>
      <c r="P18" s="14"/>
      <c r="Q18" s="16" t="str">
        <f t="shared" si="0"/>
        <v>Sin dato</v>
      </c>
      <c r="R18" s="14"/>
      <c r="S18" s="15"/>
    </row>
    <row r="19" spans="1:19" x14ac:dyDescent="0.25">
      <c r="A19" s="12" t="s">
        <v>143</v>
      </c>
      <c r="B19" s="12" t="s">
        <v>144</v>
      </c>
      <c r="C19" s="12" t="s">
        <v>145</v>
      </c>
      <c r="D19" s="12" t="s">
        <v>146</v>
      </c>
      <c r="E19" s="13" t="s">
        <v>147</v>
      </c>
      <c r="F19" s="12" t="s">
        <v>122</v>
      </c>
      <c r="G19" s="12"/>
      <c r="H19" s="13" t="s">
        <v>148</v>
      </c>
      <c r="I19" s="12"/>
      <c r="J19" s="12"/>
      <c r="K19" s="12" t="s">
        <v>55</v>
      </c>
      <c r="L19" s="12" t="s">
        <v>55</v>
      </c>
      <c r="M19" s="12"/>
      <c r="N19" s="12" t="s">
        <v>149</v>
      </c>
      <c r="O19" s="14" t="s">
        <v>63</v>
      </c>
      <c r="P19" s="14"/>
      <c r="Q19" s="12" t="str">
        <f t="shared" si="0"/>
        <v/>
      </c>
      <c r="R19" s="14"/>
      <c r="S19" s="15"/>
    </row>
    <row r="20" spans="1:19" ht="24" outlineLevel="1" x14ac:dyDescent="0.25">
      <c r="A20" s="16" t="s">
        <v>150</v>
      </c>
      <c r="B20" s="16" t="s">
        <v>144</v>
      </c>
      <c r="C20" s="16" t="s">
        <v>145</v>
      </c>
      <c r="D20" s="16" t="s">
        <v>151</v>
      </c>
      <c r="E20" s="17" t="s">
        <v>152</v>
      </c>
      <c r="F20" s="16" t="s">
        <v>153</v>
      </c>
      <c r="G20" s="16"/>
      <c r="H20" s="17" t="s">
        <v>154</v>
      </c>
      <c r="I20" s="16"/>
      <c r="J20" s="16"/>
      <c r="K20" s="16" t="s">
        <v>55</v>
      </c>
      <c r="L20" s="16" t="s">
        <v>55</v>
      </c>
      <c r="M20" s="16" t="s">
        <v>155</v>
      </c>
      <c r="N20" s="16" t="s">
        <v>149</v>
      </c>
      <c r="O20" s="14" t="s">
        <v>63</v>
      </c>
      <c r="P20" s="14"/>
      <c r="Q20" s="16" t="str">
        <f t="shared" si="0"/>
        <v/>
      </c>
      <c r="R20" s="14"/>
      <c r="S20" s="15"/>
    </row>
    <row r="21" spans="1:19" ht="24" outlineLevel="1" x14ac:dyDescent="0.25">
      <c r="A21" s="16" t="s">
        <v>156</v>
      </c>
      <c r="B21" s="16" t="s">
        <v>144</v>
      </c>
      <c r="C21" s="16" t="s">
        <v>145</v>
      </c>
      <c r="D21" s="16" t="s">
        <v>157</v>
      </c>
      <c r="E21" s="17" t="s">
        <v>158</v>
      </c>
      <c r="F21" s="16" t="s">
        <v>122</v>
      </c>
      <c r="G21" s="16"/>
      <c r="H21" s="17" t="s">
        <v>159</v>
      </c>
      <c r="I21" s="16"/>
      <c r="J21" s="16"/>
      <c r="K21" s="16" t="s">
        <v>55</v>
      </c>
      <c r="L21" s="16" t="s">
        <v>61</v>
      </c>
      <c r="M21" s="16"/>
      <c r="N21" s="16" t="s">
        <v>149</v>
      </c>
      <c r="O21" s="14" t="s">
        <v>63</v>
      </c>
      <c r="P21" s="14"/>
      <c r="Q21" s="16" t="str">
        <f t="shared" si="0"/>
        <v/>
      </c>
      <c r="R21" s="14"/>
      <c r="S21" s="15"/>
    </row>
    <row r="22" spans="1:19" ht="24" outlineLevel="1" x14ac:dyDescent="0.25">
      <c r="A22" s="16" t="s">
        <v>160</v>
      </c>
      <c r="B22" s="16" t="s">
        <v>144</v>
      </c>
      <c r="C22" s="16" t="s">
        <v>145</v>
      </c>
      <c r="D22" s="16" t="s">
        <v>161</v>
      </c>
      <c r="E22" s="17" t="s">
        <v>162</v>
      </c>
      <c r="F22" s="16" t="s">
        <v>122</v>
      </c>
      <c r="G22" s="16"/>
      <c r="H22" s="17" t="s">
        <v>163</v>
      </c>
      <c r="I22" s="16"/>
      <c r="J22" s="16"/>
      <c r="K22" s="16" t="s">
        <v>61</v>
      </c>
      <c r="L22" s="16" t="s">
        <v>61</v>
      </c>
      <c r="M22" s="16"/>
      <c r="N22" s="16" t="s">
        <v>164</v>
      </c>
      <c r="O22" s="14" t="s">
        <v>63</v>
      </c>
      <c r="P22" s="14"/>
      <c r="Q22" s="16" t="str">
        <f t="shared" si="0"/>
        <v/>
      </c>
      <c r="R22" s="14"/>
      <c r="S22" s="15"/>
    </row>
    <row r="23" spans="1:19" ht="36" outlineLevel="1" x14ac:dyDescent="0.25">
      <c r="A23" s="16" t="s">
        <v>165</v>
      </c>
      <c r="B23" s="16" t="s">
        <v>144</v>
      </c>
      <c r="C23" s="16" t="s">
        <v>145</v>
      </c>
      <c r="D23" s="16" t="s">
        <v>166</v>
      </c>
      <c r="E23" s="17" t="s">
        <v>167</v>
      </c>
      <c r="F23" s="16" t="s">
        <v>153</v>
      </c>
      <c r="G23" s="16"/>
      <c r="H23" s="17" t="s">
        <v>168</v>
      </c>
      <c r="I23" s="16"/>
      <c r="J23" s="16"/>
      <c r="K23" s="16" t="s">
        <v>61</v>
      </c>
      <c r="L23" s="16" t="s">
        <v>61</v>
      </c>
      <c r="M23" s="16"/>
      <c r="N23" s="16" t="s">
        <v>124</v>
      </c>
      <c r="O23" s="14" t="s">
        <v>63</v>
      </c>
      <c r="P23" s="14"/>
      <c r="Q23" s="16" t="str">
        <f t="shared" si="0"/>
        <v/>
      </c>
      <c r="R23" s="14"/>
      <c r="S23" s="15"/>
    </row>
    <row r="24" spans="1:19" outlineLevel="1" x14ac:dyDescent="0.25">
      <c r="A24" s="16" t="s">
        <v>169</v>
      </c>
      <c r="B24" s="16" t="s">
        <v>144</v>
      </c>
      <c r="C24" s="16" t="s">
        <v>170</v>
      </c>
      <c r="D24" s="16" t="s">
        <v>171</v>
      </c>
      <c r="E24" s="17" t="s">
        <v>172</v>
      </c>
      <c r="F24" s="16" t="s">
        <v>122</v>
      </c>
      <c r="G24" s="16"/>
      <c r="H24" s="17" t="s">
        <v>173</v>
      </c>
      <c r="I24" s="16"/>
      <c r="J24" s="16"/>
      <c r="K24" s="16" t="s">
        <v>55</v>
      </c>
      <c r="L24" s="16" t="s">
        <v>55</v>
      </c>
      <c r="M24" s="16" t="s">
        <v>174</v>
      </c>
      <c r="N24" s="16" t="s">
        <v>94</v>
      </c>
      <c r="O24" s="14" t="s">
        <v>63</v>
      </c>
      <c r="P24" s="14"/>
      <c r="Q24" s="16" t="str">
        <f t="shared" si="0"/>
        <v/>
      </c>
      <c r="R24" s="14"/>
      <c r="S24" s="15"/>
    </row>
    <row r="25" spans="1:19" outlineLevel="1" x14ac:dyDescent="0.25">
      <c r="A25" s="16" t="s">
        <v>175</v>
      </c>
      <c r="B25" s="16" t="s">
        <v>144</v>
      </c>
      <c r="C25" s="16" t="s">
        <v>170</v>
      </c>
      <c r="D25" s="16" t="s">
        <v>176</v>
      </c>
      <c r="E25" s="17" t="s">
        <v>177</v>
      </c>
      <c r="F25" s="16" t="s">
        <v>122</v>
      </c>
      <c r="G25" s="16"/>
      <c r="H25" s="17" t="s">
        <v>178</v>
      </c>
      <c r="I25" s="16"/>
      <c r="J25" s="16"/>
      <c r="K25" s="16" t="s">
        <v>55</v>
      </c>
      <c r="L25" s="16" t="s">
        <v>61</v>
      </c>
      <c r="M25" s="16"/>
      <c r="N25" s="16" t="s">
        <v>94</v>
      </c>
      <c r="O25" s="14" t="s">
        <v>63</v>
      </c>
      <c r="P25" s="14"/>
      <c r="Q25" s="16" t="str">
        <f t="shared" si="0"/>
        <v/>
      </c>
      <c r="R25" s="14"/>
      <c r="S25" s="15"/>
    </row>
    <row r="26" spans="1:19" ht="24" outlineLevel="1" x14ac:dyDescent="0.25">
      <c r="A26" s="16" t="s">
        <v>179</v>
      </c>
      <c r="B26" s="16" t="s">
        <v>144</v>
      </c>
      <c r="C26" s="16" t="s">
        <v>170</v>
      </c>
      <c r="D26" s="16" t="s">
        <v>180</v>
      </c>
      <c r="E26" s="17" t="s">
        <v>181</v>
      </c>
      <c r="F26" s="16" t="s">
        <v>122</v>
      </c>
      <c r="G26" s="16"/>
      <c r="H26" s="17" t="s">
        <v>182</v>
      </c>
      <c r="I26" s="16"/>
      <c r="J26" s="16"/>
      <c r="K26" s="16" t="s">
        <v>55</v>
      </c>
      <c r="L26" s="16" t="s">
        <v>55</v>
      </c>
      <c r="M26" s="16" t="s">
        <v>174</v>
      </c>
      <c r="N26" s="16" t="s">
        <v>94</v>
      </c>
      <c r="O26" s="14" t="s">
        <v>63</v>
      </c>
      <c r="P26" s="14"/>
      <c r="Q26" s="16" t="str">
        <f t="shared" si="0"/>
        <v/>
      </c>
      <c r="R26" s="14"/>
      <c r="S26" s="15"/>
    </row>
    <row r="27" spans="1:19" ht="24" outlineLevel="1" x14ac:dyDescent="0.25">
      <c r="A27" s="16" t="s">
        <v>183</v>
      </c>
      <c r="B27" s="16" t="s">
        <v>144</v>
      </c>
      <c r="C27" s="16" t="s">
        <v>170</v>
      </c>
      <c r="D27" s="16" t="s">
        <v>184</v>
      </c>
      <c r="E27" s="17" t="s">
        <v>185</v>
      </c>
      <c r="F27" s="16" t="s">
        <v>122</v>
      </c>
      <c r="G27" s="16"/>
      <c r="H27" s="17" t="s">
        <v>186</v>
      </c>
      <c r="I27" s="16"/>
      <c r="J27" s="16"/>
      <c r="K27" s="16" t="s">
        <v>55</v>
      </c>
      <c r="L27" s="16" t="s">
        <v>55</v>
      </c>
      <c r="M27" s="16" t="s">
        <v>187</v>
      </c>
      <c r="N27" s="16" t="s">
        <v>149</v>
      </c>
      <c r="O27" s="14" t="s">
        <v>63</v>
      </c>
      <c r="P27" s="14"/>
      <c r="Q27" s="16" t="str">
        <f t="shared" si="0"/>
        <v/>
      </c>
      <c r="R27" s="14"/>
      <c r="S27" s="15"/>
    </row>
    <row r="28" spans="1:19" ht="24" outlineLevel="1" x14ac:dyDescent="0.25">
      <c r="A28" s="16" t="s">
        <v>188</v>
      </c>
      <c r="B28" s="16" t="s">
        <v>144</v>
      </c>
      <c r="C28" s="16" t="s">
        <v>170</v>
      </c>
      <c r="D28" s="16" t="s">
        <v>189</v>
      </c>
      <c r="E28" s="17" t="s">
        <v>190</v>
      </c>
      <c r="F28" s="16" t="s">
        <v>122</v>
      </c>
      <c r="G28" s="16"/>
      <c r="H28" s="17" t="s">
        <v>191</v>
      </c>
      <c r="I28" s="16"/>
      <c r="J28" s="16"/>
      <c r="K28" s="16" t="s">
        <v>55</v>
      </c>
      <c r="L28" s="16" t="s">
        <v>55</v>
      </c>
      <c r="M28" s="16" t="s">
        <v>192</v>
      </c>
      <c r="N28" s="16" t="s">
        <v>104</v>
      </c>
      <c r="O28" s="14" t="s">
        <v>63</v>
      </c>
      <c r="P28" s="14"/>
      <c r="Q28" s="16" t="str">
        <f t="shared" si="0"/>
        <v/>
      </c>
      <c r="R28" s="14"/>
      <c r="S28" s="15"/>
    </row>
    <row r="29" spans="1:19" ht="24" outlineLevel="1" x14ac:dyDescent="0.25">
      <c r="A29" s="16" t="s">
        <v>193</v>
      </c>
      <c r="B29" s="16" t="s">
        <v>144</v>
      </c>
      <c r="C29" s="16" t="s">
        <v>170</v>
      </c>
      <c r="D29" s="16" t="s">
        <v>194</v>
      </c>
      <c r="E29" s="17" t="s">
        <v>195</v>
      </c>
      <c r="F29" s="16" t="s">
        <v>122</v>
      </c>
      <c r="G29" s="16"/>
      <c r="H29" s="17" t="s">
        <v>196</v>
      </c>
      <c r="I29" s="16"/>
      <c r="J29" s="16"/>
      <c r="K29" s="16" t="s">
        <v>55</v>
      </c>
      <c r="L29" s="16" t="s">
        <v>55</v>
      </c>
      <c r="M29" s="16"/>
      <c r="N29" s="16" t="s">
        <v>124</v>
      </c>
      <c r="O29" s="14" t="s">
        <v>63</v>
      </c>
      <c r="P29" s="14"/>
      <c r="Q29" s="16" t="str">
        <f t="shared" si="0"/>
        <v/>
      </c>
      <c r="R29" s="14"/>
      <c r="S29" s="15"/>
    </row>
    <row r="30" spans="1:19" ht="24" outlineLevel="1" x14ac:dyDescent="0.25">
      <c r="A30" s="16" t="s">
        <v>197</v>
      </c>
      <c r="B30" s="16" t="s">
        <v>144</v>
      </c>
      <c r="C30" s="16" t="s">
        <v>198</v>
      </c>
      <c r="D30" s="16" t="s">
        <v>199</v>
      </c>
      <c r="E30" s="17" t="s">
        <v>200</v>
      </c>
      <c r="F30" s="16" t="s">
        <v>153</v>
      </c>
      <c r="G30" s="16"/>
      <c r="H30" s="17" t="s">
        <v>201</v>
      </c>
      <c r="I30" s="16"/>
      <c r="J30" s="16"/>
      <c r="K30" s="16" t="s">
        <v>55</v>
      </c>
      <c r="L30" s="16" t="s">
        <v>55</v>
      </c>
      <c r="M30" s="16" t="s">
        <v>202</v>
      </c>
      <c r="N30" s="16" t="s">
        <v>149</v>
      </c>
      <c r="O30" s="14" t="s">
        <v>63</v>
      </c>
      <c r="P30" s="14"/>
      <c r="Q30" s="16" t="str">
        <f t="shared" si="0"/>
        <v/>
      </c>
      <c r="R30" s="14"/>
      <c r="S30" s="15"/>
    </row>
    <row r="31" spans="1:19" ht="24" outlineLevel="1" x14ac:dyDescent="0.25">
      <c r="A31" s="16" t="s">
        <v>203</v>
      </c>
      <c r="B31" s="16" t="s">
        <v>144</v>
      </c>
      <c r="C31" s="16" t="s">
        <v>198</v>
      </c>
      <c r="D31" s="16" t="s">
        <v>204</v>
      </c>
      <c r="E31" s="17" t="s">
        <v>205</v>
      </c>
      <c r="F31" s="16" t="s">
        <v>122</v>
      </c>
      <c r="G31" s="16"/>
      <c r="H31" s="17" t="s">
        <v>206</v>
      </c>
      <c r="I31" s="16"/>
      <c r="J31" s="16"/>
      <c r="K31" s="16" t="s">
        <v>55</v>
      </c>
      <c r="L31" s="16" t="s">
        <v>55</v>
      </c>
      <c r="M31" s="16"/>
      <c r="N31" s="16" t="s">
        <v>149</v>
      </c>
      <c r="O31" s="14" t="s">
        <v>63</v>
      </c>
      <c r="P31" s="14"/>
      <c r="Q31" s="16" t="str">
        <f t="shared" si="0"/>
        <v/>
      </c>
      <c r="R31" s="14"/>
      <c r="S31" s="15"/>
    </row>
    <row r="32" spans="1:19" ht="24" outlineLevel="1" x14ac:dyDescent="0.25">
      <c r="A32" s="16" t="s">
        <v>207</v>
      </c>
      <c r="B32" s="16" t="s">
        <v>144</v>
      </c>
      <c r="C32" s="16" t="s">
        <v>198</v>
      </c>
      <c r="D32" s="16" t="s">
        <v>208</v>
      </c>
      <c r="E32" s="17" t="s">
        <v>209</v>
      </c>
      <c r="F32" s="16" t="s">
        <v>92</v>
      </c>
      <c r="G32" s="16"/>
      <c r="H32" s="17" t="s">
        <v>210</v>
      </c>
      <c r="I32" s="16"/>
      <c r="J32" s="16"/>
      <c r="K32" s="16" t="s">
        <v>55</v>
      </c>
      <c r="L32" s="16" t="s">
        <v>55</v>
      </c>
      <c r="M32" s="16"/>
      <c r="N32" s="16" t="s">
        <v>149</v>
      </c>
      <c r="O32" s="14" t="s">
        <v>63</v>
      </c>
      <c r="P32" s="14"/>
      <c r="Q32" s="16" t="str">
        <f t="shared" si="0"/>
        <v/>
      </c>
      <c r="R32" s="14"/>
      <c r="S32" s="15"/>
    </row>
    <row r="33" spans="1:19" ht="24" outlineLevel="1" x14ac:dyDescent="0.25">
      <c r="A33" s="16" t="s">
        <v>211</v>
      </c>
      <c r="B33" s="16" t="s">
        <v>144</v>
      </c>
      <c r="C33" s="16" t="s">
        <v>198</v>
      </c>
      <c r="D33" s="16" t="s">
        <v>212</v>
      </c>
      <c r="E33" s="17" t="s">
        <v>213</v>
      </c>
      <c r="F33" s="16" t="s">
        <v>122</v>
      </c>
      <c r="G33" s="16"/>
      <c r="H33" s="17" t="s">
        <v>214</v>
      </c>
      <c r="I33" s="16"/>
      <c r="J33" s="16"/>
      <c r="K33" s="16" t="s">
        <v>55</v>
      </c>
      <c r="L33" s="16" t="s">
        <v>55</v>
      </c>
      <c r="M33" s="16"/>
      <c r="N33" s="16" t="s">
        <v>124</v>
      </c>
      <c r="O33" s="14" t="s">
        <v>63</v>
      </c>
      <c r="P33" s="14"/>
      <c r="Q33" s="16" t="str">
        <f t="shared" si="0"/>
        <v/>
      </c>
      <c r="R33" s="14"/>
      <c r="S33" s="15"/>
    </row>
    <row r="34" spans="1:19" outlineLevel="1" x14ac:dyDescent="0.25">
      <c r="A34" s="16" t="s">
        <v>215</v>
      </c>
      <c r="B34" s="16" t="s">
        <v>144</v>
      </c>
      <c r="C34" s="16" t="s">
        <v>216</v>
      </c>
      <c r="D34" s="16" t="s">
        <v>217</v>
      </c>
      <c r="E34" s="17" t="s">
        <v>218</v>
      </c>
      <c r="F34" s="16" t="s">
        <v>122</v>
      </c>
      <c r="G34" s="16"/>
      <c r="H34" s="17" t="s">
        <v>219</v>
      </c>
      <c r="I34" s="16"/>
      <c r="J34" s="16"/>
      <c r="K34" s="16" t="s">
        <v>55</v>
      </c>
      <c r="L34" s="16" t="s">
        <v>55</v>
      </c>
      <c r="M34" s="16"/>
      <c r="N34" s="16" t="s">
        <v>94</v>
      </c>
      <c r="O34" s="14" t="s">
        <v>63</v>
      </c>
      <c r="P34" s="14"/>
      <c r="Q34" s="16" t="str">
        <f t="shared" si="0"/>
        <v/>
      </c>
      <c r="R34" s="14"/>
      <c r="S34" s="15"/>
    </row>
    <row r="35" spans="1:19" outlineLevel="1" x14ac:dyDescent="0.25">
      <c r="A35" s="16" t="s">
        <v>220</v>
      </c>
      <c r="B35" s="16" t="s">
        <v>144</v>
      </c>
      <c r="C35" s="16" t="s">
        <v>216</v>
      </c>
      <c r="D35" s="16" t="s">
        <v>221</v>
      </c>
      <c r="E35" s="17" t="s">
        <v>222</v>
      </c>
      <c r="F35" s="16" t="s">
        <v>122</v>
      </c>
      <c r="G35" s="16"/>
      <c r="H35" s="17" t="s">
        <v>223</v>
      </c>
      <c r="I35" s="16"/>
      <c r="J35" s="16"/>
      <c r="K35" s="16" t="s">
        <v>55</v>
      </c>
      <c r="L35" s="16" t="s">
        <v>61</v>
      </c>
      <c r="M35" s="16"/>
      <c r="N35" s="16" t="s">
        <v>94</v>
      </c>
      <c r="O35" s="14" t="s">
        <v>63</v>
      </c>
      <c r="P35" s="14"/>
      <c r="Q35" s="16" t="str">
        <f t="shared" si="0"/>
        <v/>
      </c>
      <c r="R35" s="14"/>
      <c r="S35" s="15"/>
    </row>
    <row r="36" spans="1:19" ht="24" outlineLevel="1" x14ac:dyDescent="0.25">
      <c r="A36" s="16" t="s">
        <v>224</v>
      </c>
      <c r="B36" s="16" t="s">
        <v>144</v>
      </c>
      <c r="C36" s="16" t="s">
        <v>216</v>
      </c>
      <c r="D36" s="16" t="s">
        <v>225</v>
      </c>
      <c r="E36" s="17" t="s">
        <v>226</v>
      </c>
      <c r="F36" s="16" t="s">
        <v>122</v>
      </c>
      <c r="G36" s="16"/>
      <c r="H36" s="17" t="s">
        <v>227</v>
      </c>
      <c r="I36" s="16"/>
      <c r="J36" s="16"/>
      <c r="K36" s="16" t="s">
        <v>55</v>
      </c>
      <c r="L36" s="16" t="s">
        <v>55</v>
      </c>
      <c r="M36" s="16"/>
      <c r="N36" s="16" t="s">
        <v>94</v>
      </c>
      <c r="O36" s="14" t="s">
        <v>63</v>
      </c>
      <c r="P36" s="14"/>
      <c r="Q36" s="16" t="str">
        <f t="shared" si="0"/>
        <v/>
      </c>
      <c r="R36" s="14"/>
      <c r="S36" s="15"/>
    </row>
    <row r="37" spans="1:19" ht="48" outlineLevel="1" x14ac:dyDescent="0.25">
      <c r="A37" s="16" t="s">
        <v>228</v>
      </c>
      <c r="B37" s="16" t="s">
        <v>144</v>
      </c>
      <c r="C37" s="16" t="s">
        <v>216</v>
      </c>
      <c r="D37" s="16" t="s">
        <v>229</v>
      </c>
      <c r="E37" s="17" t="s">
        <v>230</v>
      </c>
      <c r="F37" s="16" t="s">
        <v>122</v>
      </c>
      <c r="G37" s="16"/>
      <c r="H37" s="17" t="s">
        <v>231</v>
      </c>
      <c r="I37" s="16"/>
      <c r="J37" s="16"/>
      <c r="K37" s="16" t="s">
        <v>61</v>
      </c>
      <c r="L37" s="16" t="s">
        <v>55</v>
      </c>
      <c r="M37" s="16"/>
      <c r="N37" s="16" t="s">
        <v>232</v>
      </c>
      <c r="O37" s="14" t="s">
        <v>63</v>
      </c>
      <c r="P37" s="14"/>
      <c r="Q37" s="16" t="str">
        <f t="shared" si="0"/>
        <v/>
      </c>
      <c r="R37" s="14"/>
      <c r="S37" s="15"/>
    </row>
    <row r="38" spans="1:19" ht="36" outlineLevel="1" x14ac:dyDescent="0.25">
      <c r="A38" s="16" t="s">
        <v>233</v>
      </c>
      <c r="B38" s="16" t="s">
        <v>144</v>
      </c>
      <c r="C38" s="16" t="s">
        <v>216</v>
      </c>
      <c r="D38" s="16" t="s">
        <v>234</v>
      </c>
      <c r="E38" s="17" t="s">
        <v>235</v>
      </c>
      <c r="F38" s="16" t="s">
        <v>122</v>
      </c>
      <c r="G38" s="16"/>
      <c r="H38" s="17" t="s">
        <v>236</v>
      </c>
      <c r="I38" s="16"/>
      <c r="J38" s="16"/>
      <c r="K38" s="16" t="s">
        <v>61</v>
      </c>
      <c r="L38" s="16" t="s">
        <v>61</v>
      </c>
      <c r="M38" s="16"/>
      <c r="N38" s="16" t="s">
        <v>124</v>
      </c>
      <c r="O38" s="14" t="s">
        <v>63</v>
      </c>
      <c r="P38" s="14"/>
      <c r="Q38" s="16" t="str">
        <f t="shared" si="0"/>
        <v/>
      </c>
      <c r="R38" s="14"/>
      <c r="S38" s="15"/>
    </row>
    <row r="39" spans="1:19" ht="60" x14ac:dyDescent="0.25">
      <c r="A39" s="12" t="s">
        <v>52</v>
      </c>
      <c r="B39" s="12" t="s">
        <v>237</v>
      </c>
      <c r="C39" s="12" t="s">
        <v>238</v>
      </c>
      <c r="D39" s="12" t="s">
        <v>239</v>
      </c>
      <c r="E39" s="13" t="s">
        <v>240</v>
      </c>
      <c r="F39" s="12" t="s">
        <v>139</v>
      </c>
      <c r="G39" s="12" t="s">
        <v>241</v>
      </c>
      <c r="H39" s="13" t="s">
        <v>242</v>
      </c>
      <c r="I39" s="12">
        <v>1.8</v>
      </c>
      <c r="J39" s="12">
        <v>2.2999999999999998</v>
      </c>
      <c r="K39" s="12" t="s">
        <v>55</v>
      </c>
      <c r="L39" s="12" t="s">
        <v>61</v>
      </c>
      <c r="M39" s="12" t="s">
        <v>243</v>
      </c>
      <c r="N39" s="12" t="s">
        <v>244</v>
      </c>
      <c r="O39" s="14" t="s">
        <v>54</v>
      </c>
      <c r="P39" s="14">
        <v>2.4500000000000002</v>
      </c>
      <c r="Q39" s="12" t="str">
        <f t="shared" si="0"/>
        <v>Fuera de rango</v>
      </c>
      <c r="R39" s="14" t="s">
        <v>55</v>
      </c>
      <c r="S39" s="15" t="s">
        <v>245</v>
      </c>
    </row>
    <row r="40" spans="1:19" ht="24" outlineLevel="1" x14ac:dyDescent="0.25">
      <c r="A40" s="16" t="s">
        <v>246</v>
      </c>
      <c r="B40" s="16" t="s">
        <v>237</v>
      </c>
      <c r="C40" s="16" t="s">
        <v>238</v>
      </c>
      <c r="D40" s="16" t="s">
        <v>247</v>
      </c>
      <c r="E40" s="17" t="s">
        <v>248</v>
      </c>
      <c r="F40" s="16" t="s">
        <v>122</v>
      </c>
      <c r="G40" s="16"/>
      <c r="H40" s="17" t="s">
        <v>249</v>
      </c>
      <c r="I40" s="16"/>
      <c r="J40" s="16"/>
      <c r="K40" s="16" t="s">
        <v>55</v>
      </c>
      <c r="L40" s="16" t="s">
        <v>55</v>
      </c>
      <c r="M40" s="16" t="s">
        <v>243</v>
      </c>
      <c r="N40" s="16" t="s">
        <v>149</v>
      </c>
      <c r="O40" s="14" t="s">
        <v>63</v>
      </c>
      <c r="P40" s="14"/>
      <c r="Q40" s="16" t="str">
        <f t="shared" si="0"/>
        <v/>
      </c>
      <c r="R40" s="14"/>
      <c r="S40" s="15"/>
    </row>
    <row r="41" spans="1:19" ht="24" outlineLevel="1" x14ac:dyDescent="0.25">
      <c r="A41" s="16" t="s">
        <v>250</v>
      </c>
      <c r="B41" s="16" t="s">
        <v>237</v>
      </c>
      <c r="C41" s="16" t="s">
        <v>238</v>
      </c>
      <c r="D41" s="16" t="s">
        <v>251</v>
      </c>
      <c r="E41" s="17" t="s">
        <v>252</v>
      </c>
      <c r="F41" s="16" t="s">
        <v>122</v>
      </c>
      <c r="G41" s="16"/>
      <c r="H41" s="17" t="s">
        <v>253</v>
      </c>
      <c r="I41" s="16"/>
      <c r="J41" s="16"/>
      <c r="K41" s="16" t="s">
        <v>55</v>
      </c>
      <c r="L41" s="16" t="s">
        <v>55</v>
      </c>
      <c r="M41" s="16" t="s">
        <v>254</v>
      </c>
      <c r="N41" s="16" t="s">
        <v>255</v>
      </c>
      <c r="O41" s="14" t="s">
        <v>63</v>
      </c>
      <c r="P41" s="14"/>
      <c r="Q41" s="16" t="str">
        <f t="shared" ref="Q41:Q72" si="1">IF($F41&lt;&gt;"Numérico","",IF($P41="","Sin dato",IF(AND(OR(NOT(ISNUMBER($I41)),$P41&gt;=$I41),OR(NOT(ISNUMBER($J41)),$P41&lt;=$J41)),"Dentro de rango","Fuera de rango")))</f>
        <v/>
      </c>
      <c r="R41" s="14"/>
      <c r="S41" s="15"/>
    </row>
    <row r="42" spans="1:19" outlineLevel="1" x14ac:dyDescent="0.25">
      <c r="A42" s="16" t="s">
        <v>256</v>
      </c>
      <c r="B42" s="16" t="s">
        <v>237</v>
      </c>
      <c r="C42" s="16" t="s">
        <v>238</v>
      </c>
      <c r="D42" s="16" t="s">
        <v>257</v>
      </c>
      <c r="E42" s="17" t="s">
        <v>258</v>
      </c>
      <c r="F42" s="16" t="s">
        <v>122</v>
      </c>
      <c r="G42" s="16"/>
      <c r="H42" s="17" t="s">
        <v>259</v>
      </c>
      <c r="I42" s="16"/>
      <c r="J42" s="16"/>
      <c r="K42" s="16" t="s">
        <v>61</v>
      </c>
      <c r="L42" s="16" t="s">
        <v>61</v>
      </c>
      <c r="M42" s="16"/>
      <c r="N42" s="16" t="s">
        <v>260</v>
      </c>
      <c r="O42" s="14" t="s">
        <v>63</v>
      </c>
      <c r="P42" s="14"/>
      <c r="Q42" s="16" t="str">
        <f t="shared" si="1"/>
        <v/>
      </c>
      <c r="R42" s="14"/>
      <c r="S42" s="15"/>
    </row>
    <row r="43" spans="1:19" ht="36" outlineLevel="1" x14ac:dyDescent="0.25">
      <c r="A43" s="16" t="s">
        <v>261</v>
      </c>
      <c r="B43" s="16" t="s">
        <v>237</v>
      </c>
      <c r="C43" s="16" t="s">
        <v>238</v>
      </c>
      <c r="D43" s="16" t="s">
        <v>262</v>
      </c>
      <c r="E43" s="17" t="s">
        <v>263</v>
      </c>
      <c r="F43" s="16" t="s">
        <v>122</v>
      </c>
      <c r="G43" s="16"/>
      <c r="H43" s="17" t="s">
        <v>264</v>
      </c>
      <c r="I43" s="16"/>
      <c r="J43" s="16"/>
      <c r="K43" s="16" t="s">
        <v>55</v>
      </c>
      <c r="L43" s="16" t="s">
        <v>55</v>
      </c>
      <c r="M43" s="16"/>
      <c r="N43" s="16" t="s">
        <v>124</v>
      </c>
      <c r="O43" s="14" t="s">
        <v>63</v>
      </c>
      <c r="P43" s="14"/>
      <c r="Q43" s="16" t="str">
        <f t="shared" si="1"/>
        <v/>
      </c>
      <c r="R43" s="14"/>
      <c r="S43" s="15"/>
    </row>
    <row r="44" spans="1:19" ht="24" outlineLevel="1" x14ac:dyDescent="0.25">
      <c r="A44" s="16" t="s">
        <v>265</v>
      </c>
      <c r="B44" s="16" t="s">
        <v>237</v>
      </c>
      <c r="C44" s="16" t="s">
        <v>238</v>
      </c>
      <c r="D44" s="16" t="s">
        <v>266</v>
      </c>
      <c r="E44" s="17" t="s">
        <v>267</v>
      </c>
      <c r="F44" s="16" t="s">
        <v>153</v>
      </c>
      <c r="G44" s="16"/>
      <c r="H44" s="17" t="s">
        <v>268</v>
      </c>
      <c r="I44" s="16"/>
      <c r="J44" s="16"/>
      <c r="K44" s="16" t="s">
        <v>61</v>
      </c>
      <c r="L44" s="16" t="s">
        <v>61</v>
      </c>
      <c r="M44" s="16"/>
      <c r="N44" s="16" t="s">
        <v>124</v>
      </c>
      <c r="O44" s="14" t="s">
        <v>63</v>
      </c>
      <c r="P44" s="14"/>
      <c r="Q44" s="16" t="str">
        <f t="shared" si="1"/>
        <v/>
      </c>
      <c r="R44" s="14"/>
      <c r="S44" s="15"/>
    </row>
    <row r="45" spans="1:19" ht="24" outlineLevel="1" x14ac:dyDescent="0.25">
      <c r="A45" s="16" t="s">
        <v>269</v>
      </c>
      <c r="B45" s="16" t="s">
        <v>237</v>
      </c>
      <c r="C45" s="16" t="s">
        <v>270</v>
      </c>
      <c r="D45" s="16" t="s">
        <v>271</v>
      </c>
      <c r="E45" s="17" t="s">
        <v>272</v>
      </c>
      <c r="F45" s="16" t="s">
        <v>122</v>
      </c>
      <c r="G45" s="16"/>
      <c r="H45" s="17" t="s">
        <v>273</v>
      </c>
      <c r="I45" s="16"/>
      <c r="J45" s="16"/>
      <c r="K45" s="16" t="s">
        <v>55</v>
      </c>
      <c r="L45" s="16" t="s">
        <v>55</v>
      </c>
      <c r="M45" s="16" t="s">
        <v>274</v>
      </c>
      <c r="N45" s="16" t="s">
        <v>110</v>
      </c>
      <c r="O45" s="14" t="s">
        <v>63</v>
      </c>
      <c r="P45" s="14"/>
      <c r="Q45" s="16" t="str">
        <f t="shared" si="1"/>
        <v/>
      </c>
      <c r="R45" s="14"/>
      <c r="S45" s="15"/>
    </row>
    <row r="46" spans="1:19" ht="24" outlineLevel="1" x14ac:dyDescent="0.25">
      <c r="A46" s="16" t="s">
        <v>275</v>
      </c>
      <c r="B46" s="16" t="s">
        <v>237</v>
      </c>
      <c r="C46" s="16" t="s">
        <v>270</v>
      </c>
      <c r="D46" s="16" t="s">
        <v>276</v>
      </c>
      <c r="E46" s="17" t="s">
        <v>277</v>
      </c>
      <c r="F46" s="16" t="s">
        <v>139</v>
      </c>
      <c r="G46" s="16" t="s">
        <v>278</v>
      </c>
      <c r="H46" s="17" t="s">
        <v>279</v>
      </c>
      <c r="I46" s="16">
        <v>-70</v>
      </c>
      <c r="J46" s="16">
        <v>-50</v>
      </c>
      <c r="K46" s="16" t="s">
        <v>55</v>
      </c>
      <c r="L46" s="16" t="s">
        <v>61</v>
      </c>
      <c r="M46" s="16"/>
      <c r="N46" s="16" t="s">
        <v>164</v>
      </c>
      <c r="O46" s="14" t="s">
        <v>63</v>
      </c>
      <c r="P46" s="14"/>
      <c r="Q46" s="16" t="str">
        <f t="shared" si="1"/>
        <v>Sin dato</v>
      </c>
      <c r="R46" s="14"/>
      <c r="S46" s="15"/>
    </row>
    <row r="47" spans="1:19" ht="36" outlineLevel="1" x14ac:dyDescent="0.25">
      <c r="A47" s="16" t="s">
        <v>280</v>
      </c>
      <c r="B47" s="16" t="s">
        <v>237</v>
      </c>
      <c r="C47" s="16" t="s">
        <v>270</v>
      </c>
      <c r="D47" s="16" t="s">
        <v>281</v>
      </c>
      <c r="E47" s="17" t="s">
        <v>282</v>
      </c>
      <c r="F47" s="16" t="s">
        <v>122</v>
      </c>
      <c r="G47" s="16"/>
      <c r="H47" s="17" t="s">
        <v>283</v>
      </c>
      <c r="I47" s="16"/>
      <c r="J47" s="16"/>
      <c r="K47" s="16" t="s">
        <v>61</v>
      </c>
      <c r="L47" s="16" t="s">
        <v>61</v>
      </c>
      <c r="M47" s="16"/>
      <c r="N47" s="16" t="s">
        <v>124</v>
      </c>
      <c r="O47" s="14" t="s">
        <v>63</v>
      </c>
      <c r="P47" s="14"/>
      <c r="Q47" s="16" t="str">
        <f t="shared" si="1"/>
        <v/>
      </c>
      <c r="R47" s="14"/>
      <c r="S47" s="15"/>
    </row>
    <row r="48" spans="1:19" ht="36" outlineLevel="1" x14ac:dyDescent="0.25">
      <c r="A48" s="16" t="s">
        <v>284</v>
      </c>
      <c r="B48" s="16" t="s">
        <v>237</v>
      </c>
      <c r="C48" s="16" t="s">
        <v>285</v>
      </c>
      <c r="D48" s="16" t="s">
        <v>286</v>
      </c>
      <c r="E48" s="17" t="s">
        <v>287</v>
      </c>
      <c r="F48" s="16" t="s">
        <v>139</v>
      </c>
      <c r="G48" s="16" t="s">
        <v>288</v>
      </c>
      <c r="H48" s="17" t="s">
        <v>289</v>
      </c>
      <c r="I48" s="16">
        <v>60</v>
      </c>
      <c r="J48" s="16">
        <v>80</v>
      </c>
      <c r="K48" s="16" t="s">
        <v>55</v>
      </c>
      <c r="L48" s="16" t="s">
        <v>61</v>
      </c>
      <c r="M48" s="16"/>
      <c r="N48" s="16" t="s">
        <v>290</v>
      </c>
      <c r="O48" s="14" t="s">
        <v>63</v>
      </c>
      <c r="P48" s="14"/>
      <c r="Q48" s="16" t="str">
        <f t="shared" si="1"/>
        <v>Sin dato</v>
      </c>
      <c r="R48" s="14"/>
      <c r="S48" s="15"/>
    </row>
    <row r="49" spans="1:19" ht="24" outlineLevel="1" x14ac:dyDescent="0.25">
      <c r="A49" s="16" t="s">
        <v>291</v>
      </c>
      <c r="B49" s="16" t="s">
        <v>237</v>
      </c>
      <c r="C49" s="16" t="s">
        <v>285</v>
      </c>
      <c r="D49" s="16" t="s">
        <v>292</v>
      </c>
      <c r="E49" s="17" t="s">
        <v>293</v>
      </c>
      <c r="F49" s="16" t="s">
        <v>122</v>
      </c>
      <c r="G49" s="16"/>
      <c r="H49" s="17" t="s">
        <v>253</v>
      </c>
      <c r="I49" s="16"/>
      <c r="J49" s="16"/>
      <c r="K49" s="16" t="s">
        <v>55</v>
      </c>
      <c r="L49" s="16" t="s">
        <v>55</v>
      </c>
      <c r="M49" s="16" t="s">
        <v>294</v>
      </c>
      <c r="N49" s="16" t="s">
        <v>94</v>
      </c>
      <c r="O49" s="14" t="s">
        <v>63</v>
      </c>
      <c r="P49" s="14"/>
      <c r="Q49" s="16" t="str">
        <f t="shared" si="1"/>
        <v/>
      </c>
      <c r="R49" s="14"/>
      <c r="S49" s="15"/>
    </row>
    <row r="50" spans="1:19" outlineLevel="1" x14ac:dyDescent="0.25">
      <c r="A50" s="16" t="s">
        <v>295</v>
      </c>
      <c r="B50" s="16" t="s">
        <v>237</v>
      </c>
      <c r="C50" s="16" t="s">
        <v>285</v>
      </c>
      <c r="D50" s="16" t="s">
        <v>296</v>
      </c>
      <c r="E50" s="17" t="s">
        <v>297</v>
      </c>
      <c r="F50" s="16" t="s">
        <v>92</v>
      </c>
      <c r="G50" s="16"/>
      <c r="H50" s="17" t="s">
        <v>298</v>
      </c>
      <c r="I50" s="16"/>
      <c r="J50" s="16"/>
      <c r="K50" s="16" t="s">
        <v>55</v>
      </c>
      <c r="L50" s="16" t="s">
        <v>55</v>
      </c>
      <c r="M50" s="16"/>
      <c r="N50" s="16" t="s">
        <v>104</v>
      </c>
      <c r="O50" s="14" t="s">
        <v>63</v>
      </c>
      <c r="P50" s="14"/>
      <c r="Q50" s="16" t="str">
        <f t="shared" si="1"/>
        <v/>
      </c>
      <c r="R50" s="14"/>
      <c r="S50" s="15"/>
    </row>
    <row r="51" spans="1:19" ht="36" outlineLevel="1" x14ac:dyDescent="0.25">
      <c r="A51" s="16" t="s">
        <v>299</v>
      </c>
      <c r="B51" s="16" t="s">
        <v>237</v>
      </c>
      <c r="C51" s="16" t="s">
        <v>300</v>
      </c>
      <c r="D51" s="16" t="s">
        <v>301</v>
      </c>
      <c r="E51" s="17" t="s">
        <v>302</v>
      </c>
      <c r="F51" s="16" t="s">
        <v>139</v>
      </c>
      <c r="G51" s="16" t="s">
        <v>241</v>
      </c>
      <c r="H51" s="17" t="s">
        <v>303</v>
      </c>
      <c r="I51" s="16">
        <v>1.1599999999999999</v>
      </c>
      <c r="J51" s="16">
        <v>1.24</v>
      </c>
      <c r="K51" s="16" t="s">
        <v>55</v>
      </c>
      <c r="L51" s="16" t="s">
        <v>61</v>
      </c>
      <c r="M51" s="16"/>
      <c r="N51" s="16" t="s">
        <v>304</v>
      </c>
      <c r="O51" s="14" t="s">
        <v>63</v>
      </c>
      <c r="P51" s="14"/>
      <c r="Q51" s="16" t="str">
        <f t="shared" si="1"/>
        <v>Sin dato</v>
      </c>
      <c r="R51" s="14"/>
      <c r="S51" s="15"/>
    </row>
    <row r="52" spans="1:19" ht="48" outlineLevel="1" x14ac:dyDescent="0.25">
      <c r="A52" s="16" t="s">
        <v>305</v>
      </c>
      <c r="B52" s="16" t="s">
        <v>237</v>
      </c>
      <c r="C52" s="16" t="s">
        <v>300</v>
      </c>
      <c r="D52" s="16" t="s">
        <v>306</v>
      </c>
      <c r="E52" s="17" t="s">
        <v>307</v>
      </c>
      <c r="F52" s="16" t="s">
        <v>139</v>
      </c>
      <c r="G52" s="16" t="s">
        <v>308</v>
      </c>
      <c r="H52" s="17" t="s">
        <v>309</v>
      </c>
      <c r="I52" s="16">
        <v>3.3</v>
      </c>
      <c r="J52" s="16">
        <v>7</v>
      </c>
      <c r="K52" s="16" t="s">
        <v>61</v>
      </c>
      <c r="L52" s="16" t="s">
        <v>61</v>
      </c>
      <c r="M52" s="16"/>
      <c r="N52" s="16" t="s">
        <v>304</v>
      </c>
      <c r="O52" s="14" t="s">
        <v>63</v>
      </c>
      <c r="P52" s="14"/>
      <c r="Q52" s="16" t="str">
        <f t="shared" si="1"/>
        <v>Sin dato</v>
      </c>
      <c r="R52" s="14"/>
      <c r="S52" s="15"/>
    </row>
    <row r="53" spans="1:19" ht="24" outlineLevel="1" x14ac:dyDescent="0.25">
      <c r="A53" s="16" t="s">
        <v>310</v>
      </c>
      <c r="B53" s="16" t="s">
        <v>237</v>
      </c>
      <c r="C53" s="16" t="s">
        <v>300</v>
      </c>
      <c r="D53" s="16" t="s">
        <v>311</v>
      </c>
      <c r="E53" s="17" t="s">
        <v>312</v>
      </c>
      <c r="F53" s="16" t="s">
        <v>139</v>
      </c>
      <c r="G53" s="16" t="s">
        <v>241</v>
      </c>
      <c r="H53" s="17" t="s">
        <v>313</v>
      </c>
      <c r="I53" s="16">
        <v>0.3</v>
      </c>
      <c r="J53" s="16">
        <v>0.5</v>
      </c>
      <c r="K53" s="16" t="s">
        <v>61</v>
      </c>
      <c r="L53" s="16" t="s">
        <v>61</v>
      </c>
      <c r="M53" s="16"/>
      <c r="N53" s="16" t="s">
        <v>290</v>
      </c>
      <c r="O53" s="14" t="s">
        <v>63</v>
      </c>
      <c r="P53" s="14"/>
      <c r="Q53" s="16" t="str">
        <f t="shared" si="1"/>
        <v>Sin dato</v>
      </c>
      <c r="R53" s="14"/>
      <c r="S53" s="15"/>
    </row>
    <row r="54" spans="1:19" ht="24" outlineLevel="1" x14ac:dyDescent="0.25">
      <c r="A54" s="16" t="s">
        <v>314</v>
      </c>
      <c r="B54" s="16" t="s">
        <v>237</v>
      </c>
      <c r="C54" s="16" t="s">
        <v>300</v>
      </c>
      <c r="D54" s="16" t="s">
        <v>315</v>
      </c>
      <c r="E54" s="17" t="s">
        <v>316</v>
      </c>
      <c r="F54" s="16" t="s">
        <v>139</v>
      </c>
      <c r="G54" s="16" t="s">
        <v>241</v>
      </c>
      <c r="H54" s="17" t="s">
        <v>317</v>
      </c>
      <c r="I54" s="16">
        <v>0</v>
      </c>
      <c r="J54" s="16">
        <v>0.3</v>
      </c>
      <c r="K54" s="16" t="s">
        <v>61</v>
      </c>
      <c r="L54" s="16" t="s">
        <v>55</v>
      </c>
      <c r="M54" s="16"/>
      <c r="N54" s="16" t="s">
        <v>318</v>
      </c>
      <c r="O54" s="14" t="s">
        <v>63</v>
      </c>
      <c r="P54" s="14"/>
      <c r="Q54" s="16" t="str">
        <f t="shared" si="1"/>
        <v>Sin dato</v>
      </c>
      <c r="R54" s="14"/>
      <c r="S54" s="15"/>
    </row>
    <row r="55" spans="1:19" ht="24" outlineLevel="1" x14ac:dyDescent="0.25">
      <c r="A55" s="16" t="s">
        <v>319</v>
      </c>
      <c r="B55" s="16" t="s">
        <v>237</v>
      </c>
      <c r="C55" s="16" t="s">
        <v>300</v>
      </c>
      <c r="D55" s="16" t="s">
        <v>320</v>
      </c>
      <c r="E55" s="17" t="s">
        <v>321</v>
      </c>
      <c r="F55" s="16" t="s">
        <v>122</v>
      </c>
      <c r="G55" s="16"/>
      <c r="H55" s="17" t="s">
        <v>322</v>
      </c>
      <c r="I55" s="16"/>
      <c r="J55" s="16"/>
      <c r="K55" s="16" t="s">
        <v>61</v>
      </c>
      <c r="L55" s="16" t="s">
        <v>61</v>
      </c>
      <c r="M55" s="16"/>
      <c r="N55" s="16" t="s">
        <v>124</v>
      </c>
      <c r="O55" s="14" t="s">
        <v>63</v>
      </c>
      <c r="P55" s="14"/>
      <c r="Q55" s="16" t="str">
        <f t="shared" si="1"/>
        <v/>
      </c>
      <c r="R55" s="14"/>
      <c r="S55" s="15"/>
    </row>
    <row r="56" spans="1:19" ht="24" outlineLevel="1" x14ac:dyDescent="0.25">
      <c r="A56" s="16" t="s">
        <v>323</v>
      </c>
      <c r="B56" s="16" t="s">
        <v>237</v>
      </c>
      <c r="C56" s="16" t="s">
        <v>300</v>
      </c>
      <c r="D56" s="16" t="s">
        <v>324</v>
      </c>
      <c r="E56" s="17" t="s">
        <v>325</v>
      </c>
      <c r="F56" s="16" t="s">
        <v>122</v>
      </c>
      <c r="G56" s="16"/>
      <c r="H56" s="17" t="s">
        <v>326</v>
      </c>
      <c r="I56" s="16"/>
      <c r="J56" s="16"/>
      <c r="K56" s="16" t="s">
        <v>61</v>
      </c>
      <c r="L56" s="16" t="s">
        <v>61</v>
      </c>
      <c r="M56" s="16"/>
      <c r="N56" s="16" t="s">
        <v>124</v>
      </c>
      <c r="O56" s="14" t="s">
        <v>63</v>
      </c>
      <c r="P56" s="14"/>
      <c r="Q56" s="16" t="str">
        <f t="shared" si="1"/>
        <v/>
      </c>
      <c r="R56" s="14"/>
      <c r="S56" s="15"/>
    </row>
    <row r="57" spans="1:19" ht="24" x14ac:dyDescent="0.25">
      <c r="A57" s="12" t="s">
        <v>327</v>
      </c>
      <c r="B57" s="12" t="s">
        <v>328</v>
      </c>
      <c r="C57" s="12" t="s">
        <v>329</v>
      </c>
      <c r="D57" s="12" t="s">
        <v>330</v>
      </c>
      <c r="E57" s="13" t="s">
        <v>331</v>
      </c>
      <c r="F57" s="12" t="s">
        <v>92</v>
      </c>
      <c r="G57" s="12"/>
      <c r="H57" s="13" t="s">
        <v>332</v>
      </c>
      <c r="I57" s="12"/>
      <c r="J57" s="12"/>
      <c r="K57" s="12" t="s">
        <v>55</v>
      </c>
      <c r="L57" s="12" t="s">
        <v>55</v>
      </c>
      <c r="M57" s="12"/>
      <c r="N57" s="12" t="s">
        <v>333</v>
      </c>
      <c r="O57" s="14" t="s">
        <v>63</v>
      </c>
      <c r="P57" s="14"/>
      <c r="Q57" s="12" t="str">
        <f t="shared" si="1"/>
        <v/>
      </c>
      <c r="R57" s="14"/>
      <c r="S57" s="15"/>
    </row>
    <row r="58" spans="1:19" ht="24" outlineLevel="1" x14ac:dyDescent="0.25">
      <c r="A58" s="16" t="s">
        <v>334</v>
      </c>
      <c r="B58" s="16" t="s">
        <v>328</v>
      </c>
      <c r="C58" s="16" t="s">
        <v>329</v>
      </c>
      <c r="D58" s="16" t="s">
        <v>335</v>
      </c>
      <c r="E58" s="17" t="s">
        <v>336</v>
      </c>
      <c r="F58" s="16" t="s">
        <v>92</v>
      </c>
      <c r="G58" s="16"/>
      <c r="H58" s="17" t="s">
        <v>337</v>
      </c>
      <c r="I58" s="16"/>
      <c r="J58" s="16"/>
      <c r="K58" s="16" t="s">
        <v>55</v>
      </c>
      <c r="L58" s="16" t="s">
        <v>55</v>
      </c>
      <c r="M58" s="16"/>
      <c r="N58" s="16" t="s">
        <v>333</v>
      </c>
      <c r="O58" s="14" t="s">
        <v>63</v>
      </c>
      <c r="P58" s="14"/>
      <c r="Q58" s="16" t="str">
        <f t="shared" si="1"/>
        <v/>
      </c>
      <c r="R58" s="14"/>
      <c r="S58" s="15"/>
    </row>
    <row r="59" spans="1:19" ht="24" outlineLevel="1" x14ac:dyDescent="0.25">
      <c r="A59" s="16" t="s">
        <v>338</v>
      </c>
      <c r="B59" s="16" t="s">
        <v>328</v>
      </c>
      <c r="C59" s="16" t="s">
        <v>329</v>
      </c>
      <c r="D59" s="16" t="s">
        <v>339</v>
      </c>
      <c r="E59" s="17" t="s">
        <v>340</v>
      </c>
      <c r="F59" s="16" t="s">
        <v>122</v>
      </c>
      <c r="G59" s="16"/>
      <c r="H59" s="17" t="s">
        <v>341</v>
      </c>
      <c r="I59" s="16"/>
      <c r="J59" s="16"/>
      <c r="K59" s="16" t="s">
        <v>55</v>
      </c>
      <c r="L59" s="16" t="s">
        <v>55</v>
      </c>
      <c r="M59" s="16"/>
      <c r="N59" s="16" t="s">
        <v>255</v>
      </c>
      <c r="O59" s="14" t="s">
        <v>63</v>
      </c>
      <c r="P59" s="14"/>
      <c r="Q59" s="16" t="str">
        <f t="shared" si="1"/>
        <v/>
      </c>
      <c r="R59" s="14"/>
      <c r="S59" s="15"/>
    </row>
    <row r="60" spans="1:19" outlineLevel="1" x14ac:dyDescent="0.25">
      <c r="A60" s="16" t="s">
        <v>342</v>
      </c>
      <c r="B60" s="16" t="s">
        <v>328</v>
      </c>
      <c r="C60" s="16" t="s">
        <v>343</v>
      </c>
      <c r="D60" s="16" t="s">
        <v>344</v>
      </c>
      <c r="E60" s="17" t="s">
        <v>345</v>
      </c>
      <c r="F60" s="16" t="s">
        <v>122</v>
      </c>
      <c r="G60" s="16"/>
      <c r="H60" s="17" t="s">
        <v>346</v>
      </c>
      <c r="I60" s="16"/>
      <c r="J60" s="16"/>
      <c r="K60" s="16" t="s">
        <v>55</v>
      </c>
      <c r="L60" s="16" t="s">
        <v>55</v>
      </c>
      <c r="M60" s="16" t="s">
        <v>347</v>
      </c>
      <c r="N60" s="16" t="s">
        <v>149</v>
      </c>
      <c r="O60" s="14" t="s">
        <v>63</v>
      </c>
      <c r="P60" s="14"/>
      <c r="Q60" s="16" t="str">
        <f t="shared" si="1"/>
        <v/>
      </c>
      <c r="R60" s="14"/>
      <c r="S60" s="15"/>
    </row>
    <row r="61" spans="1:19" ht="24" outlineLevel="1" x14ac:dyDescent="0.25">
      <c r="A61" s="16" t="s">
        <v>348</v>
      </c>
      <c r="B61" s="16" t="s">
        <v>328</v>
      </c>
      <c r="C61" s="16" t="s">
        <v>343</v>
      </c>
      <c r="D61" s="16" t="s">
        <v>349</v>
      </c>
      <c r="E61" s="17" t="s">
        <v>350</v>
      </c>
      <c r="F61" s="16" t="s">
        <v>92</v>
      </c>
      <c r="G61" s="16"/>
      <c r="H61" s="17" t="s">
        <v>351</v>
      </c>
      <c r="I61" s="16"/>
      <c r="J61" s="16"/>
      <c r="K61" s="16" t="s">
        <v>55</v>
      </c>
      <c r="L61" s="16" t="s">
        <v>55</v>
      </c>
      <c r="M61" s="16"/>
      <c r="N61" s="16" t="s">
        <v>352</v>
      </c>
      <c r="O61" s="14" t="s">
        <v>63</v>
      </c>
      <c r="P61" s="14"/>
      <c r="Q61" s="16" t="str">
        <f t="shared" si="1"/>
        <v/>
      </c>
      <c r="R61" s="14"/>
      <c r="S61" s="15"/>
    </row>
    <row r="62" spans="1:19" outlineLevel="1" x14ac:dyDescent="0.25">
      <c r="A62" s="16" t="s">
        <v>353</v>
      </c>
      <c r="B62" s="16" t="s">
        <v>328</v>
      </c>
      <c r="C62" s="16" t="s">
        <v>343</v>
      </c>
      <c r="D62" s="16" t="s">
        <v>354</v>
      </c>
      <c r="E62" s="17" t="s">
        <v>355</v>
      </c>
      <c r="F62" s="16" t="s">
        <v>122</v>
      </c>
      <c r="G62" s="16"/>
      <c r="H62" s="17" t="s">
        <v>356</v>
      </c>
      <c r="I62" s="16"/>
      <c r="J62" s="16"/>
      <c r="K62" s="16" t="s">
        <v>55</v>
      </c>
      <c r="L62" s="16" t="s">
        <v>55</v>
      </c>
      <c r="M62" s="16" t="s">
        <v>192</v>
      </c>
      <c r="N62" s="16" t="s">
        <v>333</v>
      </c>
      <c r="O62" s="14" t="s">
        <v>63</v>
      </c>
      <c r="P62" s="14"/>
      <c r="Q62" s="16" t="str">
        <f t="shared" si="1"/>
        <v/>
      </c>
      <c r="R62" s="14"/>
      <c r="S62" s="15"/>
    </row>
    <row r="63" spans="1:19" ht="48" outlineLevel="1" x14ac:dyDescent="0.25">
      <c r="A63" s="16" t="s">
        <v>357</v>
      </c>
      <c r="B63" s="16" t="s">
        <v>328</v>
      </c>
      <c r="C63" s="16" t="s">
        <v>358</v>
      </c>
      <c r="D63" s="16" t="s">
        <v>359</v>
      </c>
      <c r="E63" s="17" t="s">
        <v>360</v>
      </c>
      <c r="F63" s="16" t="s">
        <v>139</v>
      </c>
      <c r="G63" s="16" t="s">
        <v>361</v>
      </c>
      <c r="H63" s="17" t="s">
        <v>362</v>
      </c>
      <c r="I63" s="18" t="s">
        <v>363</v>
      </c>
      <c r="J63" s="18" t="s">
        <v>363</v>
      </c>
      <c r="K63" s="16" t="s">
        <v>55</v>
      </c>
      <c r="L63" s="16" t="s">
        <v>55</v>
      </c>
      <c r="M63" s="16" t="s">
        <v>364</v>
      </c>
      <c r="N63" s="16" t="s">
        <v>365</v>
      </c>
      <c r="O63" s="14" t="s">
        <v>63</v>
      </c>
      <c r="P63" s="14"/>
      <c r="Q63" s="16" t="str">
        <f t="shared" si="1"/>
        <v>Sin dato</v>
      </c>
      <c r="R63" s="14"/>
      <c r="S63" s="15"/>
    </row>
    <row r="64" spans="1:19" ht="24" outlineLevel="1" x14ac:dyDescent="0.25">
      <c r="A64" s="16" t="s">
        <v>366</v>
      </c>
      <c r="B64" s="16" t="s">
        <v>328</v>
      </c>
      <c r="C64" s="16" t="s">
        <v>358</v>
      </c>
      <c r="D64" s="16" t="s">
        <v>367</v>
      </c>
      <c r="E64" s="17" t="s">
        <v>368</v>
      </c>
      <c r="F64" s="16" t="s">
        <v>139</v>
      </c>
      <c r="G64" s="16" t="s">
        <v>369</v>
      </c>
      <c r="H64" s="17" t="s">
        <v>370</v>
      </c>
      <c r="I64" s="16"/>
      <c r="J64" s="16">
        <v>500</v>
      </c>
      <c r="K64" s="16" t="s">
        <v>55</v>
      </c>
      <c r="L64" s="16" t="s">
        <v>55</v>
      </c>
      <c r="M64" s="16"/>
      <c r="N64" s="16" t="s">
        <v>164</v>
      </c>
      <c r="O64" s="14" t="s">
        <v>63</v>
      </c>
      <c r="P64" s="14"/>
      <c r="Q64" s="16" t="str">
        <f t="shared" si="1"/>
        <v>Sin dato</v>
      </c>
      <c r="R64" s="14"/>
      <c r="S64" s="15"/>
    </row>
    <row r="65" spans="1:19" ht="36" outlineLevel="1" x14ac:dyDescent="0.25">
      <c r="A65" s="16" t="s">
        <v>371</v>
      </c>
      <c r="B65" s="16" t="s">
        <v>328</v>
      </c>
      <c r="C65" s="16" t="s">
        <v>358</v>
      </c>
      <c r="D65" s="16" t="s">
        <v>372</v>
      </c>
      <c r="E65" s="17" t="s">
        <v>373</v>
      </c>
      <c r="F65" s="16" t="s">
        <v>139</v>
      </c>
      <c r="G65" s="16" t="s">
        <v>374</v>
      </c>
      <c r="H65" s="17" t="s">
        <v>375</v>
      </c>
      <c r="I65" s="16">
        <v>20</v>
      </c>
      <c r="J65" s="16">
        <v>40</v>
      </c>
      <c r="K65" s="16" t="s">
        <v>61</v>
      </c>
      <c r="L65" s="16" t="s">
        <v>55</v>
      </c>
      <c r="M65" s="16" t="s">
        <v>364</v>
      </c>
      <c r="N65" s="16" t="s">
        <v>164</v>
      </c>
      <c r="O65" s="14" t="s">
        <v>63</v>
      </c>
      <c r="P65" s="14"/>
      <c r="Q65" s="16" t="str">
        <f t="shared" si="1"/>
        <v>Sin dato</v>
      </c>
      <c r="R65" s="14"/>
      <c r="S65" s="15"/>
    </row>
    <row r="66" spans="1:19" ht="24" outlineLevel="1" x14ac:dyDescent="0.25">
      <c r="A66" s="16" t="s">
        <v>376</v>
      </c>
      <c r="B66" s="16" t="s">
        <v>328</v>
      </c>
      <c r="C66" s="16" t="s">
        <v>358</v>
      </c>
      <c r="D66" s="16" t="s">
        <v>377</v>
      </c>
      <c r="E66" s="17" t="s">
        <v>378</v>
      </c>
      <c r="F66" s="16" t="s">
        <v>122</v>
      </c>
      <c r="G66" s="16"/>
      <c r="H66" s="17" t="s">
        <v>379</v>
      </c>
      <c r="I66" s="16"/>
      <c r="J66" s="16"/>
      <c r="K66" s="16" t="s">
        <v>55</v>
      </c>
      <c r="L66" s="16" t="s">
        <v>61</v>
      </c>
      <c r="M66" s="16" t="s">
        <v>364</v>
      </c>
      <c r="N66" s="16" t="s">
        <v>149</v>
      </c>
      <c r="O66" s="14" t="s">
        <v>63</v>
      </c>
      <c r="P66" s="14"/>
      <c r="Q66" s="16" t="str">
        <f t="shared" si="1"/>
        <v/>
      </c>
      <c r="R66" s="14"/>
      <c r="S66" s="15"/>
    </row>
    <row r="67" spans="1:19" ht="24" outlineLevel="1" x14ac:dyDescent="0.25">
      <c r="A67" s="16" t="s">
        <v>380</v>
      </c>
      <c r="B67" s="16" t="s">
        <v>328</v>
      </c>
      <c r="C67" s="16" t="s">
        <v>358</v>
      </c>
      <c r="D67" s="16" t="s">
        <v>381</v>
      </c>
      <c r="E67" s="17" t="s">
        <v>382</v>
      </c>
      <c r="F67" s="16" t="s">
        <v>92</v>
      </c>
      <c r="G67" s="16"/>
      <c r="H67" s="17" t="s">
        <v>383</v>
      </c>
      <c r="I67" s="16"/>
      <c r="J67" s="16"/>
      <c r="K67" s="16" t="s">
        <v>55</v>
      </c>
      <c r="L67" s="16" t="s">
        <v>55</v>
      </c>
      <c r="M67" s="16" t="s">
        <v>364</v>
      </c>
      <c r="N67" s="16" t="s">
        <v>149</v>
      </c>
      <c r="O67" s="14" t="s">
        <v>63</v>
      </c>
      <c r="P67" s="14"/>
      <c r="Q67" s="16" t="str">
        <f t="shared" si="1"/>
        <v/>
      </c>
      <c r="R67" s="14"/>
      <c r="S67" s="15"/>
    </row>
    <row r="68" spans="1:19" ht="24" outlineLevel="1" x14ac:dyDescent="0.25">
      <c r="A68" s="16" t="s">
        <v>384</v>
      </c>
      <c r="B68" s="16" t="s">
        <v>328</v>
      </c>
      <c r="C68" s="16" t="s">
        <v>385</v>
      </c>
      <c r="D68" s="16" t="s">
        <v>386</v>
      </c>
      <c r="E68" s="17" t="s">
        <v>387</v>
      </c>
      <c r="F68" s="16" t="s">
        <v>122</v>
      </c>
      <c r="G68" s="16"/>
      <c r="H68" s="17" t="s">
        <v>388</v>
      </c>
      <c r="I68" s="16"/>
      <c r="J68" s="16"/>
      <c r="K68" s="16" t="s">
        <v>55</v>
      </c>
      <c r="L68" s="16" t="s">
        <v>55</v>
      </c>
      <c r="M68" s="16"/>
      <c r="N68" s="16" t="s">
        <v>389</v>
      </c>
      <c r="O68" s="14" t="s">
        <v>63</v>
      </c>
      <c r="P68" s="14"/>
      <c r="Q68" s="16" t="str">
        <f t="shared" si="1"/>
        <v/>
      </c>
      <c r="R68" s="14"/>
      <c r="S68" s="15"/>
    </row>
    <row r="69" spans="1:19" ht="24" outlineLevel="1" x14ac:dyDescent="0.25">
      <c r="A69" s="16" t="s">
        <v>390</v>
      </c>
      <c r="B69" s="16" t="s">
        <v>328</v>
      </c>
      <c r="C69" s="16" t="s">
        <v>385</v>
      </c>
      <c r="D69" s="16" t="s">
        <v>391</v>
      </c>
      <c r="E69" s="17" t="s">
        <v>392</v>
      </c>
      <c r="F69" s="16" t="s">
        <v>122</v>
      </c>
      <c r="G69" s="16"/>
      <c r="H69" s="17" t="s">
        <v>393</v>
      </c>
      <c r="I69" s="16"/>
      <c r="J69" s="16"/>
      <c r="K69" s="16" t="s">
        <v>61</v>
      </c>
      <c r="L69" s="16" t="s">
        <v>55</v>
      </c>
      <c r="M69" s="16"/>
      <c r="N69" s="16" t="s">
        <v>394</v>
      </c>
      <c r="O69" s="14" t="s">
        <v>63</v>
      </c>
      <c r="P69" s="14"/>
      <c r="Q69" s="16" t="str">
        <f t="shared" si="1"/>
        <v/>
      </c>
      <c r="R69" s="14"/>
      <c r="S69" s="15"/>
    </row>
    <row r="70" spans="1:19" ht="36" outlineLevel="1" x14ac:dyDescent="0.25">
      <c r="A70" s="16" t="s">
        <v>395</v>
      </c>
      <c r="B70" s="16" t="s">
        <v>328</v>
      </c>
      <c r="C70" s="16" t="s">
        <v>385</v>
      </c>
      <c r="D70" s="16" t="s">
        <v>396</v>
      </c>
      <c r="E70" s="17" t="s">
        <v>397</v>
      </c>
      <c r="F70" s="16" t="s">
        <v>122</v>
      </c>
      <c r="G70" s="16"/>
      <c r="H70" s="17" t="s">
        <v>398</v>
      </c>
      <c r="I70" s="16"/>
      <c r="J70" s="16"/>
      <c r="K70" s="16" t="s">
        <v>61</v>
      </c>
      <c r="L70" s="16" t="s">
        <v>55</v>
      </c>
      <c r="M70" s="16"/>
      <c r="N70" s="16" t="s">
        <v>399</v>
      </c>
      <c r="O70" s="14" t="s">
        <v>63</v>
      </c>
      <c r="P70" s="14"/>
      <c r="Q70" s="16" t="str">
        <f t="shared" si="1"/>
        <v/>
      </c>
      <c r="R70" s="14"/>
      <c r="S70" s="15"/>
    </row>
    <row r="71" spans="1:19" x14ac:dyDescent="0.25">
      <c r="A71" s="12" t="s">
        <v>400</v>
      </c>
      <c r="B71" s="12" t="s">
        <v>401</v>
      </c>
      <c r="C71" s="12" t="s">
        <v>402</v>
      </c>
      <c r="D71" s="12" t="s">
        <v>403</v>
      </c>
      <c r="E71" s="13" t="s">
        <v>404</v>
      </c>
      <c r="F71" s="12" t="s">
        <v>122</v>
      </c>
      <c r="G71" s="12"/>
      <c r="H71" s="13" t="s">
        <v>405</v>
      </c>
      <c r="I71" s="12"/>
      <c r="J71" s="12"/>
      <c r="K71" s="12" t="s">
        <v>55</v>
      </c>
      <c r="L71" s="12" t="s">
        <v>55</v>
      </c>
      <c r="M71" s="12" t="s">
        <v>406</v>
      </c>
      <c r="N71" s="12" t="s">
        <v>110</v>
      </c>
      <c r="O71" s="14" t="s">
        <v>63</v>
      </c>
      <c r="P71" s="14"/>
      <c r="Q71" s="12" t="str">
        <f t="shared" si="1"/>
        <v/>
      </c>
      <c r="R71" s="14"/>
      <c r="S71" s="15"/>
    </row>
    <row r="72" spans="1:19" outlineLevel="1" x14ac:dyDescent="0.25">
      <c r="A72" s="16" t="s">
        <v>407</v>
      </c>
      <c r="B72" s="16" t="s">
        <v>401</v>
      </c>
      <c r="C72" s="16" t="s">
        <v>402</v>
      </c>
      <c r="D72" s="16" t="s">
        <v>408</v>
      </c>
      <c r="E72" s="17" t="s">
        <v>409</v>
      </c>
      <c r="F72" s="16" t="s">
        <v>122</v>
      </c>
      <c r="G72" s="16"/>
      <c r="H72" s="17" t="s">
        <v>410</v>
      </c>
      <c r="I72" s="16"/>
      <c r="J72" s="16"/>
      <c r="K72" s="16" t="s">
        <v>55</v>
      </c>
      <c r="L72" s="16" t="s">
        <v>55</v>
      </c>
      <c r="M72" s="16"/>
      <c r="N72" s="16" t="s">
        <v>110</v>
      </c>
      <c r="O72" s="14" t="s">
        <v>63</v>
      </c>
      <c r="P72" s="14"/>
      <c r="Q72" s="16" t="str">
        <f t="shared" si="1"/>
        <v/>
      </c>
      <c r="R72" s="14"/>
      <c r="S72" s="15"/>
    </row>
    <row r="73" spans="1:19" ht="24" outlineLevel="1" x14ac:dyDescent="0.25">
      <c r="A73" s="16" t="s">
        <v>411</v>
      </c>
      <c r="B73" s="16" t="s">
        <v>401</v>
      </c>
      <c r="C73" s="16" t="s">
        <v>402</v>
      </c>
      <c r="D73" s="16" t="s">
        <v>412</v>
      </c>
      <c r="E73" s="17" t="s">
        <v>413</v>
      </c>
      <c r="F73" s="16" t="s">
        <v>153</v>
      </c>
      <c r="G73" s="16"/>
      <c r="H73" s="17" t="s">
        <v>414</v>
      </c>
      <c r="I73" s="16"/>
      <c r="J73" s="16"/>
      <c r="K73" s="16" t="s">
        <v>55</v>
      </c>
      <c r="L73" s="16" t="s">
        <v>55</v>
      </c>
      <c r="M73" s="16"/>
      <c r="N73" s="16" t="s">
        <v>110</v>
      </c>
      <c r="O73" s="14" t="s">
        <v>63</v>
      </c>
      <c r="P73" s="14"/>
      <c r="Q73" s="16" t="str">
        <f t="shared" ref="Q73:Q104" si="2">IF($F73&lt;&gt;"Numérico","",IF($P73="","Sin dato",IF(AND(OR(NOT(ISNUMBER($I73)),$P73&gt;=$I73),OR(NOT(ISNUMBER($J73)),$P73&lt;=$J73)),"Dentro de rango","Fuera de rango")))</f>
        <v/>
      </c>
      <c r="R73" s="14"/>
      <c r="S73" s="15"/>
    </row>
    <row r="74" spans="1:19" ht="24" outlineLevel="1" x14ac:dyDescent="0.25">
      <c r="A74" s="16" t="s">
        <v>415</v>
      </c>
      <c r="B74" s="16" t="s">
        <v>401</v>
      </c>
      <c r="C74" s="16" t="s">
        <v>402</v>
      </c>
      <c r="D74" s="16" t="s">
        <v>416</v>
      </c>
      <c r="E74" s="17" t="s">
        <v>417</v>
      </c>
      <c r="F74" s="16" t="s">
        <v>122</v>
      </c>
      <c r="G74" s="16"/>
      <c r="H74" s="17" t="s">
        <v>410</v>
      </c>
      <c r="I74" s="16"/>
      <c r="J74" s="16"/>
      <c r="K74" s="16" t="s">
        <v>55</v>
      </c>
      <c r="L74" s="16" t="s">
        <v>55</v>
      </c>
      <c r="M74" s="16"/>
      <c r="N74" s="16" t="s">
        <v>124</v>
      </c>
      <c r="O74" s="14" t="s">
        <v>63</v>
      </c>
      <c r="P74" s="14"/>
      <c r="Q74" s="16" t="str">
        <f t="shared" si="2"/>
        <v/>
      </c>
      <c r="R74" s="14"/>
      <c r="S74" s="15"/>
    </row>
    <row r="75" spans="1:19" ht="24" outlineLevel="1" x14ac:dyDescent="0.25">
      <c r="A75" s="16" t="s">
        <v>418</v>
      </c>
      <c r="B75" s="16" t="s">
        <v>401</v>
      </c>
      <c r="C75" s="16" t="s">
        <v>402</v>
      </c>
      <c r="D75" s="16" t="s">
        <v>419</v>
      </c>
      <c r="E75" s="17" t="s">
        <v>420</v>
      </c>
      <c r="F75" s="16" t="s">
        <v>122</v>
      </c>
      <c r="G75" s="16"/>
      <c r="H75" s="17" t="s">
        <v>410</v>
      </c>
      <c r="I75" s="16"/>
      <c r="J75" s="16"/>
      <c r="K75" s="16" t="s">
        <v>61</v>
      </c>
      <c r="L75" s="16" t="s">
        <v>61</v>
      </c>
      <c r="M75" s="16"/>
      <c r="N75" s="16" t="s">
        <v>124</v>
      </c>
      <c r="O75" s="14" t="s">
        <v>63</v>
      </c>
      <c r="P75" s="14"/>
      <c r="Q75" s="16" t="str">
        <f t="shared" si="2"/>
        <v/>
      </c>
      <c r="R75" s="14"/>
      <c r="S75" s="15"/>
    </row>
    <row r="76" spans="1:19" ht="24" outlineLevel="1" x14ac:dyDescent="0.25">
      <c r="A76" s="16" t="s">
        <v>421</v>
      </c>
      <c r="B76" s="16" t="s">
        <v>401</v>
      </c>
      <c r="C76" s="16" t="s">
        <v>422</v>
      </c>
      <c r="D76" s="16" t="s">
        <v>423</v>
      </c>
      <c r="E76" s="17" t="s">
        <v>424</v>
      </c>
      <c r="F76" s="16" t="s">
        <v>139</v>
      </c>
      <c r="G76" s="16" t="s">
        <v>425</v>
      </c>
      <c r="H76" s="17" t="s">
        <v>426</v>
      </c>
      <c r="I76" s="16">
        <v>-2</v>
      </c>
      <c r="J76" s="16">
        <v>5</v>
      </c>
      <c r="K76" s="16" t="s">
        <v>55</v>
      </c>
      <c r="L76" s="16" t="s">
        <v>55</v>
      </c>
      <c r="M76" s="16"/>
      <c r="N76" s="16" t="s">
        <v>255</v>
      </c>
      <c r="O76" s="14" t="s">
        <v>63</v>
      </c>
      <c r="P76" s="14"/>
      <c r="Q76" s="16" t="str">
        <f t="shared" si="2"/>
        <v>Sin dato</v>
      </c>
      <c r="R76" s="14"/>
      <c r="S76" s="15"/>
    </row>
    <row r="77" spans="1:19" ht="24" outlineLevel="1" x14ac:dyDescent="0.25">
      <c r="A77" s="16" t="s">
        <v>427</v>
      </c>
      <c r="B77" s="16" t="s">
        <v>401</v>
      </c>
      <c r="C77" s="16" t="s">
        <v>422</v>
      </c>
      <c r="D77" s="16" t="s">
        <v>428</v>
      </c>
      <c r="E77" s="17" t="s">
        <v>429</v>
      </c>
      <c r="F77" s="16" t="s">
        <v>139</v>
      </c>
      <c r="G77" s="16" t="s">
        <v>425</v>
      </c>
      <c r="H77" s="17" t="s">
        <v>426</v>
      </c>
      <c r="I77" s="16">
        <v>-2</v>
      </c>
      <c r="J77" s="16">
        <v>5</v>
      </c>
      <c r="K77" s="16" t="s">
        <v>55</v>
      </c>
      <c r="L77" s="16" t="s">
        <v>55</v>
      </c>
      <c r="M77" s="16"/>
      <c r="N77" s="16" t="s">
        <v>255</v>
      </c>
      <c r="O77" s="14" t="s">
        <v>63</v>
      </c>
      <c r="P77" s="14"/>
      <c r="Q77" s="16" t="str">
        <f t="shared" si="2"/>
        <v>Sin dato</v>
      </c>
      <c r="R77" s="14"/>
      <c r="S77" s="15"/>
    </row>
    <row r="78" spans="1:19" ht="36" outlineLevel="1" x14ac:dyDescent="0.25">
      <c r="A78" s="16" t="s">
        <v>430</v>
      </c>
      <c r="B78" s="16" t="s">
        <v>401</v>
      </c>
      <c r="C78" s="16" t="s">
        <v>422</v>
      </c>
      <c r="D78" s="16" t="s">
        <v>431</v>
      </c>
      <c r="E78" s="17" t="s">
        <v>432</v>
      </c>
      <c r="F78" s="16" t="s">
        <v>139</v>
      </c>
      <c r="G78" s="16" t="s">
        <v>425</v>
      </c>
      <c r="H78" s="17" t="s">
        <v>433</v>
      </c>
      <c r="I78" s="16">
        <v>-2</v>
      </c>
      <c r="J78" s="16">
        <v>2</v>
      </c>
      <c r="K78" s="16" t="s">
        <v>61</v>
      </c>
      <c r="L78" s="16" t="s">
        <v>55</v>
      </c>
      <c r="M78" s="16"/>
      <c r="N78" s="16" t="s">
        <v>142</v>
      </c>
      <c r="O78" s="14" t="s">
        <v>63</v>
      </c>
      <c r="P78" s="14"/>
      <c r="Q78" s="16" t="str">
        <f t="shared" si="2"/>
        <v>Sin dato</v>
      </c>
      <c r="R78" s="14"/>
      <c r="S78" s="15"/>
    </row>
    <row r="79" spans="1:19" outlineLevel="1" x14ac:dyDescent="0.25">
      <c r="A79" s="16" t="s">
        <v>434</v>
      </c>
      <c r="B79" s="16" t="s">
        <v>401</v>
      </c>
      <c r="C79" s="16" t="s">
        <v>435</v>
      </c>
      <c r="D79" s="16" t="s">
        <v>436</v>
      </c>
      <c r="E79" s="17" t="s">
        <v>437</v>
      </c>
      <c r="F79" s="16" t="s">
        <v>139</v>
      </c>
      <c r="G79" s="16" t="s">
        <v>308</v>
      </c>
      <c r="H79" s="17" t="s">
        <v>438</v>
      </c>
      <c r="I79" s="16">
        <v>2.8</v>
      </c>
      <c r="J79" s="16">
        <v>3.3</v>
      </c>
      <c r="K79" s="16" t="s">
        <v>55</v>
      </c>
      <c r="L79" s="16" t="s">
        <v>61</v>
      </c>
      <c r="M79" s="16" t="s">
        <v>439</v>
      </c>
      <c r="N79" s="16" t="s">
        <v>149</v>
      </c>
      <c r="O79" s="14" t="s">
        <v>63</v>
      </c>
      <c r="P79" s="14"/>
      <c r="Q79" s="16" t="str">
        <f t="shared" si="2"/>
        <v>Sin dato</v>
      </c>
      <c r="R79" s="14"/>
      <c r="S79" s="15"/>
    </row>
    <row r="80" spans="1:19" ht="24" outlineLevel="1" x14ac:dyDescent="0.25">
      <c r="A80" s="16" t="s">
        <v>440</v>
      </c>
      <c r="B80" s="16" t="s">
        <v>401</v>
      </c>
      <c r="C80" s="16" t="s">
        <v>435</v>
      </c>
      <c r="D80" s="16" t="s">
        <v>441</v>
      </c>
      <c r="E80" s="17" t="s">
        <v>442</v>
      </c>
      <c r="F80" s="16" t="s">
        <v>122</v>
      </c>
      <c r="G80" s="16"/>
      <c r="H80" s="17" t="s">
        <v>443</v>
      </c>
      <c r="I80" s="16"/>
      <c r="J80" s="16"/>
      <c r="K80" s="16" t="s">
        <v>55</v>
      </c>
      <c r="L80" s="16" t="s">
        <v>61</v>
      </c>
      <c r="M80" s="16"/>
      <c r="N80" s="16" t="s">
        <v>149</v>
      </c>
      <c r="O80" s="14" t="s">
        <v>63</v>
      </c>
      <c r="P80" s="14"/>
      <c r="Q80" s="16" t="str">
        <f t="shared" si="2"/>
        <v/>
      </c>
      <c r="R80" s="14"/>
      <c r="S80" s="15"/>
    </row>
    <row r="81" spans="1:19" outlineLevel="1" x14ac:dyDescent="0.25">
      <c r="A81" s="16" t="s">
        <v>444</v>
      </c>
      <c r="B81" s="16" t="s">
        <v>401</v>
      </c>
      <c r="C81" s="16" t="s">
        <v>435</v>
      </c>
      <c r="D81" s="16" t="s">
        <v>445</v>
      </c>
      <c r="E81" s="17" t="s">
        <v>446</v>
      </c>
      <c r="F81" s="16" t="s">
        <v>122</v>
      </c>
      <c r="G81" s="16"/>
      <c r="H81" s="17" t="s">
        <v>447</v>
      </c>
      <c r="I81" s="16"/>
      <c r="J81" s="16"/>
      <c r="K81" s="16" t="s">
        <v>55</v>
      </c>
      <c r="L81" s="16" t="s">
        <v>55</v>
      </c>
      <c r="M81" s="16"/>
      <c r="N81" s="16" t="s">
        <v>260</v>
      </c>
      <c r="O81" s="14" t="s">
        <v>63</v>
      </c>
      <c r="P81" s="14"/>
      <c r="Q81" s="16" t="str">
        <f t="shared" si="2"/>
        <v/>
      </c>
      <c r="R81" s="14"/>
      <c r="S81" s="15"/>
    </row>
    <row r="82" spans="1:19" ht="24" outlineLevel="1" x14ac:dyDescent="0.25">
      <c r="A82" s="16" t="s">
        <v>448</v>
      </c>
      <c r="B82" s="16" t="s">
        <v>401</v>
      </c>
      <c r="C82" s="16" t="s">
        <v>449</v>
      </c>
      <c r="D82" s="16" t="s">
        <v>450</v>
      </c>
      <c r="E82" s="17" t="s">
        <v>451</v>
      </c>
      <c r="F82" s="16" t="s">
        <v>122</v>
      </c>
      <c r="G82" s="16"/>
      <c r="H82" s="17" t="s">
        <v>452</v>
      </c>
      <c r="I82" s="16"/>
      <c r="J82" s="16"/>
      <c r="K82" s="16" t="s">
        <v>55</v>
      </c>
      <c r="L82" s="16" t="s">
        <v>55</v>
      </c>
      <c r="M82" s="16"/>
      <c r="N82" s="16" t="s">
        <v>333</v>
      </c>
      <c r="O82" s="14" t="s">
        <v>63</v>
      </c>
      <c r="P82" s="14"/>
      <c r="Q82" s="16" t="str">
        <f t="shared" si="2"/>
        <v/>
      </c>
      <c r="R82" s="14"/>
      <c r="S82" s="15"/>
    </row>
    <row r="83" spans="1:19" ht="24" outlineLevel="1" x14ac:dyDescent="0.25">
      <c r="A83" s="16" t="s">
        <v>453</v>
      </c>
      <c r="B83" s="16" t="s">
        <v>401</v>
      </c>
      <c r="C83" s="16" t="s">
        <v>449</v>
      </c>
      <c r="D83" s="16" t="s">
        <v>454</v>
      </c>
      <c r="E83" s="17" t="s">
        <v>455</v>
      </c>
      <c r="F83" s="16" t="s">
        <v>92</v>
      </c>
      <c r="G83" s="16"/>
      <c r="H83" s="17" t="s">
        <v>456</v>
      </c>
      <c r="I83" s="16"/>
      <c r="J83" s="16"/>
      <c r="K83" s="16" t="s">
        <v>55</v>
      </c>
      <c r="L83" s="16" t="s">
        <v>55</v>
      </c>
      <c r="M83" s="16"/>
      <c r="N83" s="16" t="s">
        <v>104</v>
      </c>
      <c r="O83" s="14" t="s">
        <v>63</v>
      </c>
      <c r="P83" s="14"/>
      <c r="Q83" s="16" t="str">
        <f t="shared" si="2"/>
        <v/>
      </c>
      <c r="R83" s="14"/>
      <c r="S83" s="15"/>
    </row>
    <row r="84" spans="1:19" ht="24" outlineLevel="1" x14ac:dyDescent="0.25">
      <c r="A84" s="16" t="s">
        <v>457</v>
      </c>
      <c r="B84" s="16" t="s">
        <v>401</v>
      </c>
      <c r="C84" s="16" t="s">
        <v>458</v>
      </c>
      <c r="D84" s="16" t="s">
        <v>459</v>
      </c>
      <c r="E84" s="17" t="s">
        <v>460</v>
      </c>
      <c r="F84" s="16" t="s">
        <v>122</v>
      </c>
      <c r="G84" s="16"/>
      <c r="H84" s="17" t="s">
        <v>461</v>
      </c>
      <c r="I84" s="16"/>
      <c r="J84" s="16"/>
      <c r="K84" s="16" t="s">
        <v>61</v>
      </c>
      <c r="L84" s="16" t="s">
        <v>61</v>
      </c>
      <c r="M84" s="16" t="s">
        <v>462</v>
      </c>
      <c r="N84" s="16" t="s">
        <v>463</v>
      </c>
      <c r="O84" s="14" t="s">
        <v>63</v>
      </c>
      <c r="P84" s="14"/>
      <c r="Q84" s="16" t="str">
        <f t="shared" si="2"/>
        <v/>
      </c>
      <c r="R84" s="14"/>
      <c r="S84" s="15"/>
    </row>
    <row r="85" spans="1:19" ht="24" outlineLevel="1" x14ac:dyDescent="0.25">
      <c r="A85" s="16" t="s">
        <v>464</v>
      </c>
      <c r="B85" s="16" t="s">
        <v>401</v>
      </c>
      <c r="C85" s="16" t="s">
        <v>458</v>
      </c>
      <c r="D85" s="16" t="s">
        <v>465</v>
      </c>
      <c r="E85" s="17" t="s">
        <v>466</v>
      </c>
      <c r="F85" s="16" t="s">
        <v>122</v>
      </c>
      <c r="G85" s="16" t="s">
        <v>308</v>
      </c>
      <c r="H85" s="17" t="s">
        <v>467</v>
      </c>
      <c r="I85" s="16">
        <v>3.2</v>
      </c>
      <c r="J85" s="16">
        <v>3.8</v>
      </c>
      <c r="K85" s="16" t="s">
        <v>61</v>
      </c>
      <c r="L85" s="16" t="s">
        <v>61</v>
      </c>
      <c r="M85" s="16" t="s">
        <v>468</v>
      </c>
      <c r="N85" s="16" t="s">
        <v>394</v>
      </c>
      <c r="O85" s="14" t="s">
        <v>63</v>
      </c>
      <c r="P85" s="14"/>
      <c r="Q85" s="16" t="str">
        <f t="shared" si="2"/>
        <v/>
      </c>
      <c r="R85" s="14"/>
      <c r="S85" s="15"/>
    </row>
    <row r="86" spans="1:19" x14ac:dyDescent="0.25">
      <c r="A86" s="12" t="s">
        <v>469</v>
      </c>
      <c r="B86" s="12" t="s">
        <v>470</v>
      </c>
      <c r="C86" s="12" t="s">
        <v>471</v>
      </c>
      <c r="D86" s="12" t="s">
        <v>472</v>
      </c>
      <c r="E86" s="13" t="s">
        <v>473</v>
      </c>
      <c r="F86" s="12" t="s">
        <v>122</v>
      </c>
      <c r="G86" s="12"/>
      <c r="H86" s="13" t="s">
        <v>326</v>
      </c>
      <c r="I86" s="12"/>
      <c r="J86" s="12"/>
      <c r="K86" s="12" t="s">
        <v>55</v>
      </c>
      <c r="L86" s="12" t="s">
        <v>55</v>
      </c>
      <c r="M86" s="12" t="s">
        <v>474</v>
      </c>
      <c r="N86" s="12" t="s">
        <v>149</v>
      </c>
      <c r="O86" s="14" t="s">
        <v>63</v>
      </c>
      <c r="P86" s="14"/>
      <c r="Q86" s="12" t="str">
        <f t="shared" si="2"/>
        <v/>
      </c>
      <c r="R86" s="14"/>
      <c r="S86" s="15"/>
    </row>
    <row r="87" spans="1:19" outlineLevel="1" x14ac:dyDescent="0.25">
      <c r="A87" s="16" t="s">
        <v>475</v>
      </c>
      <c r="B87" s="16" t="s">
        <v>470</v>
      </c>
      <c r="C87" s="16" t="s">
        <v>471</v>
      </c>
      <c r="D87" s="16" t="s">
        <v>476</v>
      </c>
      <c r="E87" s="17" t="s">
        <v>477</v>
      </c>
      <c r="F87" s="16" t="s">
        <v>129</v>
      </c>
      <c r="G87" s="16"/>
      <c r="H87" s="17" t="s">
        <v>478</v>
      </c>
      <c r="I87" s="16"/>
      <c r="J87" s="16"/>
      <c r="K87" s="16" t="s">
        <v>61</v>
      </c>
      <c r="L87" s="16" t="s">
        <v>61</v>
      </c>
      <c r="M87" s="16" t="s">
        <v>474</v>
      </c>
      <c r="N87" s="16" t="s">
        <v>260</v>
      </c>
      <c r="O87" s="14" t="s">
        <v>63</v>
      </c>
      <c r="P87" s="14"/>
      <c r="Q87" s="16" t="str">
        <f t="shared" si="2"/>
        <v/>
      </c>
      <c r="R87" s="14"/>
      <c r="S87" s="15"/>
    </row>
    <row r="88" spans="1:19" ht="48" outlineLevel="1" x14ac:dyDescent="0.25">
      <c r="A88" s="16" t="s">
        <v>479</v>
      </c>
      <c r="B88" s="16" t="s">
        <v>470</v>
      </c>
      <c r="C88" s="16" t="s">
        <v>471</v>
      </c>
      <c r="D88" s="16" t="s">
        <v>480</v>
      </c>
      <c r="E88" s="17" t="s">
        <v>481</v>
      </c>
      <c r="F88" s="16" t="s">
        <v>122</v>
      </c>
      <c r="G88" s="16"/>
      <c r="H88" s="17" t="s">
        <v>482</v>
      </c>
      <c r="I88" s="16"/>
      <c r="J88" s="16"/>
      <c r="K88" s="16" t="s">
        <v>61</v>
      </c>
      <c r="L88" s="16" t="s">
        <v>61</v>
      </c>
      <c r="M88" s="16"/>
      <c r="N88" s="16" t="s">
        <v>164</v>
      </c>
      <c r="O88" s="14" t="s">
        <v>63</v>
      </c>
      <c r="P88" s="14"/>
      <c r="Q88" s="16" t="str">
        <f t="shared" si="2"/>
        <v/>
      </c>
      <c r="R88" s="14"/>
      <c r="S88" s="15"/>
    </row>
    <row r="89" spans="1:19" outlineLevel="1" x14ac:dyDescent="0.25">
      <c r="A89" s="16" t="s">
        <v>483</v>
      </c>
      <c r="B89" s="16" t="s">
        <v>470</v>
      </c>
      <c r="C89" s="16" t="s">
        <v>471</v>
      </c>
      <c r="D89" s="16" t="s">
        <v>484</v>
      </c>
      <c r="E89" s="17" t="s">
        <v>485</v>
      </c>
      <c r="F89" s="16" t="s">
        <v>122</v>
      </c>
      <c r="G89" s="16"/>
      <c r="H89" s="17" t="s">
        <v>326</v>
      </c>
      <c r="I89" s="16"/>
      <c r="J89" s="16"/>
      <c r="K89" s="16" t="s">
        <v>61</v>
      </c>
      <c r="L89" s="16" t="s">
        <v>61</v>
      </c>
      <c r="M89" s="16"/>
      <c r="N89" s="16" t="s">
        <v>124</v>
      </c>
      <c r="O89" s="14" t="s">
        <v>63</v>
      </c>
      <c r="P89" s="14"/>
      <c r="Q89" s="16" t="str">
        <f t="shared" si="2"/>
        <v/>
      </c>
      <c r="R89" s="14"/>
      <c r="S89" s="15"/>
    </row>
    <row r="90" spans="1:19" outlineLevel="1" x14ac:dyDescent="0.25">
      <c r="A90" s="16" t="s">
        <v>486</v>
      </c>
      <c r="B90" s="16" t="s">
        <v>470</v>
      </c>
      <c r="C90" s="16" t="s">
        <v>471</v>
      </c>
      <c r="D90" s="16" t="s">
        <v>487</v>
      </c>
      <c r="E90" s="17" t="s">
        <v>488</v>
      </c>
      <c r="F90" s="16" t="s">
        <v>122</v>
      </c>
      <c r="G90" s="16"/>
      <c r="H90" s="17" t="s">
        <v>326</v>
      </c>
      <c r="I90" s="16"/>
      <c r="J90" s="16"/>
      <c r="K90" s="16" t="s">
        <v>61</v>
      </c>
      <c r="L90" s="16" t="s">
        <v>61</v>
      </c>
      <c r="M90" s="16"/>
      <c r="N90" s="16" t="s">
        <v>124</v>
      </c>
      <c r="O90" s="14" t="s">
        <v>63</v>
      </c>
      <c r="P90" s="14"/>
      <c r="Q90" s="16" t="str">
        <f t="shared" si="2"/>
        <v/>
      </c>
      <c r="R90" s="14"/>
      <c r="S90" s="15"/>
    </row>
    <row r="91" spans="1:19" ht="36" outlineLevel="1" x14ac:dyDescent="0.25">
      <c r="A91" s="16" t="s">
        <v>489</v>
      </c>
      <c r="B91" s="16" t="s">
        <v>470</v>
      </c>
      <c r="C91" s="16" t="s">
        <v>471</v>
      </c>
      <c r="D91" s="16" t="s">
        <v>490</v>
      </c>
      <c r="E91" s="17" t="s">
        <v>491</v>
      </c>
      <c r="F91" s="16" t="s">
        <v>92</v>
      </c>
      <c r="G91" s="16"/>
      <c r="H91" s="17" t="s">
        <v>492</v>
      </c>
      <c r="I91" s="16"/>
      <c r="J91" s="16"/>
      <c r="K91" s="16" t="s">
        <v>61</v>
      </c>
      <c r="L91" s="16" t="s">
        <v>61</v>
      </c>
      <c r="M91" s="16"/>
      <c r="N91" s="16" t="s">
        <v>493</v>
      </c>
      <c r="O91" s="14" t="s">
        <v>63</v>
      </c>
      <c r="P91" s="14"/>
      <c r="Q91" s="16" t="str">
        <f t="shared" si="2"/>
        <v/>
      </c>
      <c r="R91" s="14"/>
      <c r="S91" s="15"/>
    </row>
    <row r="92" spans="1:19" outlineLevel="1" x14ac:dyDescent="0.25">
      <c r="A92" s="16" t="s">
        <v>494</v>
      </c>
      <c r="B92" s="16" t="s">
        <v>470</v>
      </c>
      <c r="C92" s="16" t="s">
        <v>495</v>
      </c>
      <c r="D92" s="16" t="s">
        <v>496</v>
      </c>
      <c r="E92" s="17" t="s">
        <v>497</v>
      </c>
      <c r="F92" s="16" t="s">
        <v>122</v>
      </c>
      <c r="G92" s="16"/>
      <c r="H92" s="17" t="s">
        <v>253</v>
      </c>
      <c r="I92" s="16"/>
      <c r="J92" s="16"/>
      <c r="K92" s="16" t="s">
        <v>55</v>
      </c>
      <c r="L92" s="16" t="s">
        <v>55</v>
      </c>
      <c r="M92" s="16" t="s">
        <v>192</v>
      </c>
      <c r="N92" s="16" t="s">
        <v>333</v>
      </c>
      <c r="O92" s="14" t="s">
        <v>63</v>
      </c>
      <c r="P92" s="14"/>
      <c r="Q92" s="16" t="str">
        <f t="shared" si="2"/>
        <v/>
      </c>
      <c r="R92" s="14"/>
      <c r="S92" s="15"/>
    </row>
    <row r="93" spans="1:19" outlineLevel="1" x14ac:dyDescent="0.25">
      <c r="A93" s="16" t="s">
        <v>498</v>
      </c>
      <c r="B93" s="16" t="s">
        <v>470</v>
      </c>
      <c r="C93" s="16" t="s">
        <v>495</v>
      </c>
      <c r="D93" s="16" t="s">
        <v>499</v>
      </c>
      <c r="E93" s="17" t="s">
        <v>500</v>
      </c>
      <c r="F93" s="16" t="s">
        <v>122</v>
      </c>
      <c r="G93" s="16"/>
      <c r="H93" s="17" t="s">
        <v>253</v>
      </c>
      <c r="I93" s="16"/>
      <c r="J93" s="16"/>
      <c r="K93" s="16" t="s">
        <v>61</v>
      </c>
      <c r="L93" s="16" t="s">
        <v>61</v>
      </c>
      <c r="M93" s="16" t="s">
        <v>501</v>
      </c>
      <c r="N93" s="16" t="s">
        <v>149</v>
      </c>
      <c r="O93" s="14" t="s">
        <v>63</v>
      </c>
      <c r="P93" s="14"/>
      <c r="Q93" s="16" t="str">
        <f t="shared" si="2"/>
        <v/>
      </c>
      <c r="R93" s="14"/>
      <c r="S93" s="15"/>
    </row>
    <row r="94" spans="1:19" outlineLevel="1" x14ac:dyDescent="0.25">
      <c r="A94" s="16" t="s">
        <v>502</v>
      </c>
      <c r="B94" s="16" t="s">
        <v>470</v>
      </c>
      <c r="C94" s="16" t="s">
        <v>495</v>
      </c>
      <c r="D94" s="16" t="s">
        <v>503</v>
      </c>
      <c r="E94" s="17" t="s">
        <v>504</v>
      </c>
      <c r="F94" s="16" t="s">
        <v>122</v>
      </c>
      <c r="G94" s="16"/>
      <c r="H94" s="17" t="s">
        <v>505</v>
      </c>
      <c r="I94" s="16"/>
      <c r="J94" s="16"/>
      <c r="K94" s="16" t="s">
        <v>61</v>
      </c>
      <c r="L94" s="16" t="s">
        <v>61</v>
      </c>
      <c r="M94" s="16" t="s">
        <v>187</v>
      </c>
      <c r="N94" s="16" t="s">
        <v>149</v>
      </c>
      <c r="O94" s="14" t="s">
        <v>63</v>
      </c>
      <c r="P94" s="14"/>
      <c r="Q94" s="16" t="str">
        <f t="shared" si="2"/>
        <v/>
      </c>
      <c r="R94" s="14"/>
      <c r="S94" s="15"/>
    </row>
    <row r="95" spans="1:19" ht="24" x14ac:dyDescent="0.25">
      <c r="A95" s="12" t="s">
        <v>506</v>
      </c>
      <c r="B95" s="12" t="s">
        <v>507</v>
      </c>
      <c r="C95" s="12" t="s">
        <v>508</v>
      </c>
      <c r="D95" s="12" t="s">
        <v>509</v>
      </c>
      <c r="E95" s="13" t="s">
        <v>510</v>
      </c>
      <c r="F95" s="12" t="s">
        <v>153</v>
      </c>
      <c r="G95" s="12"/>
      <c r="H95" s="13" t="s">
        <v>511</v>
      </c>
      <c r="I95" s="12"/>
      <c r="J95" s="12"/>
      <c r="K95" s="12" t="s">
        <v>55</v>
      </c>
      <c r="L95" s="12" t="s">
        <v>61</v>
      </c>
      <c r="M95" s="12"/>
      <c r="N95" s="12" t="s">
        <v>110</v>
      </c>
      <c r="O95" s="14" t="s">
        <v>63</v>
      </c>
      <c r="P95" s="14"/>
      <c r="Q95" s="12" t="str">
        <f t="shared" si="2"/>
        <v/>
      </c>
      <c r="R95" s="14"/>
      <c r="S95" s="15"/>
    </row>
    <row r="96" spans="1:19" ht="24" outlineLevel="1" x14ac:dyDescent="0.25">
      <c r="A96" s="16" t="s">
        <v>512</v>
      </c>
      <c r="B96" s="16" t="s">
        <v>507</v>
      </c>
      <c r="C96" s="16" t="s">
        <v>508</v>
      </c>
      <c r="D96" s="16" t="s">
        <v>513</v>
      </c>
      <c r="E96" s="17" t="s">
        <v>514</v>
      </c>
      <c r="F96" s="16" t="s">
        <v>139</v>
      </c>
      <c r="G96" s="16" t="s">
        <v>515</v>
      </c>
      <c r="H96" s="17" t="s">
        <v>516</v>
      </c>
      <c r="I96" s="18" t="s">
        <v>363</v>
      </c>
      <c r="J96" s="18" t="s">
        <v>363</v>
      </c>
      <c r="K96" s="16" t="s">
        <v>55</v>
      </c>
      <c r="L96" s="16" t="s">
        <v>61</v>
      </c>
      <c r="M96" s="16"/>
      <c r="N96" s="16" t="s">
        <v>110</v>
      </c>
      <c r="O96" s="14" t="s">
        <v>63</v>
      </c>
      <c r="P96" s="14"/>
      <c r="Q96" s="16" t="str">
        <f t="shared" si="2"/>
        <v>Sin dato</v>
      </c>
      <c r="R96" s="14"/>
      <c r="S96" s="15"/>
    </row>
    <row r="97" spans="1:19" outlineLevel="1" x14ac:dyDescent="0.25">
      <c r="A97" s="16" t="s">
        <v>517</v>
      </c>
      <c r="B97" s="16" t="s">
        <v>507</v>
      </c>
      <c r="C97" s="16" t="s">
        <v>508</v>
      </c>
      <c r="D97" s="16" t="s">
        <v>518</v>
      </c>
      <c r="E97" s="17" t="s">
        <v>519</v>
      </c>
      <c r="F97" s="16" t="s">
        <v>139</v>
      </c>
      <c r="G97" s="16" t="s">
        <v>520</v>
      </c>
      <c r="H97" s="17" t="s">
        <v>516</v>
      </c>
      <c r="I97" s="16">
        <v>0</v>
      </c>
      <c r="J97" s="16">
        <v>100</v>
      </c>
      <c r="K97" s="16" t="s">
        <v>55</v>
      </c>
      <c r="L97" s="16" t="s">
        <v>61</v>
      </c>
      <c r="M97" s="16"/>
      <c r="N97" s="16" t="s">
        <v>110</v>
      </c>
      <c r="O97" s="14" t="s">
        <v>63</v>
      </c>
      <c r="P97" s="14"/>
      <c r="Q97" s="16" t="str">
        <f t="shared" si="2"/>
        <v>Sin dato</v>
      </c>
      <c r="R97" s="14"/>
      <c r="S97" s="15"/>
    </row>
    <row r="98" spans="1:19" ht="60" outlineLevel="1" x14ac:dyDescent="0.25">
      <c r="A98" s="16" t="s">
        <v>521</v>
      </c>
      <c r="B98" s="16" t="s">
        <v>507</v>
      </c>
      <c r="C98" s="16" t="s">
        <v>508</v>
      </c>
      <c r="D98" s="16" t="s">
        <v>522</v>
      </c>
      <c r="E98" s="17" t="s">
        <v>523</v>
      </c>
      <c r="F98" s="16" t="s">
        <v>139</v>
      </c>
      <c r="G98" s="16" t="s">
        <v>524</v>
      </c>
      <c r="H98" s="17" t="s">
        <v>525</v>
      </c>
      <c r="I98" s="18" t="s">
        <v>363</v>
      </c>
      <c r="J98" s="18" t="s">
        <v>363</v>
      </c>
      <c r="K98" s="16" t="s">
        <v>61</v>
      </c>
      <c r="L98" s="16" t="s">
        <v>61</v>
      </c>
      <c r="M98" s="16"/>
      <c r="N98" s="16" t="s">
        <v>526</v>
      </c>
      <c r="O98" s="14" t="s">
        <v>63</v>
      </c>
      <c r="P98" s="14"/>
      <c r="Q98" s="16" t="str">
        <f t="shared" si="2"/>
        <v>Sin dato</v>
      </c>
      <c r="R98" s="14"/>
      <c r="S98" s="15"/>
    </row>
    <row r="99" spans="1:19" ht="24" outlineLevel="1" x14ac:dyDescent="0.25">
      <c r="A99" s="16" t="s">
        <v>527</v>
      </c>
      <c r="B99" s="16" t="s">
        <v>507</v>
      </c>
      <c r="C99" s="16" t="s">
        <v>528</v>
      </c>
      <c r="D99" s="16" t="s">
        <v>529</v>
      </c>
      <c r="E99" s="17" t="s">
        <v>530</v>
      </c>
      <c r="F99" s="16" t="s">
        <v>139</v>
      </c>
      <c r="G99" s="16" t="s">
        <v>515</v>
      </c>
      <c r="H99" s="17" t="s">
        <v>531</v>
      </c>
      <c r="I99" s="18" t="s">
        <v>363</v>
      </c>
      <c r="J99" s="18" t="s">
        <v>363</v>
      </c>
      <c r="K99" s="16" t="s">
        <v>61</v>
      </c>
      <c r="L99" s="16" t="s">
        <v>61</v>
      </c>
      <c r="M99" s="16"/>
      <c r="N99" s="16" t="s">
        <v>260</v>
      </c>
      <c r="O99" s="14" t="s">
        <v>63</v>
      </c>
      <c r="P99" s="14"/>
      <c r="Q99" s="16" t="str">
        <f t="shared" si="2"/>
        <v>Sin dato</v>
      </c>
      <c r="R99" s="14"/>
      <c r="S99" s="15"/>
    </row>
    <row r="100" spans="1:19" outlineLevel="1" x14ac:dyDescent="0.25">
      <c r="A100" s="16" t="s">
        <v>532</v>
      </c>
      <c r="B100" s="16" t="s">
        <v>507</v>
      </c>
      <c r="C100" s="16" t="s">
        <v>528</v>
      </c>
      <c r="D100" s="16" t="s">
        <v>533</v>
      </c>
      <c r="E100" s="17" t="s">
        <v>534</v>
      </c>
      <c r="F100" s="16" t="s">
        <v>122</v>
      </c>
      <c r="G100" s="16"/>
      <c r="H100" s="17" t="s">
        <v>535</v>
      </c>
      <c r="I100" s="16"/>
      <c r="J100" s="16"/>
      <c r="K100" s="16" t="s">
        <v>55</v>
      </c>
      <c r="L100" s="16" t="s">
        <v>61</v>
      </c>
      <c r="M100" s="16"/>
      <c r="N100" s="16" t="s">
        <v>260</v>
      </c>
      <c r="O100" s="14" t="s">
        <v>63</v>
      </c>
      <c r="P100" s="14"/>
      <c r="Q100" s="16" t="str">
        <f t="shared" si="2"/>
        <v/>
      </c>
      <c r="R100" s="14"/>
      <c r="S100" s="15"/>
    </row>
    <row r="101" spans="1:19" x14ac:dyDescent="0.25">
      <c r="A101" s="12" t="s">
        <v>536</v>
      </c>
      <c r="B101" s="12" t="s">
        <v>537</v>
      </c>
      <c r="C101" s="12" t="s">
        <v>538</v>
      </c>
      <c r="D101" s="12" t="s">
        <v>539</v>
      </c>
      <c r="E101" s="13" t="s">
        <v>540</v>
      </c>
      <c r="F101" s="12" t="s">
        <v>122</v>
      </c>
      <c r="G101" s="12"/>
      <c r="H101" s="13" t="s">
        <v>541</v>
      </c>
      <c r="I101" s="12"/>
      <c r="J101" s="12"/>
      <c r="K101" s="12" t="s">
        <v>55</v>
      </c>
      <c r="L101" s="12" t="s">
        <v>55</v>
      </c>
      <c r="M101" s="12"/>
      <c r="N101" s="12" t="s">
        <v>333</v>
      </c>
      <c r="O101" s="14" t="s">
        <v>63</v>
      </c>
      <c r="P101" s="14"/>
      <c r="Q101" s="12" t="str">
        <f t="shared" si="2"/>
        <v/>
      </c>
      <c r="R101" s="14"/>
      <c r="S101" s="15"/>
    </row>
    <row r="102" spans="1:19" ht="24" outlineLevel="1" x14ac:dyDescent="0.25">
      <c r="A102" s="16" t="s">
        <v>542</v>
      </c>
      <c r="B102" s="16" t="s">
        <v>537</v>
      </c>
      <c r="C102" s="16" t="s">
        <v>538</v>
      </c>
      <c r="D102" s="16" t="s">
        <v>543</v>
      </c>
      <c r="E102" s="17" t="s">
        <v>544</v>
      </c>
      <c r="F102" s="16" t="s">
        <v>122</v>
      </c>
      <c r="G102" s="16"/>
      <c r="H102" s="17" t="s">
        <v>545</v>
      </c>
      <c r="I102" s="16"/>
      <c r="J102" s="16"/>
      <c r="K102" s="16" t="s">
        <v>55</v>
      </c>
      <c r="L102" s="16" t="s">
        <v>55</v>
      </c>
      <c r="M102" s="16"/>
      <c r="N102" s="16" t="s">
        <v>333</v>
      </c>
      <c r="O102" s="14" t="s">
        <v>63</v>
      </c>
      <c r="P102" s="14"/>
      <c r="Q102" s="16" t="str">
        <f t="shared" si="2"/>
        <v/>
      </c>
      <c r="R102" s="14"/>
      <c r="S102" s="15"/>
    </row>
    <row r="103" spans="1:19" ht="24" outlineLevel="1" x14ac:dyDescent="0.25">
      <c r="A103" s="16" t="s">
        <v>546</v>
      </c>
      <c r="B103" s="16" t="s">
        <v>537</v>
      </c>
      <c r="C103" s="16" t="s">
        <v>538</v>
      </c>
      <c r="D103" s="16" t="s">
        <v>547</v>
      </c>
      <c r="E103" s="17" t="s">
        <v>548</v>
      </c>
      <c r="F103" s="16" t="s">
        <v>122</v>
      </c>
      <c r="G103" s="16"/>
      <c r="H103" s="17" t="s">
        <v>549</v>
      </c>
      <c r="I103" s="16"/>
      <c r="J103" s="16"/>
      <c r="K103" s="16" t="s">
        <v>61</v>
      </c>
      <c r="L103" s="16" t="s">
        <v>61</v>
      </c>
      <c r="M103" s="16"/>
      <c r="N103" s="16" t="s">
        <v>164</v>
      </c>
      <c r="O103" s="14" t="s">
        <v>63</v>
      </c>
      <c r="P103" s="14"/>
      <c r="Q103" s="16" t="str">
        <f t="shared" si="2"/>
        <v/>
      </c>
      <c r="R103" s="14"/>
      <c r="S103" s="15"/>
    </row>
    <row r="104" spans="1:19" ht="24" outlineLevel="1" x14ac:dyDescent="0.25">
      <c r="A104" s="16" t="s">
        <v>550</v>
      </c>
      <c r="B104" s="16" t="s">
        <v>537</v>
      </c>
      <c r="C104" s="16" t="s">
        <v>538</v>
      </c>
      <c r="D104" s="16" t="s">
        <v>551</v>
      </c>
      <c r="E104" s="17" t="s">
        <v>552</v>
      </c>
      <c r="F104" s="16" t="s">
        <v>122</v>
      </c>
      <c r="G104" s="16"/>
      <c r="H104" s="17" t="s">
        <v>553</v>
      </c>
      <c r="I104" s="16"/>
      <c r="J104" s="16"/>
      <c r="K104" s="16" t="s">
        <v>61</v>
      </c>
      <c r="L104" s="16" t="s">
        <v>61</v>
      </c>
      <c r="M104" s="16" t="s">
        <v>554</v>
      </c>
      <c r="N104" s="16" t="s">
        <v>164</v>
      </c>
      <c r="O104" s="14" t="s">
        <v>63</v>
      </c>
      <c r="P104" s="14"/>
      <c r="Q104" s="16" t="str">
        <f t="shared" si="2"/>
        <v/>
      </c>
      <c r="R104" s="14"/>
      <c r="S104" s="15"/>
    </row>
    <row r="105" spans="1:19" ht="24" outlineLevel="1" x14ac:dyDescent="0.25">
      <c r="A105" s="16" t="s">
        <v>555</v>
      </c>
      <c r="B105" s="16" t="s">
        <v>537</v>
      </c>
      <c r="C105" s="16" t="s">
        <v>538</v>
      </c>
      <c r="D105" s="16" t="s">
        <v>556</v>
      </c>
      <c r="E105" s="17" t="s">
        <v>557</v>
      </c>
      <c r="F105" s="16" t="s">
        <v>122</v>
      </c>
      <c r="G105" s="16"/>
      <c r="H105" s="17" t="s">
        <v>558</v>
      </c>
      <c r="I105" s="16"/>
      <c r="J105" s="16"/>
      <c r="K105" s="16" t="s">
        <v>61</v>
      </c>
      <c r="L105" s="16" t="s">
        <v>61</v>
      </c>
      <c r="M105" s="16"/>
      <c r="N105" s="16" t="s">
        <v>394</v>
      </c>
      <c r="O105" s="14" t="s">
        <v>63</v>
      </c>
      <c r="P105" s="14"/>
      <c r="Q105" s="16" t="str">
        <f t="shared" ref="Q105:Q111" si="3">IF($F105&lt;&gt;"Numérico","",IF($P105="","Sin dato",IF(AND(OR(NOT(ISNUMBER($I105)),$P105&gt;=$I105),OR(NOT(ISNUMBER($J105)),$P105&lt;=$J105)),"Dentro de rango","Fuera de rango")))</f>
        <v/>
      </c>
      <c r="R105" s="14"/>
      <c r="S105" s="15"/>
    </row>
    <row r="106" spans="1:19" outlineLevel="1" x14ac:dyDescent="0.25">
      <c r="A106" s="16" t="s">
        <v>559</v>
      </c>
      <c r="B106" s="16" t="s">
        <v>537</v>
      </c>
      <c r="C106" s="16" t="s">
        <v>560</v>
      </c>
      <c r="D106" s="16" t="s">
        <v>561</v>
      </c>
      <c r="E106" s="17" t="s">
        <v>562</v>
      </c>
      <c r="F106" s="16" t="s">
        <v>122</v>
      </c>
      <c r="G106" s="16"/>
      <c r="H106" s="17" t="s">
        <v>563</v>
      </c>
      <c r="I106" s="16"/>
      <c r="J106" s="16"/>
      <c r="K106" s="16" t="s">
        <v>55</v>
      </c>
      <c r="L106" s="16" t="s">
        <v>55</v>
      </c>
      <c r="M106" s="16"/>
      <c r="N106" s="16" t="s">
        <v>149</v>
      </c>
      <c r="O106" s="14" t="s">
        <v>63</v>
      </c>
      <c r="P106" s="14"/>
      <c r="Q106" s="16" t="str">
        <f t="shared" si="3"/>
        <v/>
      </c>
      <c r="R106" s="14"/>
      <c r="S106" s="15"/>
    </row>
    <row r="107" spans="1:19" ht="24" outlineLevel="1" x14ac:dyDescent="0.25">
      <c r="A107" s="16" t="s">
        <v>564</v>
      </c>
      <c r="B107" s="16" t="s">
        <v>537</v>
      </c>
      <c r="C107" s="16" t="s">
        <v>560</v>
      </c>
      <c r="D107" s="16" t="s">
        <v>565</v>
      </c>
      <c r="E107" s="17" t="s">
        <v>566</v>
      </c>
      <c r="F107" s="16" t="s">
        <v>122</v>
      </c>
      <c r="G107" s="16"/>
      <c r="H107" s="17" t="s">
        <v>567</v>
      </c>
      <c r="I107" s="16"/>
      <c r="J107" s="16"/>
      <c r="K107" s="16" t="s">
        <v>55</v>
      </c>
      <c r="L107" s="16" t="s">
        <v>55</v>
      </c>
      <c r="M107" s="16" t="s">
        <v>202</v>
      </c>
      <c r="N107" s="16" t="s">
        <v>149</v>
      </c>
      <c r="O107" s="14" t="s">
        <v>63</v>
      </c>
      <c r="P107" s="14"/>
      <c r="Q107" s="16" t="str">
        <f t="shared" si="3"/>
        <v/>
      </c>
      <c r="R107" s="14"/>
      <c r="S107" s="15"/>
    </row>
    <row r="108" spans="1:19" outlineLevel="1" x14ac:dyDescent="0.25">
      <c r="A108" s="16" t="s">
        <v>568</v>
      </c>
      <c r="B108" s="16" t="s">
        <v>537</v>
      </c>
      <c r="C108" s="16" t="s">
        <v>560</v>
      </c>
      <c r="D108" s="16" t="s">
        <v>569</v>
      </c>
      <c r="E108" s="17" t="s">
        <v>570</v>
      </c>
      <c r="F108" s="16" t="s">
        <v>92</v>
      </c>
      <c r="G108" s="16"/>
      <c r="H108" s="17" t="s">
        <v>571</v>
      </c>
      <c r="I108" s="16"/>
      <c r="J108" s="16"/>
      <c r="K108" s="16" t="s">
        <v>55</v>
      </c>
      <c r="L108" s="16" t="s">
        <v>55</v>
      </c>
      <c r="M108" s="16"/>
      <c r="N108" s="16" t="s">
        <v>149</v>
      </c>
      <c r="O108" s="14" t="s">
        <v>63</v>
      </c>
      <c r="P108" s="14"/>
      <c r="Q108" s="16" t="str">
        <f t="shared" si="3"/>
        <v/>
      </c>
      <c r="R108" s="14"/>
      <c r="S108" s="15"/>
    </row>
    <row r="109" spans="1:19" outlineLevel="1" x14ac:dyDescent="0.25">
      <c r="A109" s="16" t="s">
        <v>572</v>
      </c>
      <c r="B109" s="16" t="s">
        <v>537</v>
      </c>
      <c r="C109" s="16" t="s">
        <v>573</v>
      </c>
      <c r="D109" s="16" t="s">
        <v>574</v>
      </c>
      <c r="E109" s="17" t="s">
        <v>575</v>
      </c>
      <c r="F109" s="16" t="s">
        <v>122</v>
      </c>
      <c r="G109" s="16"/>
      <c r="H109" s="17" t="s">
        <v>576</v>
      </c>
      <c r="I109" s="16"/>
      <c r="J109" s="16"/>
      <c r="K109" s="16" t="s">
        <v>55</v>
      </c>
      <c r="L109" s="16" t="s">
        <v>61</v>
      </c>
      <c r="M109" s="16"/>
      <c r="N109" s="16" t="s">
        <v>260</v>
      </c>
      <c r="O109" s="14" t="s">
        <v>63</v>
      </c>
      <c r="P109" s="14"/>
      <c r="Q109" s="16" t="str">
        <f t="shared" si="3"/>
        <v/>
      </c>
      <c r="R109" s="14"/>
      <c r="S109" s="15"/>
    </row>
    <row r="110" spans="1:19" ht="24" outlineLevel="1" x14ac:dyDescent="0.25">
      <c r="A110" s="16" t="s">
        <v>577</v>
      </c>
      <c r="B110" s="16" t="s">
        <v>537</v>
      </c>
      <c r="C110" s="16" t="s">
        <v>573</v>
      </c>
      <c r="D110" s="16" t="s">
        <v>578</v>
      </c>
      <c r="E110" s="17" t="s">
        <v>579</v>
      </c>
      <c r="F110" s="16" t="s">
        <v>122</v>
      </c>
      <c r="G110" s="16"/>
      <c r="H110" s="17" t="s">
        <v>580</v>
      </c>
      <c r="I110" s="16"/>
      <c r="J110" s="16"/>
      <c r="K110" s="16" t="s">
        <v>55</v>
      </c>
      <c r="L110" s="16" t="s">
        <v>61</v>
      </c>
      <c r="M110" s="16"/>
      <c r="N110" s="16" t="s">
        <v>260</v>
      </c>
      <c r="O110" s="14" t="s">
        <v>63</v>
      </c>
      <c r="P110" s="14"/>
      <c r="Q110" s="16" t="str">
        <f t="shared" si="3"/>
        <v/>
      </c>
      <c r="R110" s="14"/>
      <c r="S110" s="15"/>
    </row>
    <row r="111" spans="1:19" ht="24" outlineLevel="1" x14ac:dyDescent="0.25">
      <c r="A111" s="16" t="s">
        <v>581</v>
      </c>
      <c r="B111" s="16" t="s">
        <v>537</v>
      </c>
      <c r="C111" s="16" t="s">
        <v>573</v>
      </c>
      <c r="D111" s="16" t="s">
        <v>582</v>
      </c>
      <c r="E111" s="17" t="s">
        <v>583</v>
      </c>
      <c r="F111" s="16" t="s">
        <v>122</v>
      </c>
      <c r="G111" s="16"/>
      <c r="H111" s="17" t="s">
        <v>584</v>
      </c>
      <c r="I111" s="16"/>
      <c r="J111" s="16"/>
      <c r="K111" s="16" t="s">
        <v>61</v>
      </c>
      <c r="L111" s="16" t="s">
        <v>61</v>
      </c>
      <c r="M111" s="16"/>
      <c r="N111" s="16" t="s">
        <v>124</v>
      </c>
      <c r="O111" s="14" t="s">
        <v>63</v>
      </c>
      <c r="P111" s="14"/>
      <c r="Q111" s="16" t="str">
        <f t="shared" si="3"/>
        <v/>
      </c>
      <c r="R111" s="14"/>
      <c r="S111" s="15"/>
    </row>
    <row r="113" spans="1:2" x14ac:dyDescent="0.25">
      <c r="A113" s="19" t="s">
        <v>585</v>
      </c>
      <c r="B113" s="20" t="s">
        <v>586</v>
      </c>
    </row>
    <row r="114" spans="1:2" x14ac:dyDescent="0.25">
      <c r="B114" s="20" t="s">
        <v>587</v>
      </c>
    </row>
    <row r="115" spans="1:2" x14ac:dyDescent="0.25">
      <c r="B115" s="20" t="s">
        <v>588</v>
      </c>
    </row>
  </sheetData>
  <conditionalFormatting sqref="O9:O111">
    <cfRule type="cellIs" dxfId="3" priority="2" operator="equal">
      <formula>"Conforme"</formula>
    </cfRule>
    <cfRule type="cellIs" dxfId="2" priority="3" operator="equal">
      <formula>"No conforme"</formula>
    </cfRule>
    <cfRule type="cellIs" dxfId="1" priority="4" operator="equal">
      <formula>"Requiere reemplazo"</formula>
    </cfRule>
  </conditionalFormatting>
  <conditionalFormatting sqref="Q9:Q111">
    <cfRule type="cellIs" dxfId="0" priority="5" operator="equal">
      <formula>"Fuera de rango"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200-000000000000}">
          <x14:formula1>
            <xm:f>Listas!$A$2:$A$6</xm:f>
          </x14:formula1>
          <x14:formula2>
            <xm:f>0</xm:f>
          </x14:formula2>
          <xm:sqref>O9:O111</xm:sqref>
        </x14:dataValidation>
        <x14:dataValidation type="list" allowBlank="1" xr:uid="{00000000-0002-0000-0200-000001000000}">
          <x14:formula1>
            <xm:f>Listas!$B$2:$B$4</xm:f>
          </x14:formula1>
          <x14:formula2>
            <xm:f>0</xm:f>
          </x14:formula2>
          <xm:sqref>R9:R111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6"/>
  <sheetViews>
    <sheetView showGridLines="0" zoomScaleNormal="100" workbookViewId="0"/>
  </sheetViews>
  <sheetFormatPr baseColWidth="10" defaultColWidth="8.7109375" defaultRowHeight="15" x14ac:dyDescent="0.25"/>
  <cols>
    <col min="1" max="1" width="40" customWidth="1"/>
    <col min="2" max="2" width="9" customWidth="1"/>
    <col min="3" max="3" width="11" customWidth="1"/>
    <col min="4" max="4" width="13" customWidth="1"/>
    <col min="5" max="5" width="20" customWidth="1"/>
    <col min="6" max="7" width="11" customWidth="1"/>
    <col min="8" max="8" width="14" customWidth="1"/>
    <col min="9" max="9" width="15" customWidth="1"/>
  </cols>
  <sheetData>
    <row r="1" spans="1:9" ht="16.5" x14ac:dyDescent="0.25">
      <c r="A1" s="21" t="s">
        <v>589</v>
      </c>
    </row>
    <row r="2" spans="1:9" x14ac:dyDescent="0.25">
      <c r="A2" s="22" t="s">
        <v>590</v>
      </c>
    </row>
    <row r="4" spans="1:9" ht="31.5" customHeight="1" x14ac:dyDescent="0.25">
      <c r="A4" s="11" t="s">
        <v>74</v>
      </c>
      <c r="B4" s="11" t="s">
        <v>591</v>
      </c>
      <c r="C4" s="11" t="s">
        <v>59</v>
      </c>
      <c r="D4" s="11" t="s">
        <v>60</v>
      </c>
      <c r="E4" s="11" t="s">
        <v>54</v>
      </c>
      <c r="F4" s="11" t="s">
        <v>62</v>
      </c>
      <c r="G4" s="11" t="s">
        <v>63</v>
      </c>
      <c r="H4" s="11" t="s">
        <v>592</v>
      </c>
      <c r="I4" s="11" t="s">
        <v>593</v>
      </c>
    </row>
    <row r="5" spans="1:9" x14ac:dyDescent="0.25">
      <c r="A5" s="23" t="s">
        <v>88</v>
      </c>
      <c r="B5" s="24">
        <f>COUNTIF(Inspección!$B$9:$B$111,$A5)</f>
        <v>10</v>
      </c>
      <c r="C5" s="24">
        <f>COUNTIFS(Inspección!$B$9:$B$111,$A5,Inspección!$O$9:$O$111,"Conforme")</f>
        <v>0</v>
      </c>
      <c r="D5" s="24">
        <f>COUNTIFS(Inspección!$B$9:$B$111,$A5,Inspección!$O$9:$O$111,"No conforme")</f>
        <v>0</v>
      </c>
      <c r="E5" s="24">
        <f>COUNTIFS(Inspección!$B$9:$B$111,$A5,Inspección!$O$9:$O$111,"Requiere reemplazo")</f>
        <v>0</v>
      </c>
      <c r="F5" s="24">
        <f>COUNTIFS(Inspección!$B$9:$B$111,$A5,Inspección!$O$9:$O$111,"No aplica")</f>
        <v>0</v>
      </c>
      <c r="G5" s="24">
        <f>COUNTIFS(Inspección!$B$9:$B$111,$A5,Inspección!$O$9:$O$111,"Pendiente")</f>
        <v>10</v>
      </c>
      <c r="H5" s="25" t="str">
        <f t="shared" ref="H5:H13" si="0">IFERROR($C5/($B5-$F5-$G5),"")</f>
        <v/>
      </c>
      <c r="I5" s="24">
        <f>COUNTIFS(Inspección!$B$9:$B$111,$A5,Inspección!$Q$9:$Q$111,"Fuera de rango")</f>
        <v>0</v>
      </c>
    </row>
    <row r="6" spans="1:9" x14ac:dyDescent="0.25">
      <c r="A6" s="23" t="s">
        <v>144</v>
      </c>
      <c r="B6" s="24">
        <f>COUNTIF(Inspección!$B$9:$B$111,$A6)</f>
        <v>20</v>
      </c>
      <c r="C6" s="24">
        <f>COUNTIFS(Inspección!$B$9:$B$111,$A6,Inspección!$O$9:$O$111,"Conforme")</f>
        <v>0</v>
      </c>
      <c r="D6" s="24">
        <f>COUNTIFS(Inspección!$B$9:$B$111,$A6,Inspección!$O$9:$O$111,"No conforme")</f>
        <v>0</v>
      </c>
      <c r="E6" s="24">
        <f>COUNTIFS(Inspección!$B$9:$B$111,$A6,Inspección!$O$9:$O$111,"Requiere reemplazo")</f>
        <v>0</v>
      </c>
      <c r="F6" s="24">
        <f>COUNTIFS(Inspección!$B$9:$B$111,$A6,Inspección!$O$9:$O$111,"No aplica")</f>
        <v>0</v>
      </c>
      <c r="G6" s="24">
        <f>COUNTIFS(Inspección!$B$9:$B$111,$A6,Inspección!$O$9:$O$111,"Pendiente")</f>
        <v>20</v>
      </c>
      <c r="H6" s="25" t="str">
        <f t="shared" si="0"/>
        <v/>
      </c>
      <c r="I6" s="24">
        <f>COUNTIFS(Inspección!$B$9:$B$111,$A6,Inspección!$Q$9:$Q$111,"Fuera de rango")</f>
        <v>0</v>
      </c>
    </row>
    <row r="7" spans="1:9" x14ac:dyDescent="0.25">
      <c r="A7" s="23" t="s">
        <v>237</v>
      </c>
      <c r="B7" s="24">
        <f>COUNTIF(Inspección!$B$9:$B$111,$A7)</f>
        <v>18</v>
      </c>
      <c r="C7" s="24">
        <f>COUNTIFS(Inspección!$B$9:$B$111,$A7,Inspección!$O$9:$O$111,"Conforme")</f>
        <v>0</v>
      </c>
      <c r="D7" s="24">
        <f>COUNTIFS(Inspección!$B$9:$B$111,$A7,Inspección!$O$9:$O$111,"No conforme")</f>
        <v>0</v>
      </c>
      <c r="E7" s="24">
        <f>COUNTIFS(Inspección!$B$9:$B$111,$A7,Inspección!$O$9:$O$111,"Requiere reemplazo")</f>
        <v>1</v>
      </c>
      <c r="F7" s="24">
        <f>COUNTIFS(Inspección!$B$9:$B$111,$A7,Inspección!$O$9:$O$111,"No aplica")</f>
        <v>0</v>
      </c>
      <c r="G7" s="24">
        <f>COUNTIFS(Inspección!$B$9:$B$111,$A7,Inspección!$O$9:$O$111,"Pendiente")</f>
        <v>17</v>
      </c>
      <c r="H7" s="25">
        <f t="shared" si="0"/>
        <v>0</v>
      </c>
      <c r="I7" s="24">
        <f>COUNTIFS(Inspección!$B$9:$B$111,$A7,Inspección!$Q$9:$Q$111,"Fuera de rango")</f>
        <v>1</v>
      </c>
    </row>
    <row r="8" spans="1:9" x14ac:dyDescent="0.25">
      <c r="A8" s="23" t="s">
        <v>328</v>
      </c>
      <c r="B8" s="24">
        <f>COUNTIF(Inspección!$B$9:$B$111,$A8)</f>
        <v>14</v>
      </c>
      <c r="C8" s="24">
        <f>COUNTIFS(Inspección!$B$9:$B$111,$A8,Inspección!$O$9:$O$111,"Conforme")</f>
        <v>0</v>
      </c>
      <c r="D8" s="24">
        <f>COUNTIFS(Inspección!$B$9:$B$111,$A8,Inspección!$O$9:$O$111,"No conforme")</f>
        <v>0</v>
      </c>
      <c r="E8" s="24">
        <f>COUNTIFS(Inspección!$B$9:$B$111,$A8,Inspección!$O$9:$O$111,"Requiere reemplazo")</f>
        <v>0</v>
      </c>
      <c r="F8" s="24">
        <f>COUNTIFS(Inspección!$B$9:$B$111,$A8,Inspección!$O$9:$O$111,"No aplica")</f>
        <v>0</v>
      </c>
      <c r="G8" s="24">
        <f>COUNTIFS(Inspección!$B$9:$B$111,$A8,Inspección!$O$9:$O$111,"Pendiente")</f>
        <v>14</v>
      </c>
      <c r="H8" s="25" t="str">
        <f t="shared" si="0"/>
        <v/>
      </c>
      <c r="I8" s="24">
        <f>COUNTIFS(Inspección!$B$9:$B$111,$A8,Inspección!$Q$9:$Q$111,"Fuera de rango")</f>
        <v>0</v>
      </c>
    </row>
    <row r="9" spans="1:9" x14ac:dyDescent="0.25">
      <c r="A9" s="23" t="s">
        <v>401</v>
      </c>
      <c r="B9" s="24">
        <f>COUNTIF(Inspección!$B$9:$B$111,$A9)</f>
        <v>15</v>
      </c>
      <c r="C9" s="24">
        <f>COUNTIFS(Inspección!$B$9:$B$111,$A9,Inspección!$O$9:$O$111,"Conforme")</f>
        <v>0</v>
      </c>
      <c r="D9" s="24">
        <f>COUNTIFS(Inspección!$B$9:$B$111,$A9,Inspección!$O$9:$O$111,"No conforme")</f>
        <v>0</v>
      </c>
      <c r="E9" s="24">
        <f>COUNTIFS(Inspección!$B$9:$B$111,$A9,Inspección!$O$9:$O$111,"Requiere reemplazo")</f>
        <v>0</v>
      </c>
      <c r="F9" s="24">
        <f>COUNTIFS(Inspección!$B$9:$B$111,$A9,Inspección!$O$9:$O$111,"No aplica")</f>
        <v>0</v>
      </c>
      <c r="G9" s="24">
        <f>COUNTIFS(Inspección!$B$9:$B$111,$A9,Inspección!$O$9:$O$111,"Pendiente")</f>
        <v>15</v>
      </c>
      <c r="H9" s="25" t="str">
        <f t="shared" si="0"/>
        <v/>
      </c>
      <c r="I9" s="24">
        <f>COUNTIFS(Inspección!$B$9:$B$111,$A9,Inspección!$Q$9:$Q$111,"Fuera de rango")</f>
        <v>0</v>
      </c>
    </row>
    <row r="10" spans="1:9" x14ac:dyDescent="0.25">
      <c r="A10" s="23" t="s">
        <v>470</v>
      </c>
      <c r="B10" s="24">
        <f>COUNTIF(Inspección!$B$9:$B$111,$A10)</f>
        <v>9</v>
      </c>
      <c r="C10" s="24">
        <f>COUNTIFS(Inspección!$B$9:$B$111,$A10,Inspección!$O$9:$O$111,"Conforme")</f>
        <v>0</v>
      </c>
      <c r="D10" s="24">
        <f>COUNTIFS(Inspección!$B$9:$B$111,$A10,Inspección!$O$9:$O$111,"No conforme")</f>
        <v>0</v>
      </c>
      <c r="E10" s="24">
        <f>COUNTIFS(Inspección!$B$9:$B$111,$A10,Inspección!$O$9:$O$111,"Requiere reemplazo")</f>
        <v>0</v>
      </c>
      <c r="F10" s="24">
        <f>COUNTIFS(Inspección!$B$9:$B$111,$A10,Inspección!$O$9:$O$111,"No aplica")</f>
        <v>0</v>
      </c>
      <c r="G10" s="24">
        <f>COUNTIFS(Inspección!$B$9:$B$111,$A10,Inspección!$O$9:$O$111,"Pendiente")</f>
        <v>9</v>
      </c>
      <c r="H10" s="25" t="str">
        <f t="shared" si="0"/>
        <v/>
      </c>
      <c r="I10" s="24">
        <f>COUNTIFS(Inspección!$B$9:$B$111,$A10,Inspección!$Q$9:$Q$111,"Fuera de rango")</f>
        <v>0</v>
      </c>
    </row>
    <row r="11" spans="1:9" x14ac:dyDescent="0.25">
      <c r="A11" s="23" t="s">
        <v>507</v>
      </c>
      <c r="B11" s="24">
        <f>COUNTIF(Inspección!$B$9:$B$111,$A11)</f>
        <v>6</v>
      </c>
      <c r="C11" s="24">
        <f>COUNTIFS(Inspección!$B$9:$B$111,$A11,Inspección!$O$9:$O$111,"Conforme")</f>
        <v>0</v>
      </c>
      <c r="D11" s="24">
        <f>COUNTIFS(Inspección!$B$9:$B$111,$A11,Inspección!$O$9:$O$111,"No conforme")</f>
        <v>0</v>
      </c>
      <c r="E11" s="24">
        <f>COUNTIFS(Inspección!$B$9:$B$111,$A11,Inspección!$O$9:$O$111,"Requiere reemplazo")</f>
        <v>0</v>
      </c>
      <c r="F11" s="24">
        <f>COUNTIFS(Inspección!$B$9:$B$111,$A11,Inspección!$O$9:$O$111,"No aplica")</f>
        <v>0</v>
      </c>
      <c r="G11" s="24">
        <f>COUNTIFS(Inspección!$B$9:$B$111,$A11,Inspección!$O$9:$O$111,"Pendiente")</f>
        <v>6</v>
      </c>
      <c r="H11" s="25" t="str">
        <f t="shared" si="0"/>
        <v/>
      </c>
      <c r="I11" s="24">
        <f>COUNTIFS(Inspección!$B$9:$B$111,$A11,Inspección!$Q$9:$Q$111,"Fuera de rango")</f>
        <v>0</v>
      </c>
    </row>
    <row r="12" spans="1:9" x14ac:dyDescent="0.25">
      <c r="A12" s="23" t="s">
        <v>537</v>
      </c>
      <c r="B12" s="24">
        <f>COUNTIF(Inspección!$B$9:$B$111,$A12)</f>
        <v>11</v>
      </c>
      <c r="C12" s="24">
        <f>COUNTIFS(Inspección!$B$9:$B$111,$A12,Inspección!$O$9:$O$111,"Conforme")</f>
        <v>0</v>
      </c>
      <c r="D12" s="24">
        <f>COUNTIFS(Inspección!$B$9:$B$111,$A12,Inspección!$O$9:$O$111,"No conforme")</f>
        <v>0</v>
      </c>
      <c r="E12" s="24">
        <f>COUNTIFS(Inspección!$B$9:$B$111,$A12,Inspección!$O$9:$O$111,"Requiere reemplazo")</f>
        <v>0</v>
      </c>
      <c r="F12" s="24">
        <f>COUNTIFS(Inspección!$B$9:$B$111,$A12,Inspección!$O$9:$O$111,"No aplica")</f>
        <v>0</v>
      </c>
      <c r="G12" s="24">
        <f>COUNTIFS(Inspección!$B$9:$B$111,$A12,Inspección!$O$9:$O$111,"Pendiente")</f>
        <v>11</v>
      </c>
      <c r="H12" s="25" t="str">
        <f t="shared" si="0"/>
        <v/>
      </c>
      <c r="I12" s="24">
        <f>COUNTIFS(Inspección!$B$9:$B$111,$A12,Inspección!$Q$9:$Q$111,"Fuera de rango")</f>
        <v>0</v>
      </c>
    </row>
    <row r="13" spans="1:9" x14ac:dyDescent="0.25">
      <c r="A13" s="26" t="s">
        <v>594</v>
      </c>
      <c r="B13" s="26">
        <f t="shared" ref="B13:G13" si="1">SUM(B5:B12)</f>
        <v>103</v>
      </c>
      <c r="C13" s="26">
        <f t="shared" si="1"/>
        <v>0</v>
      </c>
      <c r="D13" s="26">
        <f t="shared" si="1"/>
        <v>0</v>
      </c>
      <c r="E13" s="26">
        <f t="shared" si="1"/>
        <v>1</v>
      </c>
      <c r="F13" s="26">
        <f t="shared" si="1"/>
        <v>0</v>
      </c>
      <c r="G13" s="26">
        <f t="shared" si="1"/>
        <v>102</v>
      </c>
      <c r="H13" s="27">
        <f t="shared" si="0"/>
        <v>0</v>
      </c>
      <c r="I13" s="26">
        <f>SUM(I5:I12)</f>
        <v>1</v>
      </c>
    </row>
    <row r="15" spans="1:9" x14ac:dyDescent="0.25">
      <c r="A15" s="28" t="s">
        <v>595</v>
      </c>
    </row>
    <row r="16" spans="1:9" x14ac:dyDescent="0.25">
      <c r="A16" s="28" t="s">
        <v>596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Instrucciones</vt:lpstr>
      <vt:lpstr>Listas</vt:lpstr>
      <vt:lpstr>Inspección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Alfonso García del Pino Beneitez</cp:lastModifiedBy>
  <cp:revision>0</cp:revision>
  <dcterms:created xsi:type="dcterms:W3CDTF">2026-09-03T15:39:36Z</dcterms:created>
  <dcterms:modified xsi:type="dcterms:W3CDTF">2026-09-03T15:55:25Z</dcterms:modified>
  <dc:language>en-US</dc:language>
</cp:coreProperties>
</file>