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lgar\Downloads\"/>
    </mc:Choice>
  </mc:AlternateContent>
  <xr:revisionPtr revIDLastSave="0" documentId="13_ncr:1_{04632A29-B7BD-4A33-BC06-BFD1AAF0E72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strucciones" sheetId="1" r:id="rId1"/>
    <sheet name="APMA-370 (CO)" sheetId="2" r:id="rId2"/>
    <sheet name="APSA-370 (SO2)" sheetId="3" r:id="rId3"/>
    <sheet name="APOA-370 (O3)" sheetId="4" r:id="rId4"/>
    <sheet name="APNA-370 (NOx)" sheetId="5" r:id="rId5"/>
    <sheet name="Resumen" sheetId="6" r:id="rId6"/>
    <sheet name="Listas" sheetId="7" r:id="rId7"/>
  </sheets>
  <definedNames>
    <definedName name="_xlnm._FilterDatabase" localSheetId="1" hidden="1">'APMA-370 (CO)'!$A$8:$S$88</definedName>
    <definedName name="_xlnm._FilterDatabase" localSheetId="4" hidden="1">'APNA-370 (NOx)'!$A$8:$S$84</definedName>
    <definedName name="_xlnm._FilterDatabase" localSheetId="3" hidden="1">'APOA-370 (O3)'!$A$8:$S$88</definedName>
    <definedName name="_xlnm._FilterDatabase" localSheetId="2" hidden="1">'APSA-370 (SO2)'!$A$8:$S$104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0" i="6" l="1"/>
  <c r="G60" i="6"/>
  <c r="F60" i="6"/>
  <c r="E60" i="6"/>
  <c r="D60" i="6"/>
  <c r="C60" i="6"/>
  <c r="H60" i="6" s="1"/>
  <c r="B60" i="6"/>
  <c r="I59" i="6"/>
  <c r="G59" i="6"/>
  <c r="F59" i="6"/>
  <c r="E59" i="6"/>
  <c r="D59" i="6"/>
  <c r="C59" i="6"/>
  <c r="H59" i="6" s="1"/>
  <c r="B59" i="6"/>
  <c r="I58" i="6"/>
  <c r="G58" i="6"/>
  <c r="F58" i="6"/>
  <c r="E58" i="6"/>
  <c r="D58" i="6"/>
  <c r="C58" i="6"/>
  <c r="H58" i="6" s="1"/>
  <c r="B58" i="6"/>
  <c r="G57" i="6"/>
  <c r="F57" i="6"/>
  <c r="E57" i="6"/>
  <c r="D57" i="6"/>
  <c r="C57" i="6"/>
  <c r="H57" i="6" s="1"/>
  <c r="B57" i="6"/>
  <c r="I56" i="6"/>
  <c r="G56" i="6"/>
  <c r="F56" i="6"/>
  <c r="E56" i="6"/>
  <c r="D56" i="6"/>
  <c r="C56" i="6"/>
  <c r="H56" i="6" s="1"/>
  <c r="B56" i="6"/>
  <c r="G55" i="6"/>
  <c r="F55" i="6"/>
  <c r="E55" i="6"/>
  <c r="D55" i="6"/>
  <c r="C55" i="6"/>
  <c r="H55" i="6" s="1"/>
  <c r="B55" i="6"/>
  <c r="I54" i="6"/>
  <c r="G54" i="6"/>
  <c r="F54" i="6"/>
  <c r="E54" i="6"/>
  <c r="D54" i="6"/>
  <c r="C54" i="6"/>
  <c r="H54" i="6" s="1"/>
  <c r="B54" i="6"/>
  <c r="G53" i="6"/>
  <c r="F53" i="6"/>
  <c r="E53" i="6"/>
  <c r="D53" i="6"/>
  <c r="C53" i="6"/>
  <c r="H53" i="6" s="1"/>
  <c r="B53" i="6"/>
  <c r="I52" i="6"/>
  <c r="G52" i="6"/>
  <c r="F52" i="6"/>
  <c r="E52" i="6"/>
  <c r="D52" i="6"/>
  <c r="C52" i="6"/>
  <c r="H52" i="6" s="1"/>
  <c r="B52" i="6"/>
  <c r="G51" i="6"/>
  <c r="G61" i="6" s="1"/>
  <c r="G69" i="6" s="1"/>
  <c r="F51" i="6"/>
  <c r="F61" i="6" s="1"/>
  <c r="F69" i="6" s="1"/>
  <c r="E51" i="6"/>
  <c r="E61" i="6" s="1"/>
  <c r="E69" i="6" s="1"/>
  <c r="D51" i="6"/>
  <c r="D61" i="6" s="1"/>
  <c r="D69" i="6" s="1"/>
  <c r="C51" i="6"/>
  <c r="H51" i="6" s="1"/>
  <c r="B51" i="6"/>
  <c r="B61" i="6" s="1"/>
  <c r="B69" i="6" s="1"/>
  <c r="G45" i="6"/>
  <c r="F45" i="6"/>
  <c r="E45" i="6"/>
  <c r="D45" i="6"/>
  <c r="C45" i="6"/>
  <c r="H45" i="6" s="1"/>
  <c r="B45" i="6"/>
  <c r="I44" i="6"/>
  <c r="G44" i="6"/>
  <c r="F44" i="6"/>
  <c r="E44" i="6"/>
  <c r="D44" i="6"/>
  <c r="C44" i="6"/>
  <c r="H44" i="6" s="1"/>
  <c r="B44" i="6"/>
  <c r="G43" i="6"/>
  <c r="F43" i="6"/>
  <c r="E43" i="6"/>
  <c r="D43" i="6"/>
  <c r="C43" i="6"/>
  <c r="H43" i="6" s="1"/>
  <c r="B43" i="6"/>
  <c r="G42" i="6"/>
  <c r="F42" i="6"/>
  <c r="E42" i="6"/>
  <c r="D42" i="6"/>
  <c r="C42" i="6"/>
  <c r="H42" i="6" s="1"/>
  <c r="B42" i="6"/>
  <c r="G41" i="6"/>
  <c r="F41" i="6"/>
  <c r="E41" i="6"/>
  <c r="D41" i="6"/>
  <c r="C41" i="6"/>
  <c r="H41" i="6" s="1"/>
  <c r="B41" i="6"/>
  <c r="G40" i="6"/>
  <c r="F40" i="6"/>
  <c r="E40" i="6"/>
  <c r="D40" i="6"/>
  <c r="C40" i="6"/>
  <c r="H40" i="6" s="1"/>
  <c r="B40" i="6"/>
  <c r="G39" i="6"/>
  <c r="F39" i="6"/>
  <c r="E39" i="6"/>
  <c r="D39" i="6"/>
  <c r="C39" i="6"/>
  <c r="H39" i="6" s="1"/>
  <c r="B39" i="6"/>
  <c r="G38" i="6"/>
  <c r="F38" i="6"/>
  <c r="E38" i="6"/>
  <c r="D38" i="6"/>
  <c r="C38" i="6"/>
  <c r="H38" i="6" s="1"/>
  <c r="B38" i="6"/>
  <c r="G37" i="6"/>
  <c r="F37" i="6"/>
  <c r="E37" i="6"/>
  <c r="D37" i="6"/>
  <c r="C37" i="6"/>
  <c r="H37" i="6" s="1"/>
  <c r="B37" i="6"/>
  <c r="G36" i="6"/>
  <c r="G46" i="6" s="1"/>
  <c r="G68" i="6" s="1"/>
  <c r="F36" i="6"/>
  <c r="F46" i="6" s="1"/>
  <c r="F68" i="6" s="1"/>
  <c r="E36" i="6"/>
  <c r="E46" i="6" s="1"/>
  <c r="E68" i="6" s="1"/>
  <c r="D36" i="6"/>
  <c r="D46" i="6" s="1"/>
  <c r="D68" i="6" s="1"/>
  <c r="C36" i="6"/>
  <c r="H36" i="6" s="1"/>
  <c r="B36" i="6"/>
  <c r="B46" i="6" s="1"/>
  <c r="B68" i="6" s="1"/>
  <c r="I30" i="6"/>
  <c r="G30" i="6"/>
  <c r="F30" i="6"/>
  <c r="E30" i="6"/>
  <c r="D30" i="6"/>
  <c r="C30" i="6"/>
  <c r="H30" i="6" s="1"/>
  <c r="B30" i="6"/>
  <c r="G29" i="6"/>
  <c r="F29" i="6"/>
  <c r="E29" i="6"/>
  <c r="D29" i="6"/>
  <c r="C29" i="6"/>
  <c r="H29" i="6" s="1"/>
  <c r="B29" i="6"/>
  <c r="I28" i="6"/>
  <c r="G28" i="6"/>
  <c r="F28" i="6"/>
  <c r="E28" i="6"/>
  <c r="D28" i="6"/>
  <c r="C28" i="6"/>
  <c r="H28" i="6" s="1"/>
  <c r="B28" i="6"/>
  <c r="G27" i="6"/>
  <c r="F27" i="6"/>
  <c r="E27" i="6"/>
  <c r="D27" i="6"/>
  <c r="C27" i="6"/>
  <c r="H27" i="6" s="1"/>
  <c r="B27" i="6"/>
  <c r="G26" i="6"/>
  <c r="F26" i="6"/>
  <c r="E26" i="6"/>
  <c r="D26" i="6"/>
  <c r="C26" i="6"/>
  <c r="H26" i="6" s="1"/>
  <c r="B26" i="6"/>
  <c r="G25" i="6"/>
  <c r="F25" i="6"/>
  <c r="E25" i="6"/>
  <c r="D25" i="6"/>
  <c r="C25" i="6"/>
  <c r="H25" i="6" s="1"/>
  <c r="B25" i="6"/>
  <c r="I24" i="6"/>
  <c r="G24" i="6"/>
  <c r="F24" i="6"/>
  <c r="E24" i="6"/>
  <c r="D24" i="6"/>
  <c r="C24" i="6"/>
  <c r="H24" i="6" s="1"/>
  <c r="B24" i="6"/>
  <c r="G23" i="6"/>
  <c r="F23" i="6"/>
  <c r="E23" i="6"/>
  <c r="D23" i="6"/>
  <c r="C23" i="6"/>
  <c r="H23" i="6" s="1"/>
  <c r="B23" i="6"/>
  <c r="I22" i="6"/>
  <c r="G22" i="6"/>
  <c r="F22" i="6"/>
  <c r="E22" i="6"/>
  <c r="D22" i="6"/>
  <c r="C22" i="6"/>
  <c r="H22" i="6" s="1"/>
  <c r="B22" i="6"/>
  <c r="G21" i="6"/>
  <c r="G31" i="6" s="1"/>
  <c r="G67" i="6" s="1"/>
  <c r="F21" i="6"/>
  <c r="F31" i="6" s="1"/>
  <c r="F67" i="6" s="1"/>
  <c r="E21" i="6"/>
  <c r="E31" i="6" s="1"/>
  <c r="E67" i="6" s="1"/>
  <c r="D21" i="6"/>
  <c r="D31" i="6" s="1"/>
  <c r="D67" i="6" s="1"/>
  <c r="C21" i="6"/>
  <c r="H21" i="6" s="1"/>
  <c r="B21" i="6"/>
  <c r="B31" i="6" s="1"/>
  <c r="B67" i="6" s="1"/>
  <c r="G15" i="6"/>
  <c r="F15" i="6"/>
  <c r="E15" i="6"/>
  <c r="D15" i="6"/>
  <c r="C15" i="6"/>
  <c r="H15" i="6" s="1"/>
  <c r="B15" i="6"/>
  <c r="G14" i="6"/>
  <c r="F14" i="6"/>
  <c r="E14" i="6"/>
  <c r="D14" i="6"/>
  <c r="C14" i="6"/>
  <c r="H14" i="6" s="1"/>
  <c r="B14" i="6"/>
  <c r="G13" i="6"/>
  <c r="F13" i="6"/>
  <c r="E13" i="6"/>
  <c r="D13" i="6"/>
  <c r="C13" i="6"/>
  <c r="H13" i="6" s="1"/>
  <c r="B13" i="6"/>
  <c r="G12" i="6"/>
  <c r="F12" i="6"/>
  <c r="E12" i="6"/>
  <c r="D12" i="6"/>
  <c r="C12" i="6"/>
  <c r="H12" i="6" s="1"/>
  <c r="B12" i="6"/>
  <c r="G11" i="6"/>
  <c r="F11" i="6"/>
  <c r="E11" i="6"/>
  <c r="D11" i="6"/>
  <c r="C11" i="6"/>
  <c r="H11" i="6" s="1"/>
  <c r="B11" i="6"/>
  <c r="I10" i="6"/>
  <c r="G10" i="6"/>
  <c r="F10" i="6"/>
  <c r="E10" i="6"/>
  <c r="D10" i="6"/>
  <c r="C10" i="6"/>
  <c r="H10" i="6" s="1"/>
  <c r="B10" i="6"/>
  <c r="G9" i="6"/>
  <c r="F9" i="6"/>
  <c r="E9" i="6"/>
  <c r="D9" i="6"/>
  <c r="C9" i="6"/>
  <c r="H9" i="6" s="1"/>
  <c r="B9" i="6"/>
  <c r="I8" i="6"/>
  <c r="G8" i="6"/>
  <c r="F8" i="6"/>
  <c r="E8" i="6"/>
  <c r="D8" i="6"/>
  <c r="C8" i="6"/>
  <c r="H8" i="6" s="1"/>
  <c r="B8" i="6"/>
  <c r="G7" i="6"/>
  <c r="F7" i="6"/>
  <c r="E7" i="6"/>
  <c r="D7" i="6"/>
  <c r="C7" i="6"/>
  <c r="H7" i="6" s="1"/>
  <c r="B7" i="6"/>
  <c r="G6" i="6"/>
  <c r="G16" i="6" s="1"/>
  <c r="G66" i="6" s="1"/>
  <c r="F6" i="6"/>
  <c r="F16" i="6" s="1"/>
  <c r="F66" i="6" s="1"/>
  <c r="E6" i="6"/>
  <c r="E16" i="6" s="1"/>
  <c r="E66" i="6" s="1"/>
  <c r="D6" i="6"/>
  <c r="D16" i="6" s="1"/>
  <c r="D66" i="6" s="1"/>
  <c r="C6" i="6"/>
  <c r="H6" i="6" s="1"/>
  <c r="B6" i="6"/>
  <c r="B16" i="6" s="1"/>
  <c r="B66" i="6" s="1"/>
  <c r="Q84" i="5"/>
  <c r="Q83" i="5"/>
  <c r="Q82" i="5"/>
  <c r="Q81" i="5"/>
  <c r="Q80" i="5"/>
  <c r="Q79" i="5"/>
  <c r="Q78" i="5"/>
  <c r="Q77" i="5"/>
  <c r="Q76" i="5"/>
  <c r="Q75" i="5"/>
  <c r="Q74" i="5"/>
  <c r="Q73" i="5"/>
  <c r="Q72" i="5"/>
  <c r="Q71" i="5"/>
  <c r="Q70" i="5"/>
  <c r="Q69" i="5"/>
  <c r="Q68" i="5"/>
  <c r="Q67" i="5"/>
  <c r="Q66" i="5"/>
  <c r="Q65" i="5"/>
  <c r="Q64" i="5"/>
  <c r="Q63" i="5"/>
  <c r="Q62" i="5"/>
  <c r="Q61" i="5"/>
  <c r="Q60" i="5"/>
  <c r="I57" i="6" s="1"/>
  <c r="Q59" i="5"/>
  <c r="Q58" i="5"/>
  <c r="Q57" i="5"/>
  <c r="Q56" i="5"/>
  <c r="Q55" i="5"/>
  <c r="Q54" i="5"/>
  <c r="Q53" i="5"/>
  <c r="Q52" i="5"/>
  <c r="Q51" i="5"/>
  <c r="Q50" i="5"/>
  <c r="Q49" i="5"/>
  <c r="Q48" i="5"/>
  <c r="Q47" i="5"/>
  <c r="Q46" i="5"/>
  <c r="Q45" i="5"/>
  <c r="Q44" i="5"/>
  <c r="Q43" i="5"/>
  <c r="Q42" i="5"/>
  <c r="Q41" i="5"/>
  <c r="I55" i="6" s="1"/>
  <c r="Q40" i="5"/>
  <c r="Q39" i="5"/>
  <c r="Q38" i="5"/>
  <c r="Q37" i="5"/>
  <c r="Q36" i="5"/>
  <c r="Q35" i="5"/>
  <c r="Q34" i="5"/>
  <c r="Q33" i="5"/>
  <c r="Q32" i="5"/>
  <c r="Q31" i="5"/>
  <c r="Q30" i="5"/>
  <c r="Q29" i="5"/>
  <c r="Q28" i="5"/>
  <c r="Q27" i="5"/>
  <c r="Q26" i="5"/>
  <c r="Q25" i="5"/>
  <c r="Q24" i="5"/>
  <c r="Q23" i="5"/>
  <c r="Q22" i="5"/>
  <c r="Q21" i="5"/>
  <c r="Q20" i="5"/>
  <c r="I53" i="6" s="1"/>
  <c r="Q19" i="5"/>
  <c r="Q18" i="5"/>
  <c r="Q17" i="5"/>
  <c r="Q16" i="5"/>
  <c r="Q15" i="5"/>
  <c r="Q14" i="5"/>
  <c r="Q13" i="5"/>
  <c r="Q12" i="5"/>
  <c r="Q11" i="5"/>
  <c r="Q10" i="5"/>
  <c r="Q9" i="5"/>
  <c r="I51" i="6" s="1"/>
  <c r="Q88" i="4"/>
  <c r="Q87" i="4"/>
  <c r="Q86" i="4"/>
  <c r="Q85" i="4"/>
  <c r="Q84" i="4"/>
  <c r="I45" i="6" s="1"/>
  <c r="Q83" i="4"/>
  <c r="Q82" i="4"/>
  <c r="Q81" i="4"/>
  <c r="Q80" i="4"/>
  <c r="Q79" i="4"/>
  <c r="Q78" i="4"/>
  <c r="Q77" i="4"/>
  <c r="Q76" i="4"/>
  <c r="Q75" i="4"/>
  <c r="Q74" i="4"/>
  <c r="Q73" i="4"/>
  <c r="I43" i="6" s="1"/>
  <c r="Q72" i="4"/>
  <c r="Q71" i="4"/>
  <c r="Q70" i="4"/>
  <c r="Q69" i="4"/>
  <c r="Q68" i="4"/>
  <c r="Q67" i="4"/>
  <c r="Q66" i="4"/>
  <c r="Q65" i="4"/>
  <c r="Q64" i="4"/>
  <c r="Q63" i="4"/>
  <c r="Q62" i="4"/>
  <c r="Q61" i="4"/>
  <c r="Q60" i="4"/>
  <c r="Q59" i="4"/>
  <c r="Q58" i="4"/>
  <c r="Q57" i="4"/>
  <c r="I42" i="6" s="1"/>
  <c r="Q56" i="4"/>
  <c r="Q55" i="4"/>
  <c r="Q54" i="4"/>
  <c r="Q53" i="4"/>
  <c r="Q52" i="4"/>
  <c r="Q51" i="4"/>
  <c r="Q50" i="4"/>
  <c r="Q49" i="4"/>
  <c r="Q48" i="4"/>
  <c r="Q47" i="4"/>
  <c r="Q46" i="4"/>
  <c r="Q45" i="4"/>
  <c r="Q44" i="4"/>
  <c r="I41" i="6" s="1"/>
  <c r="Q43" i="4"/>
  <c r="Q42" i="4"/>
  <c r="Q41" i="4"/>
  <c r="I40" i="6" s="1"/>
  <c r="Q40" i="4"/>
  <c r="Q39" i="4"/>
  <c r="Q38" i="4"/>
  <c r="Q37" i="4"/>
  <c r="Q36" i="4"/>
  <c r="Q35" i="4"/>
  <c r="Q34" i="4"/>
  <c r="Q33" i="4"/>
  <c r="Q32" i="4"/>
  <c r="Q31" i="4"/>
  <c r="Q30" i="4"/>
  <c r="Q29" i="4"/>
  <c r="I39" i="6" s="1"/>
  <c r="Q28" i="4"/>
  <c r="Q27" i="4"/>
  <c r="Q26" i="4"/>
  <c r="Q25" i="4"/>
  <c r="I38" i="6" s="1"/>
  <c r="Q24" i="4"/>
  <c r="Q23" i="4"/>
  <c r="Q22" i="4"/>
  <c r="Q21" i="4"/>
  <c r="Q20" i="4"/>
  <c r="Q19" i="4"/>
  <c r="Q18" i="4"/>
  <c r="Q17" i="4"/>
  <c r="Q16" i="4"/>
  <c r="I37" i="6" s="1"/>
  <c r="Q15" i="4"/>
  <c r="Q14" i="4"/>
  <c r="Q13" i="4"/>
  <c r="Q12" i="4"/>
  <c r="Q11" i="4"/>
  <c r="Q10" i="4"/>
  <c r="Q9" i="4"/>
  <c r="I36" i="6" s="1"/>
  <c r="Q104" i="3"/>
  <c r="Q103" i="3"/>
  <c r="Q102" i="3"/>
  <c r="Q101" i="3"/>
  <c r="Q100" i="3"/>
  <c r="Q99" i="3"/>
  <c r="Q98" i="3"/>
  <c r="Q97" i="3"/>
  <c r="Q96" i="3"/>
  <c r="Q95" i="3"/>
  <c r="Q94" i="3"/>
  <c r="Q93" i="3"/>
  <c r="Q92" i="3"/>
  <c r="I29" i="6" s="1"/>
  <c r="Q91" i="3"/>
  <c r="Q90" i="3"/>
  <c r="Q89" i="3"/>
  <c r="Q88" i="3"/>
  <c r="Q87" i="3"/>
  <c r="Q86" i="3"/>
  <c r="Q85" i="3"/>
  <c r="Q84" i="3"/>
  <c r="Q83" i="3"/>
  <c r="Q82" i="3"/>
  <c r="Q81" i="3"/>
  <c r="Q80" i="3"/>
  <c r="Q79" i="3"/>
  <c r="Q78" i="3"/>
  <c r="Q77" i="3"/>
  <c r="Q76" i="3"/>
  <c r="Q75" i="3"/>
  <c r="Q74" i="3"/>
  <c r="Q73" i="3"/>
  <c r="Q72" i="3"/>
  <c r="Q71" i="3"/>
  <c r="Q70" i="3"/>
  <c r="Q69" i="3"/>
  <c r="Q68" i="3"/>
  <c r="Q67" i="3"/>
  <c r="Q66" i="3"/>
  <c r="Q65" i="3"/>
  <c r="Q64" i="3"/>
  <c r="I27" i="6" s="1"/>
  <c r="Q63" i="3"/>
  <c r="Q62" i="3"/>
  <c r="Q61" i="3"/>
  <c r="Q60" i="3"/>
  <c r="I26" i="6" s="1"/>
  <c r="Q59" i="3"/>
  <c r="Q58" i="3"/>
  <c r="Q57" i="3"/>
  <c r="Q56" i="3"/>
  <c r="Q55" i="3"/>
  <c r="Q54" i="3"/>
  <c r="Q53" i="3"/>
  <c r="Q52" i="3"/>
  <c r="Q51" i="3"/>
  <c r="Q50" i="3"/>
  <c r="Q49" i="3"/>
  <c r="Q48" i="3"/>
  <c r="Q47" i="3"/>
  <c r="Q46" i="3"/>
  <c r="Q45" i="3"/>
  <c r="Q44" i="3"/>
  <c r="Q43" i="3"/>
  <c r="Q42" i="3"/>
  <c r="Q41" i="3"/>
  <c r="I25" i="6" s="1"/>
  <c r="Q40" i="3"/>
  <c r="Q39" i="3"/>
  <c r="Q38" i="3"/>
  <c r="Q37" i="3"/>
  <c r="Q36" i="3"/>
  <c r="Q35" i="3"/>
  <c r="Q34" i="3"/>
  <c r="Q33" i="3"/>
  <c r="Q32" i="3"/>
  <c r="Q31" i="3"/>
  <c r="Q30" i="3"/>
  <c r="Q29" i="3"/>
  <c r="Q28" i="3"/>
  <c r="Q27" i="3"/>
  <c r="Q26" i="3"/>
  <c r="Q25" i="3"/>
  <c r="Q24" i="3"/>
  <c r="Q23" i="3"/>
  <c r="Q22" i="3"/>
  <c r="Q21" i="3"/>
  <c r="Q20" i="3"/>
  <c r="I23" i="6" s="1"/>
  <c r="Q19" i="3"/>
  <c r="Q18" i="3"/>
  <c r="Q17" i="3"/>
  <c r="Q16" i="3"/>
  <c r="Q15" i="3"/>
  <c r="Q14" i="3"/>
  <c r="Q13" i="3"/>
  <c r="Q12" i="3"/>
  <c r="Q11" i="3"/>
  <c r="Q10" i="3"/>
  <c r="Q9" i="3"/>
  <c r="I21" i="6" s="1"/>
  <c r="Q88" i="2"/>
  <c r="Q87" i="2"/>
  <c r="Q86" i="2"/>
  <c r="Q85" i="2"/>
  <c r="Q84" i="2"/>
  <c r="Q83" i="2"/>
  <c r="Q82" i="2"/>
  <c r="Q81" i="2"/>
  <c r="Q80" i="2"/>
  <c r="Q79" i="2"/>
  <c r="I15" i="6" s="1"/>
  <c r="Q78" i="2"/>
  <c r="Q77" i="2"/>
  <c r="Q76" i="2"/>
  <c r="I14" i="6" s="1"/>
  <c r="Q75" i="2"/>
  <c r="Q74" i="2"/>
  <c r="Q73" i="2"/>
  <c r="Q72" i="2"/>
  <c r="Q71" i="2"/>
  <c r="Q70" i="2"/>
  <c r="Q69" i="2"/>
  <c r="Q68" i="2"/>
  <c r="I13" i="6" s="1"/>
  <c r="Q67" i="2"/>
  <c r="Q66" i="2"/>
  <c r="Q65" i="2"/>
  <c r="Q64" i="2"/>
  <c r="Q63" i="2"/>
  <c r="Q62" i="2"/>
  <c r="Q61" i="2"/>
  <c r="Q60" i="2"/>
  <c r="I12" i="6" s="1"/>
  <c r="Q59" i="2"/>
  <c r="Q58" i="2"/>
  <c r="Q57" i="2"/>
  <c r="Q56" i="2"/>
  <c r="Q55" i="2"/>
  <c r="Q54" i="2"/>
  <c r="Q53" i="2"/>
  <c r="Q52" i="2"/>
  <c r="Q51" i="2"/>
  <c r="Q50" i="2"/>
  <c r="Q49" i="2"/>
  <c r="Q48" i="2"/>
  <c r="Q47" i="2"/>
  <c r="Q46" i="2"/>
  <c r="Q45" i="2"/>
  <c r="Q44" i="2"/>
  <c r="I11" i="6" s="1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I9" i="6" s="1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I7" i="6" s="1"/>
  <c r="Q14" i="2"/>
  <c r="Q13" i="2"/>
  <c r="Q12" i="2"/>
  <c r="I6" i="6" s="1"/>
  <c r="Q11" i="2"/>
  <c r="Q10" i="2"/>
  <c r="Q9" i="2"/>
  <c r="I16" i="6" l="1"/>
  <c r="I66" i="6" s="1"/>
  <c r="I61" i="6"/>
  <c r="I69" i="6" s="1"/>
  <c r="I31" i="6"/>
  <c r="I67" i="6" s="1"/>
  <c r="I46" i="6"/>
  <c r="I68" i="6" s="1"/>
  <c r="C46" i="6"/>
  <c r="C16" i="6"/>
  <c r="C31" i="6"/>
  <c r="C61" i="6"/>
  <c r="H31" i="6" l="1"/>
  <c r="H67" i="6" s="1"/>
  <c r="C67" i="6"/>
  <c r="H46" i="6"/>
  <c r="H68" i="6" s="1"/>
  <c r="C68" i="6"/>
  <c r="H61" i="6"/>
  <c r="H69" i="6" s="1"/>
  <c r="C69" i="6"/>
  <c r="H16" i="6"/>
  <c r="H66" i="6" s="1"/>
  <c r="C66" i="6"/>
</calcChain>
</file>

<file path=xl/sharedStrings.xml><?xml version="1.0" encoding="utf-8"?>
<sst xmlns="http://schemas.openxmlformats.org/spreadsheetml/2006/main" count="4226" uniqueCount="1605">
  <si>
    <t>INSPECCIÓN FÍSICA DE EQUIPO — SERIE HORIBA AP-370</t>
  </si>
  <si>
    <t>APMA-370 (CO) · APSA-370 (SO2) · APOA-370 (O3) · APNA-370 (NOx)</t>
  </si>
  <si>
    <t>Ambientalia — Servicio Técnico · v1.0 · Estructura derivada del prototipo GRIMM EDM180 v1.2</t>
  </si>
  <si>
    <t>Qué contiene este libro</t>
  </si>
  <si>
    <t>Una hoja de inspección por modelo de analizador. Cada hoja es a la vez el catálogo maestro de la</t>
  </si>
  <si>
    <t>jerarquía (niveles macro N1, subniveles N2 e ítems N3) y la hoja de captura de una visita, con la</t>
  </si>
  <si>
    <t>misma estructura de columnas del prototipo GRIMM EDM180 v1.2: las columnas A a N definen el ítem</t>
  </si>
  <si>
    <t>y las columnas O a S (en amarillo) son lo que diligencia el técnico en cada visita.</t>
  </si>
  <si>
    <t>Hojas del libro</t>
  </si>
  <si>
    <t>APMA-370 (CO)   Analizador de monóxido de carbono HORIBA APMA-370 · NDIR con modulación de flujo cruzado</t>
  </si>
  <si>
    <t xml:space="preserve">                10 niveles macro, 34 subniveles y 80 ítems.</t>
  </si>
  <si>
    <t>APSA-370 (SO2)  Analizador de dióxido de azufre HORIBA APSA-370 · Fluorescencia ultravioleta (UVF)</t>
  </si>
  <si>
    <t xml:space="preserve">                10 niveles macro, 37 subniveles y 96 ítems.</t>
  </si>
  <si>
    <t>APOA-370 (O3)   Analizador de ozono HORIBA APOA-370 · Absorción UV no dispersiva (NDUV)</t>
  </si>
  <si>
    <t xml:space="preserve">                10 niveles macro, 39 subniveles y 80 ítems.</t>
  </si>
  <si>
    <t>APNA-370 (NOx)  Analizador de óxidos de nitrógeno HORIBA APNA-370 · Quimiluminiscencia en fase reducida</t>
  </si>
  <si>
    <t xml:space="preserve">                10 niveles macro, 37 subniveles y 76 ítems.</t>
  </si>
  <si>
    <t>Resumen         Conformidad por nivel macro de cada modelo, más un comparativo entre los cuatro.</t>
  </si>
  <si>
    <t>Listas          Dominios de las listas desplegables.</t>
  </si>
  <si>
    <t>Origen de la estructura</t>
  </si>
  <si>
    <t>Los niveles macro, subniveles e ítems se derivaron de los notebooks de NotebookLM «ST HORIBA</t>
  </si>
  <si>
    <t>APMA-370», «ST HORIBA APSA-370», «ST HORIBA APOA-370» y «ST HORIBA APNA-370», que reúnen los</t>
  </si>
  <si>
    <t>manuales de operación y de mantenimiento en español de cada modelo, el Service Manual común de la</t>
  </si>
  <si>
    <t>serie APXX-370, las diapositivas de Service Training, los procedimientos internos de Ambientalia</t>
  </si>
  <si>
    <t>y los informes de mantenimiento (MT) en sitio. HORIBA no publica una lista de chequeo formalizada</t>
  </si>
  <si>
    <t>de inspección física, por lo que esta jerarquía es una propuesta construida a partir de los</t>
  </si>
  <si>
    <t>hallazgos y valores que se repiten en esas fuentes. La columna «Fuente documental» indica de qué</t>
  </si>
  <si>
    <t>documento salió cada ítem.</t>
  </si>
  <si>
    <t>Niveles macro comunes a los cuatro modelos</t>
  </si>
  <si>
    <t>Los diez niveles macro son idénticos en las cuatro hojas, para permitir comparar equipos entre sí</t>
  </si>
  <si>
    <t>en la hoja Resumen. Lo que cambia entre modelos es el contenido de los subniveles y de los ítems:</t>
  </si>
  <si>
    <t>el nivel 6 («Banco de medición y óptica») recoge la técnica propia de cada analizador —NDIR con</t>
  </si>
  <si>
    <t>modulación de flujo cruzado en el APMA, fluorescencia UV en el APSA, absorción UV no dispersiva en</t>
  </si>
  <si>
    <t>el APOA y quimiluminiscencia en el APNA—.</t>
  </si>
  <si>
    <t xml:space="preserve">    1. Verificación funcional inicial</t>
  </si>
  <si>
    <t xml:space="preserve">    2. Identificación y trazabilidad</t>
  </si>
  <si>
    <t xml:space="preserve">    3. Estado de calibración</t>
  </si>
  <si>
    <t xml:space="preserve">    4. Línea de muestreo y acondicionamiento</t>
  </si>
  <si>
    <t xml:space="preserve">    5. Sistema neumático</t>
  </si>
  <si>
    <t xml:space="preserve">    6. Banco de medición y óptica</t>
  </si>
  <si>
    <t xml:space="preserve">    7. Electrónica y control</t>
  </si>
  <si>
    <t xml:space="preserve">    8. Filtros y consumibles</t>
  </si>
  <si>
    <t xml:space="preserve">    9. Sensores auxiliares</t>
  </si>
  <si>
    <t xml:space="preserve">    10. Gabinete, montaje e instalación</t>
  </si>
  <si>
    <t>Qué diligencia el técnico (columnas en amarillo)</t>
  </si>
  <si>
    <t>Resultado         Lista desplegable: Conforme / No conforme / Requiere reemplazo / No aplica / Pendiente.</t>
  </si>
  <si>
    <t>Valor medido      Solo para ítems de tipo Numérico o Fecha. Se contrasta contra los límites (LI/LS) de la misma fila.</t>
  </si>
  <si>
    <t>Foto adjunta      Sí / No / No aplica — si el técnico adjuntó evidencia fotográfica en esta visita.</t>
  </si>
  <si>
    <t>Observación       Texto libre: es lo que después alimenta la redacción del informe.</t>
  </si>
  <si>
    <t>La columna «Verificación de rango» (Q) es automática: compara el valor medido contra los límites</t>
  </si>
  <si>
    <t>inferior y superior de la fila y devuelve «Dentro de rango», «Fuera de rango» o «Sin dato».</t>
  </si>
  <si>
    <t>Solo actúa sobre ítems de tipo Numérico.</t>
  </si>
  <si>
    <t>Criterios usados para «Obligatorio» y «Evidencia fotográfica requerida»</t>
  </si>
  <si>
    <t>Obligatorio      Sí en todos los ítems, salvo los marcados como opcionales en la documentación del</t>
  </si>
  <si>
    <t xml:space="preserve">                 fabricante (por ejemplo el sensor de caudal de muestra o el ozonizador interno).</t>
  </si>
  <si>
    <t>Evidencia foto.  Sí en los ítems de inspección visual (tipo OK / No OK y Presente / Ausente), donde la</t>
  </si>
  <si>
    <t xml:space="preserve">                 fotografía es la evidencia del hallazgo; No en lecturas numéricas y de texto, cuyo</t>
  </si>
  <si>
    <t xml:space="preserve">                 registro es el propio valor. Ajústelo según el protocolo de cada cliente.</t>
  </si>
  <si>
    <t>Advertencias sobre los límites numéricos</t>
  </si>
  <si>
    <t>Se incorporaron los valores oficiales encontrados en las fuentes: rangos de caudal y presión de</t>
  </si>
  <si>
    <t>bomba, coeficientes de calibración de cero y span, derivas diaria y semanal, temperaturas de celda</t>
  </si>
  <si>
    <t>y de detector, intensidad de lámpara, eficiencia del convertidor de NO2 a NO, tensiones internas de</t>
  </si>
  <si>
    <t>24 V y 5 V, y periodicidades de reemplazo de consumibles en horas.</t>
  </si>
  <si>
    <t>Quedan ítems con la leyenda PENDIENTE DE VALIDAR en el criterio de aceptación: son aquellos para los</t>
  </si>
  <si>
    <t>que ninguna de las fuentes revisadas da un valor numérico (por ejemplo el límite superior del tiempo</t>
  </si>
  <si>
    <t>de calentamiento del APMA y del APOA, el amperaje exacto de los fusibles, o la vida útil en horas de</t>
  </si>
  <si>
    <t>la lámpara de xenón del APSA). Se dejan sin límite para no introducir criterios sin respaldo.</t>
  </si>
  <si>
    <t>Dos observaciones que conviene verificar antes de usar el libro como criterio de aceptación:</t>
  </si>
  <si>
    <t>1) La temperatura de celda se especifica como «temperatura ambiente + 5 a 15 °C», es decir es un</t>
  </si>
  <si>
    <t xml:space="preserve">   valor relativo. En el APMA y el APSA se dejaron límites absolutos derivados de una temperatura</t>
  </si>
  <si>
    <t xml:space="preserve">   ambiente típica de sala; en el APOA se dejó sin límites y el criterio quedó en texto. Conviene</t>
  </si>
  <si>
    <t xml:space="preserve">   fijar el rango en función de la temperatura real de cada shelter.</t>
  </si>
  <si>
    <t>2) Para el APNA, el rango de flujo de muestra que aparece en el manual de operación (0,8 a 1,4 L/min)</t>
  </si>
  <si>
    <t xml:space="preserve">   y el rango de alarma FLO1 del Service Manual (0,6 a 1,5 L/min) son distintos: se registraron ambos</t>
  </si>
  <si>
    <t xml:space="preserve">   como ítems separados, pero conviene definir cuál se usa como criterio de aceptación en campo.</t>
  </si>
  <si>
    <t>Nota: para repetir la inspección en una visita futura sin perder el histórico, duplique la hoja del</t>
  </si>
  <si>
    <t>modelo (clic derecho → Mover o copiar → Crear una copia) antes de diligenciar las columnas O a S.</t>
  </si>
  <si>
    <t>FASE 1 — INSPECCIÓN FÍSICA DEL EQUIPO · APMA-370 (CO) (catálogo + captura)</t>
  </si>
  <si>
    <t>Cliente:</t>
  </si>
  <si>
    <t>Principio de medición:</t>
  </si>
  <si>
    <t>NDIR con modulación de flujo cruzado</t>
  </si>
  <si>
    <t>NIT:</t>
  </si>
  <si>
    <t>Fecha de inspección:</t>
  </si>
  <si>
    <t>Equipo / Modelo:</t>
  </si>
  <si>
    <t>Analizador de monóxido de carbono HORIBA APMA-370</t>
  </si>
  <si>
    <t>Técnico responsable:</t>
  </si>
  <si>
    <t>Número de serie:</t>
  </si>
  <si>
    <t>N.º de informe (MT):</t>
  </si>
  <si>
    <t>ID</t>
  </si>
  <si>
    <t>Nivel macro (N1)</t>
  </si>
  <si>
    <t>Subnivel (N2)</t>
  </si>
  <si>
    <t>Ítem (N3)</t>
  </si>
  <si>
    <t>Qué se verifica</t>
  </si>
  <si>
    <t>Tipo de dato</t>
  </si>
  <si>
    <t>Unidad</t>
  </si>
  <si>
    <t>Criterio de aceptación</t>
  </si>
  <si>
    <t>Límite inferior</t>
  </si>
  <si>
    <t>Límite superior</t>
  </si>
  <si>
    <t>Obligatorio</t>
  </si>
  <si>
    <t>Evidencia fotográfica requerida</t>
  </si>
  <si>
    <t>Repuesto / parte asociada</t>
  </si>
  <si>
    <t>Fuente documental</t>
  </si>
  <si>
    <t>Resultado</t>
  </si>
  <si>
    <t>Valor medido</t>
  </si>
  <si>
    <t>Verificación de rango</t>
  </si>
  <si>
    <t>Foto adjunta</t>
  </si>
  <si>
    <t>Observación</t>
  </si>
  <si>
    <t>1.1.1</t>
  </si>
  <si>
    <t>1. Verificación funcional inicial</t>
  </si>
  <si>
    <t>1.1 Encendido y LEDs frontales</t>
  </si>
  <si>
    <t>LED de encendido (Power LED)</t>
  </si>
  <si>
    <t>Color del LED indicador de encendido en el panel frontal</t>
  </si>
  <si>
    <t>OK / No OK</t>
  </si>
  <si>
    <t>Debe iluminarse en verde fijo (operación normal). Rojo indica alarma activa</t>
  </si>
  <si>
    <t>Sí</t>
  </si>
  <si>
    <t>P-ST-018-MAN OPER APMA 370 V2</t>
  </si>
  <si>
    <t>Pendiente</t>
  </si>
  <si>
    <t>1.1.2</t>
  </si>
  <si>
    <t>LED de alarma (Alarm LED)</t>
  </si>
  <si>
    <t>Estado de alarma activa verificado mediante el color del indicador frontal</t>
  </si>
  <si>
    <t>Sí/No</t>
  </si>
  <si>
    <t>El LED de alarma debe permanecer apagado. Si cambia a rojo indica fallo de hardware o de parámetro</t>
  </si>
  <si>
    <t>No</t>
  </si>
  <si>
    <t>1.1.3</t>
  </si>
  <si>
    <t>Inicialización del display (TFT LCD)</t>
  </si>
  <si>
    <t>Arranque correcto y despliegue del menú MEAS. sin bloqueos ni líneas muertas</t>
  </si>
  <si>
    <t>La pantalla LCD TFT debe encender de forma estable y permitir navegación táctil</t>
  </si>
  <si>
    <t>LCD Unit chassis and LCD 3200618696</t>
  </si>
  <si>
    <t>AP-370 LCD replacement / MT_191TE0NC_APMA370_241226</t>
  </si>
  <si>
    <t>1.2.1</t>
  </si>
  <si>
    <t>1.2 Autodiagnóstico de software</t>
  </si>
  <si>
    <t>Versión de programa (firmware)</t>
  </si>
  <si>
    <t>Lectura de la versión de programa en la pantalla de información de software</t>
  </si>
  <si>
    <t>Texto</t>
  </si>
  <si>
    <t>Debe coincidir con la versión homologada de fábrica (estándar AP: P1000878001)</t>
  </si>
  <si>
    <t>1 - LCD design change AP EN</t>
  </si>
  <si>
    <t>1.3.1</t>
  </si>
  <si>
    <t>1.3 Estabilización térmica</t>
  </si>
  <si>
    <t>Tiempo de calentamiento inicial (warm-up)</t>
  </si>
  <si>
    <t>Tiempo transcurrido desde el encendido en frío hasta la estabilización</t>
  </si>
  <si>
    <t>Numérico</t>
  </si>
  <si>
    <t>horas</t>
  </si>
  <si>
    <t>Mínimo 3 h de calentamiento para estabilizar banco óptico y catalizador antes de medir. Límite superior PENDIENTE DE VALIDAR</t>
  </si>
  <si>
    <t>GZ0000117746B SM E APXX-370 (Service Manual)</t>
  </si>
  <si>
    <t>2.1.1</t>
  </si>
  <si>
    <t>2. Identificación y trazabilidad</t>
  </si>
  <si>
    <t>2.1 Placas e identificación física</t>
  </si>
  <si>
    <t>Placa de número de serie frontal</t>
  </si>
  <si>
    <t>Presencia y legibilidad del número de serie en el panel frontal inferior</t>
  </si>
  <si>
    <t>Debe ser legible y coincidir con el registro y la hoja de vida de la estación</t>
  </si>
  <si>
    <t>MT_U7D80D0J_APMA370_260116</t>
  </si>
  <si>
    <t>2.1.2</t>
  </si>
  <si>
    <t>Placa de número de serie posterior</t>
  </si>
  <si>
    <t>Presencia y legibilidad de la placa de datos metálica HORIBA en el panel trasero</t>
  </si>
  <si>
    <t>Debe ser legible y coincidir con el serial frontal y la etiqueta de la cabina</t>
  </si>
  <si>
    <t>2.2.1</t>
  </si>
  <si>
    <t>2.2 Identificación lógica</t>
  </si>
  <si>
    <t>ID del equipo (Machine ID)</t>
  </si>
  <si>
    <t>Configuración del código ID del analizador para identificación en red</t>
  </si>
  <si>
    <t>El ID configurado en el menú SYSTEM debe coincidir con el asignado por el sistema de adquisición</t>
  </si>
  <si>
    <t>2.3.1</t>
  </si>
  <si>
    <t>2.3 Etiquetas de seguridad</t>
  </si>
  <si>
    <t>Señalización de choque eléctrico</t>
  </si>
  <si>
    <t>Etiquetas de advertencia de alto voltaje en cubiertas de placas y transformadores</t>
  </si>
  <si>
    <t>Presente / Ausente</t>
  </si>
  <si>
    <t>Deben estar adheridas y legibles las advertencias Choque eléctrico 1, 2 y 3</t>
  </si>
  <si>
    <t>P-ST-019-MAN MTTO APMA370 V2</t>
  </si>
  <si>
    <t>2.3.2</t>
  </si>
  <si>
    <t>Señalización de componentes calientes</t>
  </si>
  <si>
    <t>Etiquetas adhesivas amarillas de advertencia térmica en zonas de alta temperatura</t>
  </si>
  <si>
    <t>Deben estar adheridas las etiquetas de calor sobre la carcasa del catalizador y de la bomba</t>
  </si>
  <si>
    <t>3.1.1</t>
  </si>
  <si>
    <t>3. Estado de calibración</t>
  </si>
  <si>
    <t>3.1 Coeficientes de calibración</t>
  </si>
  <si>
    <t>Coeficiente de calibración de cero</t>
  </si>
  <si>
    <t>Factor de corrección de cero almacenado tras el último ajuste manual o AIC</t>
  </si>
  <si>
    <t>counts</t>
  </si>
  <si>
    <t>Debe estar dentro del rango operativo; fuera de él parpadea la alarma ZERO</t>
  </si>
  <si>
    <t>3.1.2</t>
  </si>
  <si>
    <t>Coeficiente de calibración de span</t>
  </si>
  <si>
    <t>Ganancia del detector de CO calibrada con gas patrón y almacenada en memoria</t>
  </si>
  <si>
    <t>Debe estar dentro de los límites de amplificación admitidos; fuera de él parpadea la alarma SPAN</t>
  </si>
  <si>
    <t>3.2.1</t>
  </si>
  <si>
    <t>3.2 Suministro de gases patrón</t>
  </si>
  <si>
    <t>Presión de entrada de gas patrón</t>
  </si>
  <si>
    <t>Presión de entrega de gases de referencia (cero y span) en las entradas traseras</t>
  </si>
  <si>
    <t>kPa</t>
  </si>
  <si>
    <t>Deben entregarse ligeramente por encima de la presión atmosférica para generar overflow</t>
  </si>
  <si>
    <t>3.2.2</t>
  </si>
  <si>
    <t>Caudal de exceso de gas de calibración (OVER FLOW)</t>
  </si>
  <si>
    <t>Caudal excedente medido por el sensor de flujo opcional de calibración</t>
  </si>
  <si>
    <t>L/min</t>
  </si>
  <si>
    <t>Caudal mínimo 1,2 L/min para que el analizador absorba gas patrón sin aspirar aire ambiente. Límite superior PENDIENTE DE VALIDAR</t>
  </si>
  <si>
    <t>3.3.1</t>
  </si>
  <si>
    <t>3.3 Secuencia de autocalibración (AIC)</t>
  </si>
  <si>
    <t>Tiempo de espera (WAIT) en AIC</t>
  </si>
  <si>
    <t>Tiempo configurado para purgar la celda y estabilizar lecturas tras conmutar la línea de gas</t>
  </si>
  <si>
    <t>minutos</t>
  </si>
  <si>
    <t>Tiempo mínimo de retardo tras conmutar la línea de gas; el fabricante recomienda 3 min o más</t>
  </si>
  <si>
    <t>3.3.2</t>
  </si>
  <si>
    <t>Tiempo de sostenimiento (HOLD) en AIC</t>
  </si>
  <si>
    <t>Tiempo de retención y chequeo de lecturas de salida al finalizar el AIC</t>
  </si>
  <si>
    <t>Tiempo de validación posterior a la calibración física de las señales analógicas</t>
  </si>
  <si>
    <t>3.3.3</t>
  </si>
  <si>
    <t>Activación de calibración (CAL) en AIC</t>
  </si>
  <si>
    <t>Selección de la corrección física del factor cero/span durante el AIC</t>
  </si>
  <si>
    <t>Define si se corrigen factores (YES) o solo se realiza lectura de verificación (NO)</t>
  </si>
  <si>
    <t>4.1.1</t>
  </si>
  <si>
    <t>4. Línea de muestreo y acondicionamiento</t>
  </si>
  <si>
    <t>4.1 Conectores neumáticos traseros</t>
  </si>
  <si>
    <t>Férula de Sample Inlet (Sleeve)</t>
  </si>
  <si>
    <t>Presencia del casquillo de teflón de sellado interno en la entrada de muestra</t>
  </si>
  <si>
    <t>Debe estar montada la férula para asegurar acople hermético libre de aire falso</t>
  </si>
  <si>
    <t>Sleeve SO2001-6 (3030021777)</t>
  </si>
  <si>
    <t>MT_P4B4CK60_APMA370_220511</t>
  </si>
  <si>
    <t>4.1.2</t>
  </si>
  <si>
    <t>Tuerca de Sample Inlet (Cap Nut)</t>
  </si>
  <si>
    <t>Presencia de la tuerca plástica de rosca fina en la entrada de muestra</t>
  </si>
  <si>
    <t>Debe estar presente y roscada firmemente la tuerca PVDF para sellar la tubería</t>
  </si>
  <si>
    <t>Cap Nut S020020-6PVDF (3030021779)</t>
  </si>
  <si>
    <t>4.1.3</t>
  </si>
  <si>
    <t>Férula de Exhaust (Sleeve)</t>
  </si>
  <si>
    <t>Presencia del casquillo de teflón de sellado interno en la salida de escape</t>
  </si>
  <si>
    <t>Debe estar montada la férula para evitar fugas de gases de escape hacia la cabina</t>
  </si>
  <si>
    <t>4.1.4</t>
  </si>
  <si>
    <t>Tuerca de Exhaust (Cap Nut)</t>
  </si>
  <si>
    <t>Presencia de la tuerca plástica de rosca fina en la salida de escape</t>
  </si>
  <si>
    <t>Debe estar presente y roscada firmemente la tuerca PVDF para canalizar el escape</t>
  </si>
  <si>
    <t>4.1.5</t>
  </si>
  <si>
    <t>Panel Mount Union (SO21521-6 PVDF)</t>
  </si>
  <si>
    <t>Estado físico e integridad del racor plástico de montaje de panel</t>
  </si>
  <si>
    <t>Racor libre de fisuras en su rosca o fatiga de material por sobreajuste</t>
  </si>
  <si>
    <t>Panel mount union SO21521-6 (3030021548)</t>
  </si>
  <si>
    <t>MT_191TE0NC_APMA370_241226</t>
  </si>
  <si>
    <t>4.2.1</t>
  </si>
  <si>
    <t>4.2 Portafiltros frontal</t>
  </si>
  <si>
    <t>Colmatación del filtro de partículas PA-10L</t>
  </si>
  <si>
    <t>Nivel de colmatación, hollín, polvo o humedad en el filtro frontal de teflón de 54 mm</t>
  </si>
  <si>
    <t>Filtro de teflón blanco uniforme, sin partículas ni manchas oscuras que estrangulen el caudal</t>
  </si>
  <si>
    <t>Filter Element PA-10L (3200043947 / 3200043947-1PC)</t>
  </si>
  <si>
    <t>MT_56X1BA8G_APMA370_260109</t>
  </si>
  <si>
    <t>4.2.2</t>
  </si>
  <si>
    <t>Empaque del filtro frontal (PA-10L)</t>
  </si>
  <si>
    <t>Flexibilidad y ausencia de grietas en la junta elástica plana del portafiltros</t>
  </si>
  <si>
    <t>Empaque blando, sin aplastamientos ni deformaciones permanentes que provoquen fugas</t>
  </si>
  <si>
    <t>Empaque de filtro (3200044273)</t>
  </si>
  <si>
    <t>4.2.3</t>
  </si>
  <si>
    <t>Junta tórica del portafiltros (O-Ring)</t>
  </si>
  <si>
    <t>Resequedad, microfisuras o deformación de la junta tórica de la tapa del filtro</t>
  </si>
  <si>
    <t>Junta de vitón elástica y ligeramente lubricada para garantizar hermetismo de la tapa</t>
  </si>
  <si>
    <t>O-ring (3200043785)</t>
  </si>
  <si>
    <t>4.3.1</t>
  </si>
  <si>
    <t>4.3 Acondicionamiento de la muestra</t>
  </si>
  <si>
    <t>Trampa de humedad (Mist Catcher BAA)</t>
  </si>
  <si>
    <t>Acumulación de agua condensada y saturación del depurador de humedad</t>
  </si>
  <si>
    <t>El depósito debe estar libre de condensados y el relleno sin saturación física</t>
  </si>
  <si>
    <t>MC-1 (3200043946)</t>
  </si>
  <si>
    <t>MT_V440EL8D_APMA370_260430</t>
  </si>
  <si>
    <t>4.3.2</t>
  </si>
  <si>
    <t>Líneas de teflón internas</t>
  </si>
  <si>
    <t>Estrangulamientos, dobleces agudos o acumulación de suciedad en mangueras neumáticas</t>
  </si>
  <si>
    <t>Tuberías de teflón translúcidas, firmes en sus racores y sin dobleces que restrinjan el flujo</t>
  </si>
  <si>
    <t>MT_U403C0JJ_APMA370_21033001</t>
  </si>
  <si>
    <t>5.1.1</t>
  </si>
  <si>
    <t>5. Sistema neumático</t>
  </si>
  <si>
    <t>5.1 Caudal y presión de muestra</t>
  </si>
  <si>
    <t>Caudal volumétrico de muestra (SAMPLE)</t>
  </si>
  <si>
    <t>Caudal de gas de muestra a través de la celda de medida en ANALOG INPUT</t>
  </si>
  <si>
    <t>Caudal nominal de muestreo; fuera de 1,0 a 2,0 L/min se activa la alarma FLOW 1</t>
  </si>
  <si>
    <t>5.1.2</t>
  </si>
  <si>
    <t>Presión de succión de la bomba (PUMP)</t>
  </si>
  <si>
    <t>Presión de succión generada por la bomba de muestreo en la celda óptica</t>
  </si>
  <si>
    <t>Lectura en ANALOG INPUT; un valor mayor o igual a 65 kPa activa la alarma PRE1</t>
  </si>
  <si>
    <t>5.2.1</t>
  </si>
  <si>
    <t>5.2 Bomba de muestreo</t>
  </si>
  <si>
    <t>Vibración y ruido mecánico de la bomba (P-1-B)</t>
  </si>
  <si>
    <t>Estabilidad del motor y rodamientos de la bomba de muestreo (verificación auditiva y táctil)</t>
  </si>
  <si>
    <t>Operación continua y estable, sin golpes metálicos ni oscilación mecánica excesiva</t>
  </si>
  <si>
    <t>Pump unit doble cabezal P-1-B (3200043946)</t>
  </si>
  <si>
    <t>5.2.2</t>
  </si>
  <si>
    <t>Desgaste de diafragmas de la bomba (P-1-D)</t>
  </si>
  <si>
    <t>Resequedad, porosidad o fisuras de los dos diafragmas de EPDM de la bomba</t>
  </si>
  <si>
    <t>Diafragmas de EPDM elásticos y sin fisuras, para evitar caídas de vacío y de caudal</t>
  </si>
  <si>
    <t>Diaphragm Assy GS/GD EPDM (3011026485 / 3200044033 / 3200602390)</t>
  </si>
  <si>
    <t>MT_2V0CY0DC_APMA370_250930</t>
  </si>
  <si>
    <t>5.2.3</t>
  </si>
  <si>
    <t>Limpieza de cabezales y válvulas de la bomba</t>
  </si>
  <si>
    <t>Acumulación de depósitos, residuos o polvo negro en las válvulas planas de teflón</t>
  </si>
  <si>
    <t>Cámaras del cabezal y charnelas de válvula limpias para garantizar sellado hermético</t>
  </si>
  <si>
    <t>5.3.1</t>
  </si>
  <si>
    <t>5.3 Válvulas y estanqueidad</t>
  </si>
  <si>
    <t>Conmutación de la válvula de modulación (SV-2)</t>
  </si>
  <si>
    <t>Conmutación cíclica entre gas de muestra y aire de referencia</t>
  </si>
  <si>
    <t>Debe conmutar neumáticamente de forma cíclica a una frecuencia constante de 1 Hz</t>
  </si>
  <si>
    <t>Solenoid Valve sample/Ref.-gas SV-2 (3200043946)</t>
  </si>
  <si>
    <t>5.3.2</t>
  </si>
  <si>
    <t>Prueba de estanqueidad (Leak Test)</t>
  </si>
  <si>
    <t>Mantenimiento del vacío sellando el puerto de entrada para detectar fugas</t>
  </si>
  <si>
    <t>El circuito neumático debe mantener el vacío estable sin fluctuaciones tras aislar la succión</t>
  </si>
  <si>
    <t>6.1.1</t>
  </si>
  <si>
    <t>6. Banco de medición y óptica</t>
  </si>
  <si>
    <t>6.1 Señales del banco NDIR (modulación de flujo cruzado)</t>
  </si>
  <si>
    <t>Tensión de señal principal (SIGNAL MAIN)</t>
  </si>
  <si>
    <t>Tensión analógica del canal de medición de CO en ANALOG INPUT</t>
  </si>
  <si>
    <t>mV</t>
  </si>
  <si>
    <t>Representa la energía infrarroja del detector para el monóxido de carbono</t>
  </si>
  <si>
    <t>6.1.2</t>
  </si>
  <si>
    <t>Tensión de señal de compensación (SIGNAL COMP)</t>
  </si>
  <si>
    <t>Tensión analógica del canal de referencia para corregir interferentes</t>
  </si>
  <si>
    <t>Empleada por el firmware para corregir el efecto de otros componentes de la muestra</t>
  </si>
  <si>
    <t>6.2.1</t>
  </si>
  <si>
    <t>6.2 Fuente infrarroja y celda óptica</t>
  </si>
  <si>
    <t>Lámpara infrarroja (IR Lamp)</t>
  </si>
  <si>
    <t>Desgaste térmico, estabilidad del haz e integridad del filamento de la fuente IR</t>
  </si>
  <si>
    <t>Filamento activo de forma continua y ampolla libre de manchas severas (indican desgaste)</t>
  </si>
  <si>
    <t>Lámpara IR (AP-XEP-02)</t>
  </si>
  <si>
    <t>MT_2V0CY0DC_APMA370_250930 / Service Manual</t>
  </si>
  <si>
    <t>6.2.2</t>
  </si>
  <si>
    <t>Limpieza de ventanas ópticas y lentes de la celda</t>
  </si>
  <si>
    <t>Suciedad, hollín o humedad en las caras translúcidas del tubo de absorción óptica</t>
  </si>
  <si>
    <t>Ventanas limpias y translúcidas para garantizar el paso libre del haz infrarrojo</t>
  </si>
  <si>
    <t>6.3.1</t>
  </si>
  <si>
    <t>6.3 Suspensión mecánica del banco óptico</t>
  </si>
  <si>
    <t>Resortes de amortiguación del banco óptico</t>
  </si>
  <si>
    <t>Presencia y tensión de los 3 resortes que suspenden la celda de medida</t>
  </si>
  <si>
    <t>Los 3 resortes deben estar enganchados y libres de estiramientos o deformaciones</t>
  </si>
  <si>
    <t>Spring L=64 K=0.59 (3012161550)</t>
  </si>
  <si>
    <t>MT_191TE0NC_APMA370_241226 / MT_U7D80D0J_APMA370_260116</t>
  </si>
  <si>
    <t>6.3.2</t>
  </si>
  <si>
    <t>Topes amortiguadores (Stoppers)</t>
  </si>
  <si>
    <t>Estado físico y flexibilidad de los soportes elásticos que limitan la oscilación de la celda</t>
  </si>
  <si>
    <t>Stoppers de goma flexibles en su zócalo, para absorber la vibración inducida por la bomba</t>
  </si>
  <si>
    <t>Stopper Spring for AIA-1X0 (3012165197)</t>
  </si>
  <si>
    <t>6.3.3</t>
  </si>
  <si>
    <t>Tornillos de tope (Screw Stopper)</t>
  </si>
  <si>
    <t>Presencia e integridad de los tornillos M5x20 que limitan el desplazamiento elástico</t>
  </si>
  <si>
    <t>Deben estar presentes y roscados firmemente los tornillos M5x20 en los anclajes del chasis</t>
  </si>
  <si>
    <t>Screw Stopper M5X20 for Spring (3012155051)</t>
  </si>
  <si>
    <t>MT_U6RF8092_APMA-370_240311 / MT_U7D80D0J_APMA370_260116</t>
  </si>
  <si>
    <t>6.3.4</t>
  </si>
  <si>
    <t>Tuercas hexagonales de fijación</t>
  </si>
  <si>
    <t>Ajuste y torque de las tuercas M5 en los tornillos de los zócalos amortiguadores</t>
  </si>
  <si>
    <t>Tuercas M5 ajustadas firmemente para evitar desprendimiento del bloque óptico</t>
  </si>
  <si>
    <t>Hexagon Nut M05 S-ZN3 ROHS (3011000121)</t>
  </si>
  <si>
    <t>6.4.1</t>
  </si>
  <si>
    <t>6.4 Purificación de la línea de referencia</t>
  </si>
  <si>
    <t>Eficiencia del relleno catalítico de CO (CAT-1)</t>
  </si>
  <si>
    <t>Estado y capacidad de conversión del óxido metálico del catalizador interno de CO</t>
  </si>
  <si>
    <t>El catalizador debe asegurar la oxidación del CO en la línea de referencia y evitar derivas del cero</t>
  </si>
  <si>
    <t>Catalyzer Filling CO CAT-1 (3200043946)</t>
  </si>
  <si>
    <t>6.4.2</t>
  </si>
  <si>
    <t>Filtro coalescente interno (DFU9900-05-BK)</t>
  </si>
  <si>
    <t>Nivel de colmatación o presencia de aceite en el filtro de microfibra Balston de referencia</t>
  </si>
  <si>
    <t>Elemento de microfibra limpio, para proteger el catalizador de contaminantes finos</t>
  </si>
  <si>
    <t>Inline Filter Element DFU9900-05-BK</t>
  </si>
  <si>
    <t>7.1.1</t>
  </si>
  <si>
    <t>7. Electrónica y control</t>
  </si>
  <si>
    <t>7.1 Tarjetas electrónicas</t>
  </si>
  <si>
    <t>Estado de la tarjeta principal CPU (AP-CPU-02)</t>
  </si>
  <si>
    <t>Limpieza, sujeción y ausencia de corrosión en integrados y zócalos de la placa CPU</t>
  </si>
  <si>
    <t>Tarjeta lógica limpia, libre de polvo conductivo o rastros de sobrecalentamiento</t>
  </si>
  <si>
    <t>PRINTED BOARD INST. AP-CPU-02 (3200629662)</t>
  </si>
  <si>
    <t>1 - LCD design change AP EN / MT_85HHP0N0_APMA370_20022603</t>
  </si>
  <si>
    <t>7.1.2</t>
  </si>
  <si>
    <t>Configuración del DIP switch SW2 en AP-ADC-05</t>
  </si>
  <si>
    <t>Configuración física del DIP switch SW2 de modelo en la tarjeta de conversión analógica</t>
  </si>
  <si>
    <t>Para el modelo: BIT0 y BIT1 en ON, BIT2 y BIT3 en OFF</t>
  </si>
  <si>
    <t>AP-ADC-05</t>
  </si>
  <si>
    <t>7.1.3</t>
  </si>
  <si>
    <t>Indicadores LED de la tarjeta ADC (+24V, +5V)</t>
  </si>
  <si>
    <t>Iluminación de los LED indicadores de fuentes secundarias en la tarjeta ADC-05</t>
  </si>
  <si>
    <t>Los LED de +24 V y +5 V deben iluminarse en verde fijo</t>
  </si>
  <si>
    <t>PCB AP-ADC-05</t>
  </si>
  <si>
    <t>7.1.4</t>
  </si>
  <si>
    <t>Estado físico de la tarjeta de relés (AP-RPL-02A)</t>
  </si>
  <si>
    <t>Sobrecalentamientos o quemaduras en relés y transistores de control de la placa RPL</t>
  </si>
  <si>
    <t>Componentes sin daños por sobrecarga; soldaduras intactas sin marcas de cortocircuito</t>
  </si>
  <si>
    <t>PCB AP-RPL-02 / AP-RPL-02A (H102518000)</t>
  </si>
  <si>
    <t>MT_191TE0NC_APMA370_241226 / Service Manual</t>
  </si>
  <si>
    <t>7.1.5</t>
  </si>
  <si>
    <t>LED de comunicación ST0 y ST1 en tarjeta RPL</t>
  </si>
  <si>
    <t>Frecuencia de parpadeo de los indicadores LED de diagnóstico de la tarjeta de relés</t>
  </si>
  <si>
    <t>ST1 debe parpadear (H8 activo) y ST0 titilar rápido (I2C activo); luz fija o apagada indica falla</t>
  </si>
  <si>
    <t>PCB AP-RPL-02 / AP-RPL-02A</t>
  </si>
  <si>
    <t>7.1.6</t>
  </si>
  <si>
    <t>LED de tensión +5 V en tarjeta RPL</t>
  </si>
  <si>
    <t>LED indicador de alimentación interna de 5 V en la tarjeta de relés periféricos</t>
  </si>
  <si>
    <t>Debe permanecer encendido continuo en verde, indicando que el regulador lógico local opera</t>
  </si>
  <si>
    <t>7.1.7</t>
  </si>
  <si>
    <t>Switch de selección de alarma general (SW1/SW2 en RPL)</t>
  </si>
  <si>
    <t>Ajuste de interruptores de asociación de alarma que definen el contacto general</t>
  </si>
  <si>
    <t>Posiciones de los microinterruptores en concordancia con el esquema de alarmas de la estación</t>
  </si>
  <si>
    <t>7.2.1</t>
  </si>
  <si>
    <t>7.2 Respaldo de reloj y memoria</t>
  </si>
  <si>
    <t>Batería de litio del reloj de tiempo real (BATT1 / CR2032)</t>
  </si>
  <si>
    <t>Voltaje DC de la pila de litio de respaldo de hora y secuencia de autocalibración</t>
  </si>
  <si>
    <t>V</t>
  </si>
  <si>
    <t>Un voltaje inferior a 2,5 V activa la alarma BATT</t>
  </si>
  <si>
    <t>Li battery CR2032 (3030052489)</t>
  </si>
  <si>
    <t>7.3.1</t>
  </si>
  <si>
    <t>7.3 Display y cableado interno</t>
  </si>
  <si>
    <t>Cintas flex de la pantalla táctil LCD (Tape Wire)</t>
  </si>
  <si>
    <t>Arrugas, microfisuras o sulfatación en las terminales de los dos buses flex planos</t>
  </si>
  <si>
    <t>Cables flexibles intactos y firmemente enchufados a la placa CPU, para evitar fallos del panel</t>
  </si>
  <si>
    <t>Tape Wire (3010040355) / Tape Wire for LCD (3200257448)</t>
  </si>
  <si>
    <t>7.3.2</t>
  </si>
  <si>
    <t>Respuesta táctil de la pantalla (Touch Panel)</t>
  </si>
  <si>
    <t>Sensibilidad del panel resistivo al presionar y seleccionar opciones del display</t>
  </si>
  <si>
    <t>Desplazamiento ágil y preciso entre menús, sin derivas táctiles ni zonas inoperantes</t>
  </si>
  <si>
    <t>Touch Panel TP-AP370</t>
  </si>
  <si>
    <t>MT_1JS71VM3_APMA370_21061101 / MT_85HHP0N0_APMA370_220822</t>
  </si>
  <si>
    <t>7.4.1</t>
  </si>
  <si>
    <t>7.4 Alimentación eléctrica</t>
  </si>
  <si>
    <t>Tensiones secundarias de la fuente de poder principal</t>
  </si>
  <si>
    <t>Estabilidad de voltajes e integridad física de condensadores en la fuente principal</t>
  </si>
  <si>
    <t>Condensadores sin abombamientos y voltajes secundarios libres de rizado eléctrico</t>
  </si>
  <si>
    <t>Power Supply Assy (3200637753)</t>
  </si>
  <si>
    <t>7.4.2</t>
  </si>
  <si>
    <t>Transformador de la bomba de muestreo</t>
  </si>
  <si>
    <t>Tensión AC de salida en el secundario del transformador de aislamiento de la bomba</t>
  </si>
  <si>
    <t>Transformador de aislamiento de 42 VA; debe suministrar tensión estable a la bobina del motor</t>
  </si>
  <si>
    <t>Power Transformer APXX-360/370 PUMP 42VA (3200488656)</t>
  </si>
  <si>
    <t>7.5.1</t>
  </si>
  <si>
    <t>7.5 Comunicaciones</t>
  </si>
  <si>
    <t>Conector del cable serial RS-232C</t>
  </si>
  <si>
    <t>Soldaduras, continuidad y asignación de pines del conector trasero DB9 de datos</t>
  </si>
  <si>
    <t>Pines 2 y 3 cruzados, pin 5 a tierra y pines 7-8 puenteados para habilitar el enlace serial</t>
  </si>
  <si>
    <t>I.X.X.X-X Instructivo Descarga de Datos Horiba AP</t>
  </si>
  <si>
    <t>7.5.2</t>
  </si>
  <si>
    <t>Tarjeta serial opcional (AP-SIO-04)</t>
  </si>
  <si>
    <t>Presencia e integración de la placa serial dedicada en el conector CN2</t>
  </si>
  <si>
    <t>Tarjeta SIO acoplada firmemente en el conector CN2 de la CPU si se implementa descarga remota</t>
  </si>
  <si>
    <t>Tarjeta SIO AP-SIO-04</t>
  </si>
  <si>
    <t>Procedimiento Integración Tarjeta RS232</t>
  </si>
  <si>
    <t>8.1.1</t>
  </si>
  <si>
    <t>8. Filtros y consumibles</t>
  </si>
  <si>
    <t>8.1 Horómetros de consumibles</t>
  </si>
  <si>
    <t>Horas acumuladas del filtro de partículas PA-10L</t>
  </si>
  <si>
    <t>Horas de uso acumuladas del filtro frontal en la pantalla HOUR METER</t>
  </si>
  <si>
    <t>Cambio preventivo recomendado cada 2 semanas de uso (336 h)</t>
  </si>
  <si>
    <t>Elemento PA-10L (3200043947)</t>
  </si>
  <si>
    <t>8.1.2</t>
  </si>
  <si>
    <t>Horas acumuladas de diafragmas de la bomba (P-1-D)</t>
  </si>
  <si>
    <t>Horas acumuladas de operación de los diafragmas en la pantalla HOUR METER</t>
  </si>
  <si>
    <t>Contador para planificar el reemplazo anual de las membranas elásticas de la bomba</t>
  </si>
  <si>
    <t>Diafragma P-1-D (3200044033 / 3011026485)</t>
  </si>
  <si>
    <t>8.1.3</t>
  </si>
  <si>
    <t>Horas acumuladas del catalizador de CO (CAT-1)</t>
  </si>
  <si>
    <t>Horas de operación acumuladas del catalizador oxidante de CO en HOUR METER</t>
  </si>
  <si>
    <t>Contador para programar el reemplazo del relleno del catalizador cada 2 años</t>
  </si>
  <si>
    <t>Relleno CAT-1 (3200043946)</t>
  </si>
  <si>
    <t>8.1.4</t>
  </si>
  <si>
    <t>Horas acumuladas de la trampa Mist Catcher (MC-1)</t>
  </si>
  <si>
    <t>Horas de uso acumuladas de la trampa secadora de humedad en HOUR METER</t>
  </si>
  <si>
    <t>Contador para planificar la sustitución anual de la trampa Mist Catcher MC-1</t>
  </si>
  <si>
    <t>Mist Catcher BAA MC-1 (3200043946)</t>
  </si>
  <si>
    <t>8.1.5</t>
  </si>
  <si>
    <t>Horas acumuladas de la bomba completa (P-1-B)</t>
  </si>
  <si>
    <t>Horas de funcionamiento de la unidad de bomba electromecánica completa en HOUR METER</t>
  </si>
  <si>
    <t>Contador para programar el reemplazo o reconstrucción del motor de bomba cada 2 años</t>
  </si>
  <si>
    <t>Bomba P-1-B (3200043946)</t>
  </si>
  <si>
    <t>8.2.1</t>
  </si>
  <si>
    <t>8.2 Filtros de chasis</t>
  </si>
  <si>
    <t>Obstrucción de esponjas disipadoras (Filter Sponge)</t>
  </si>
  <si>
    <t>Acumulación de polvo e integridad física de los filtros de esponja superiores del chasis</t>
  </si>
  <si>
    <t>Esponjas de poliuretano limpias y permeables al aire, para mantener la refrigeración interna</t>
  </si>
  <si>
    <t>Filter Sponge (3012299939)</t>
  </si>
  <si>
    <t>9.1.1</t>
  </si>
  <si>
    <t>9. Sensores auxiliares</t>
  </si>
  <si>
    <t>9.1 Temperatura</t>
  </si>
  <si>
    <t>Temperatura de la celda de medida (CELL)</t>
  </si>
  <si>
    <t>Temperatura del compartimiento calentado de la celda óptica en ANALOG INPUT</t>
  </si>
  <si>
    <t>°C</t>
  </si>
  <si>
    <t>Valor estándar: temperatura ambiente + 5 a 15 °C (rango típico 30 a 55 °C)</t>
  </si>
  <si>
    <t>9.1.2</t>
  </si>
  <si>
    <t>Sensor de temperatura del catalizador de CO (CAT)</t>
  </si>
  <si>
    <t>Lazo térmico de temperatura del catalizador de CO para oxidación de la referencia</t>
  </si>
  <si>
    <t>Temperatura del horno catalítico estable; su descenso drástico dispara la alarma CAT</t>
  </si>
  <si>
    <t>9.2.1</t>
  </si>
  <si>
    <t>9.2 Presión</t>
  </si>
  <si>
    <t>Presión barométrica ambiental (AMBIENT)</t>
  </si>
  <si>
    <t>Presión barométrica registrada por el transductor piezoeléctrico en ANALOG INPUT</t>
  </si>
  <si>
    <t>Presión ambiental del sitio; usada para corregir la densidad del gas según la altitud</t>
  </si>
  <si>
    <t>P-ST-018-MAN OPER APMA 370 V2 / Procedimiento Ajuste de Presión Ambiente</t>
  </si>
  <si>
    <t>9.2.2</t>
  </si>
  <si>
    <t>Desviación de los sensores de presión</t>
  </si>
  <si>
    <t>Desvío entre las lecturas internas de presión y los barómetros de referencia</t>
  </si>
  <si>
    <t>%</t>
  </si>
  <si>
    <t>La desviación entre el patrón externo y el valor en pantalla debe ser menor al 2 %</t>
  </si>
  <si>
    <t>P-ST-018-MAN OPER APMA 370 V2 / Service Manual</t>
  </si>
  <si>
    <t>9.3.1</t>
  </si>
  <si>
    <t>9.3 Tensiones internas</t>
  </si>
  <si>
    <t>Tensión interna del riel DC 24 V</t>
  </si>
  <si>
    <t>Tensión del bus DC secundario de alimentación de periféricos en ANALOG INPUT</t>
  </si>
  <si>
    <t>Debe estar dentro de la tolerancia de 24 V ± 0,5 V</t>
  </si>
  <si>
    <t>9.3.2</t>
  </si>
  <si>
    <t>Tensión interna del riel DC 5 V</t>
  </si>
  <si>
    <t>Tensión de alimentación regulada del microcontrolador lógico en ANALOG INPUT</t>
  </si>
  <si>
    <t>Debe estar dentro de la tolerancia de 5 V ± 0,5 V</t>
  </si>
  <si>
    <t>10.1.1</t>
  </si>
  <si>
    <t>10. Gabinete, montaje e instalación</t>
  </si>
  <si>
    <t>10.1 Chasis y puerta frontal</t>
  </si>
  <si>
    <t>Ajuste y fijación de la puerta frontal</t>
  </si>
  <si>
    <t>Alineación e integridad física de la puerta del panel frontal del gabinete</t>
  </si>
  <si>
    <t>Puerta encajada firmemente, sin desniveles que impidan presionar adecuadamente la pantalla</t>
  </si>
  <si>
    <t>MT_56X1BA8G_APMA370_260109 / MT_2V0CY0DC_APMA370_20060501</t>
  </si>
  <si>
    <t>10.1.2</t>
  </si>
  <si>
    <t>Casquillos de bisagra de la puerta frontal</t>
  </si>
  <si>
    <t>Presencia de los casquillos en los puntos de pivote del panel frontal basculante</t>
  </si>
  <si>
    <t>Casquillos plásticos de nylon en buen estado, para alinear simétricamente la apertura</t>
  </si>
  <si>
    <t>Hinge Bush (3012304035)</t>
  </si>
  <si>
    <t>10.1.3</t>
  </si>
  <si>
    <t>Eje de bisagra de la puerta frontal</t>
  </si>
  <si>
    <t>Presencia de los pasadores cilíndricos metálicos de rotación de la bisagra</t>
  </si>
  <si>
    <t>Pasadores metálicos introducidos a tope, para articular con seguridad la compuerta</t>
  </si>
  <si>
    <t>Hinge Shaft (3012297312)</t>
  </si>
  <si>
    <t>10.2.1</t>
  </si>
  <si>
    <t>10.2 Ventilación</t>
  </si>
  <si>
    <t>Extractor de calor (Cooling Fan) posterior</t>
  </si>
  <si>
    <t>Operación del ventilador posterior de extracción activa de aire caliente</t>
  </si>
  <si>
    <t>Ventilador girando de forma estable, sin polvo extremo ni ruidos de rodamientos desgastados</t>
  </si>
  <si>
    <t>Fan (3200043946)</t>
  </si>
  <si>
    <t>10.3.1</t>
  </si>
  <si>
    <t>10.3 Montaje en rack</t>
  </si>
  <si>
    <t>Rieles o bandeja de base en rack de 19 pulgadas</t>
  </si>
  <si>
    <t>Presencia de guías de soporte o bandeja base para montaje del analizador en gabinete</t>
  </si>
  <si>
    <t>Base metálica firme para sostener el analizador (16 kg) y evitar la flexión frontal</t>
  </si>
  <si>
    <t>10.3.2</t>
  </si>
  <si>
    <t>Holgura con el fondo del rack</t>
  </si>
  <si>
    <t>Separación libre entre el chasis posterior y la cubierta o puerta del rack</t>
  </si>
  <si>
    <t>mm</t>
  </si>
  <si>
    <t>Mínimo 150 mm en la parte trasera para mangueras neumáticas y ventilación. Límite superior PENDIENTE DE VALIDAR</t>
  </si>
  <si>
    <t>10.4.1</t>
  </si>
  <si>
    <t>10.4 Condiciones ambientales del sitio</t>
  </si>
  <si>
    <t>Temperatura ambiental de operación de la sala</t>
  </si>
  <si>
    <t>Temperatura controlada del shelter para asegurar condiciones termoestables</t>
  </si>
  <si>
    <t>Rango de operación del analizador para mantener estabilidad óptica y química</t>
  </si>
  <si>
    <t>10.4.2</t>
  </si>
  <si>
    <t>Humedad relativa con temperatura menor a 31 °C</t>
  </si>
  <si>
    <t>Límite higrométrico del aire ambiente en el shelter para temperaturas menores a 31 °C</t>
  </si>
  <si>
    <t>%HR</t>
  </si>
  <si>
    <t>Humedad relativa máxima 80 % para evitar condensaciones ópticas internas</t>
  </si>
  <si>
    <t>10.4.3</t>
  </si>
  <si>
    <t>Humedad relativa con temperatura entre 31 y 40 °C</t>
  </si>
  <si>
    <t>Límite higrométrico descendente conforme aumenta la temperatura entre 31 y 40 °C</t>
  </si>
  <si>
    <t>Humedad máxima controlada linealmente entre 80 % (31 °C) y 50 % (40 °C)</t>
  </si>
  <si>
    <t>10.5.1</t>
  </si>
  <si>
    <t>10.5 Suministro eléctrico</t>
  </si>
  <si>
    <t>Variación de tensión nominal AC</t>
  </si>
  <si>
    <t>Variación de tensión de la red eléctrica AC en la toma de corriente del analizador</t>
  </si>
  <si>
    <t>Rango tolerado por la fuente interna para operación óptima (nominal 220 V AC)</t>
  </si>
  <si>
    <t>FASE 1 — INSPECCIÓN FÍSICA DEL EQUIPO · APSA-370 (SO2) (catálogo + captura)</t>
  </si>
  <si>
    <t>Fluorescencia ultravioleta (UVF)</t>
  </si>
  <si>
    <t>Analizador de dióxido de azufre HORIBA APSA-370</t>
  </si>
  <si>
    <t>LED de encendido del panel frontal</t>
  </si>
  <si>
    <t>Estado de iluminación del LED de encendido con el analizador energizado</t>
  </si>
  <si>
    <t>Debe iluminarse en verde en operación normal; cambia a rojo si existe alarma activa</t>
  </si>
  <si>
    <t>P-ST-030-MAN OPER APSA 370 V2</t>
  </si>
  <si>
    <t>Inicialización de parámetros en SRAM</t>
  </si>
  <si>
    <t>Carga de datos lógicos y ausencia de errores de inicialización al arrancar la CPU</t>
  </si>
  <si>
    <t>Arranque limpio sin errores de memoria y con la pantalla MEAS cargada automáticamente</t>
  </si>
  <si>
    <t>1.2.2</t>
  </si>
  <si>
    <t>Indicador de alarmas activas en pantalla</t>
  </si>
  <si>
    <t>Presencia del botón ALARM en la esquina inferior derecha de la pantalla principal</t>
  </si>
  <si>
    <t>El botón de alarma no debe estar visible en la pantalla MEAS en condiciones normales</t>
  </si>
  <si>
    <t>1.2.3</t>
  </si>
  <si>
    <t>Identificación del programa en menú</t>
  </si>
  <si>
    <t>Versión y número de programa en la pantalla de información del sistema</t>
  </si>
  <si>
    <t>Debe mostrar el código de programa estándar de fábrica (AP: P1000878001 / EN: P1000877001)</t>
  </si>
  <si>
    <t>Tiempo de calentamiento y estabilización</t>
  </si>
  <si>
    <t>Tiempo transcurrido desde el encendido hasta la calibración o la medición en campo</t>
  </si>
  <si>
    <t>Mínimo 3 h de estabilización; se recomienda 24 a 48 h para mediciones de campo estables</t>
  </si>
  <si>
    <t>1.3.2</t>
  </si>
  <si>
    <t>Ajuste del minuto de reset de integración</t>
  </si>
  <si>
    <t>Minuto del reloj en el que se ejecuta el reset de integración (RESET TIME)</t>
  </si>
  <si>
    <t>Debe estar ajustado a 00 o 30 min según los requerimientos del sistema de adquisición</t>
  </si>
  <si>
    <t>Número de serie del analizador</t>
  </si>
  <si>
    <t>Legibilidad e integridad del serial del fabricante en la placa posterior metálica</t>
  </si>
  <si>
    <t>Debe ser legible y registrarse en la hoja de campo</t>
  </si>
  <si>
    <t>MT_829WE09R_APSA370_221102</t>
  </si>
  <si>
    <t>Número HGS del analizador</t>
  </si>
  <si>
    <t>Identificación del número HGS del analizador y del sistema para trazabilidad de repuestos</t>
  </si>
  <si>
    <t>El número HGS debe estar identificado en la placa del equipo o en la documentación de fábrica</t>
  </si>
  <si>
    <t>2.2 Etiquetas de seguridad</t>
  </si>
  <si>
    <t>Etiqueta de advertencia de alto voltaje (lámpara)</t>
  </si>
  <si>
    <t>Presencia y legibilidad de la etiqueta de peligro de choque eléctrico cerca de la lámpara</t>
  </si>
  <si>
    <t>La etiqueta Choque Eléctrico 1 debe estar adherida y legible cerca del bloque óptico</t>
  </si>
  <si>
    <t>P-ST-029-MAN MTTO APSA370 V2</t>
  </si>
  <si>
    <t>2.2.2</t>
  </si>
  <si>
    <t>Etiqueta de advertencia de alta temperatura</t>
  </si>
  <si>
    <t>Etiqueta de peligro de quemadura térmica en componentes que acumulan calor</t>
  </si>
  <si>
    <t>La etiqueta de componente caliente debe estar visible en la bomba y en el HC Cutter</t>
  </si>
  <si>
    <t>Coeficiente de calibración de cero (ZERO ADJUST)</t>
  </si>
  <si>
    <t>Coeficiente almacenado en el menú de calibración para el ajuste de cero</t>
  </si>
  <si>
    <t>Debe encontrarse dentro de los límites de tolerancia lógicos definidos por firmware</t>
  </si>
  <si>
    <t>Coeficiente de calibración de span (SPAN ADJUST)</t>
  </si>
  <si>
    <t>Coeficiente de ganancia de pendiente almacenado tras la calibración de span</t>
  </si>
  <si>
    <t>Dentro de la tolerancia de ganancia de software; en campo se ubica típicamente entre 0,9 y 1,3</t>
  </si>
  <si>
    <t>3.1.3</t>
  </si>
  <si>
    <t>Concentración de gas de span configurada (SPAN CONC)</t>
  </si>
  <si>
    <t>Ajuste de la concentración de gas patrón en la pantalla de edición de span</t>
  </si>
  <si>
    <t>ppm</t>
  </si>
  <si>
    <t>Debe configurarse el valor nominal exacto del cilindro de gas patrón de SO2 a utilizar</t>
  </si>
  <si>
    <t>Presión del gas en el puerto posterior de calibración</t>
  </si>
  <si>
    <t>Estabilidad de la presión de suministro en la entrada de gas de calibración</t>
  </si>
  <si>
    <t>Pa</t>
  </si>
  <si>
    <t>La presión del gas de calibración debe mantenerse regulada para asegurar estabilidad neumática</t>
  </si>
  <si>
    <t>Tiempo de espera para estabilización en AIC (WAIT)</t>
  </si>
  <si>
    <t>Tiempo de estabilización tras la conmutación de líneas de gas en calibración automática</t>
  </si>
  <si>
    <t>Ajuste de tiempo para garantizar purga y estabilización completa de las lecturas</t>
  </si>
  <si>
    <t>Tiempo de retención en AIC (HOLD)</t>
  </si>
  <si>
    <t>Tiempo de validación para registrar y verificar lecturas tras volver a MEAS</t>
  </si>
  <si>
    <t>Tiempo configurado para la verificación posterior a la calibración</t>
  </si>
  <si>
    <t>Habilitación de calibración en AIC (CAL YES/NO)</t>
  </si>
  <si>
    <t>Especificación de si se permite actualizar los coeficientes tras el AIC</t>
  </si>
  <si>
    <t>YES actualiza automáticamente los coeficientes; NO solo calcula las derivas sin alterarlos</t>
  </si>
  <si>
    <t>3.4.1</t>
  </si>
  <si>
    <t>3.4 Deriva de cero (Zero Drift)</t>
  </si>
  <si>
    <t>Deriva diaria de cero en rangos bajos (rango menor o igual a 0,2 ppm)</t>
  </si>
  <si>
    <t>Deriva diaria de cero máxima permitida en rangos menores o iguales a 0,2 ppm</t>
  </si>
  <si>
    <t>ppb/día</t>
  </si>
  <si>
    <t>Desviación máxima diaria de la lectura del cero en rangos bajos</t>
  </si>
  <si>
    <t>3.4.2</t>
  </si>
  <si>
    <t>Deriva semanal de cero en rangos bajos (rango menor o igual a 0,2 ppm)</t>
  </si>
  <si>
    <t>Deriva semanal de cero máxima permitida en rangos menores o iguales a 0,2 ppm</t>
  </si>
  <si>
    <t>ppb/semana</t>
  </si>
  <si>
    <t>Desviación máxima semanal de la lectura del cero en rangos bajos</t>
  </si>
  <si>
    <t>3.4.3</t>
  </si>
  <si>
    <t>Deriva diaria de cero en rangos altos (rango mayor a 0,2 ppm)</t>
  </si>
  <si>
    <t>Deriva diaria de cero máxima permitida en rangos superiores a 0,2 ppm</t>
  </si>
  <si>
    <t>% F.S.</t>
  </si>
  <si>
    <t>Desviación máxima diaria del cero respecto al fondo de escala, en rangos altos</t>
  </si>
  <si>
    <t>3.4.4</t>
  </si>
  <si>
    <t>Deriva semanal de cero en rangos altos (rango mayor a 0,2 ppm)</t>
  </si>
  <si>
    <t>Deriva semanal de cero máxima permitida en rangos superiores a 0,2 ppm</t>
  </si>
  <si>
    <t>Desviación máxima semanal del cero respecto al fondo de escala, en rangos altos</t>
  </si>
  <si>
    <t>3.5.1</t>
  </si>
  <si>
    <t>3.5 Deriva de span (Span Drift)</t>
  </si>
  <si>
    <t>Deriva diaria de span (todos los rangos)</t>
  </si>
  <si>
    <t>Deriva diaria de span máxima permitida con variación térmica dentro de 5 °C</t>
  </si>
  <si>
    <t>Desviación diaria máxima tolerada de la lectura de span</t>
  </si>
  <si>
    <t>3.5.2</t>
  </si>
  <si>
    <t>Deriva semanal de span (todos los rangos)</t>
  </si>
  <si>
    <t>Deriva semanal de span máxima permitida con variación térmica dentro de 5 °C</t>
  </si>
  <si>
    <t>Desviación semanal máxima tolerada de la lectura de span</t>
  </si>
  <si>
    <t>3.6.1</t>
  </si>
  <si>
    <t>3.6 Linealidad</t>
  </si>
  <si>
    <t>Criterio de linealidad de calibración (diferencia de mejor ajuste)</t>
  </si>
  <si>
    <t>Desviación máxima de cada punto de una calibración multipunto respecto a la recta de regresión</t>
  </si>
  <si>
    <t>Diferencia máxima respecto a la línea de mejor ajuste, conforme a la normativa de calibración</t>
  </si>
  <si>
    <t>4.1 Portafiltros frontal</t>
  </si>
  <si>
    <t>Estado del elemento filtrante PA-10L</t>
  </si>
  <si>
    <t>Grado de saturación y oscurecimiento del filtro de teflón de 54 mm del panel frontal</t>
  </si>
  <si>
    <t>Debe verse limpio, sin hollín ni decoloración marrón; reemplazar cada 2 semanas</t>
  </si>
  <si>
    <t>Elasticidad y sellado del O-ring de la tapa del portafiltros frontal</t>
  </si>
  <si>
    <t>Sin resequedad, fisuras ni deformación por aplastamiento; reemplazar cada 1 año</t>
  </si>
  <si>
    <t>O-Ring (3014059499)</t>
  </si>
  <si>
    <t>Humedad en el portafiltros</t>
  </si>
  <si>
    <t>Presencia de condensación de agua líquida en la caja del portafiltros frontal</t>
  </si>
  <si>
    <t>Debe estar completamente seco; la presencia de agua indica falla en trampas de condensado previas</t>
  </si>
  <si>
    <t>MT_B8RUT7HE_APSA370_20111702</t>
  </si>
  <si>
    <t>4.2 Sonda y líneas de muestreo</t>
  </si>
  <si>
    <t>Integridad de la línea de teflón</t>
  </si>
  <si>
    <t>Estrangulamientos, fisuras o fugas físicas en la tubería de muestreo</t>
  </si>
  <si>
    <t>Tubería de teflón de 6 mm OD libre de dobleces agudos y bien ajustada</t>
  </si>
  <si>
    <t>Protección térmica de las líneas</t>
  </si>
  <si>
    <t>Aislamiento de las tuberías de muestra frente a corrientes de aire frío directo</t>
  </si>
  <si>
    <t>No deben estar expuestas a corrientes de aire frío (p. ej. aire acondicionado) para evitar condensados</t>
  </si>
  <si>
    <t>4.3 Conexiones neumáticas traseras</t>
  </si>
  <si>
    <t>Férulas (Sleeve) en puertos de entrada y salida</t>
  </si>
  <si>
    <t>Presencia y estado del casquillo de soporte en las uniones de teflón posteriores</t>
  </si>
  <si>
    <t>Los casquillos de 6 mm deben estar presentes en las uniones traseras para garantizar el sellado</t>
  </si>
  <si>
    <t>Tuercas de compresión PVDF (Cap Nut) en puertos traseros</t>
  </si>
  <si>
    <t>Presencia y torque de las tuercas plásticas para tuberías de teflón de 6 mm</t>
  </si>
  <si>
    <t>Deben estar completas y debidamente ajustadas para evitar fugas neumáticas</t>
  </si>
  <si>
    <t>5.1 Bomba y caudal de muestra</t>
  </si>
  <si>
    <t>Caudal de gas de muestra (SAMPLE)</t>
  </si>
  <si>
    <t>Flujo del gas de muestra a través de la celda óptica medido por el analizador</t>
  </si>
  <si>
    <t>El flujo debe mantenerse estable dentro de los límites de diseño neumático</t>
  </si>
  <si>
    <t>Unidad de bomba (3014059491)</t>
  </si>
  <si>
    <t>Vacío de arrastre absoluto generado en la succión interna del analizador</t>
  </si>
  <si>
    <t>Debe mantenerse por debajo del umbral de alarma; la alarma PRE1 se activa a 65 kPa o más</t>
  </si>
  <si>
    <t>Diafragma EPDM (3011026485)</t>
  </si>
  <si>
    <t>5.1.3</t>
  </si>
  <si>
    <t>Integridad del diafragma de la bomba</t>
  </si>
  <si>
    <t>Estado de las membranas de diafragma de doble cabezal de la bomba</t>
  </si>
  <si>
    <t>Sin fisuras, grietas ni roturas; el desgaste causa baja de vacío, ruidos y disminución de flujo</t>
  </si>
  <si>
    <t>Diaphragm Assy (3011026485 / 3200602390)</t>
  </si>
  <si>
    <t>MT_829WE09R_APSA370_21041205</t>
  </si>
  <si>
    <t>5.1.4</t>
  </si>
  <si>
    <t>Válvulas del cabezal de la bomba</t>
  </si>
  <si>
    <t>Estado físico y sello elástico de las juntas de flapper del cabezal</t>
  </si>
  <si>
    <t>Las válvulas elastoméricas deben estar limpias de partículas y sin deformaciones</t>
  </si>
  <si>
    <t>Kit de diafragma y válvulas (3011026485)</t>
  </si>
  <si>
    <t>5.1.5</t>
  </si>
  <si>
    <t>Sellado de las juntas de conexión de la bomba</t>
  </si>
  <si>
    <t>Uso de cinta selladora en las juntas roscadas de unión neumática a la bomba</t>
  </si>
  <si>
    <t>Las juntas roscadas deben sellarse con cinta de teflón para evitar fugas</t>
  </si>
  <si>
    <t>5.2 Aire de purga del HC Cutter</t>
  </si>
  <si>
    <t>Caudal de purga del HC Cutter</t>
  </si>
  <si>
    <t>Flujo de aire de purga por la línea del eliminador de hidrocarburos</t>
  </si>
  <si>
    <t>Flujo de aire limpio necesario para la correcta remoción de hidrocarburos interferentes</t>
  </si>
  <si>
    <t>Unidad HC Cutter (3014059458)</t>
  </si>
  <si>
    <t>5.3 Válvulas solenoides</t>
  </si>
  <si>
    <t>Operación de la solenoide de cero (SV3)</t>
  </si>
  <si>
    <t>Conmutación física del solenoide al activar el modo ZERO</t>
  </si>
  <si>
    <t>Debe conmutar sin fugas internas y dirigir el flujo de gas cero hacia la celda</t>
  </si>
  <si>
    <t>Operación de la solenoide de span (SV7)</t>
  </si>
  <si>
    <t>Conmutación física del solenoide al activar el modo SPAN</t>
  </si>
  <si>
    <t>Debe activarse herméticamente para direccionar el gas patrón hacia la celda</t>
  </si>
  <si>
    <t>5.3.3</t>
  </si>
  <si>
    <t>Operación de la solenoide de selección MEAS-CAL (SV8)</t>
  </si>
  <si>
    <t>Cambio entre la línea de muestreo de campo y la línea de calibración posterior</t>
  </si>
  <si>
    <t>Debe operar de forma instantánea al conmutar de MEAS a calibración (ZERO o SPAN)</t>
  </si>
  <si>
    <t>5.4.1</t>
  </si>
  <si>
    <t>5.4 Escape</t>
  </si>
  <si>
    <t>Caudal de gases de escape (Exhaust Flow)</t>
  </si>
  <si>
    <t>Flujo del gas de salida liberado por el puerto posterior EXHAUST</t>
  </si>
  <si>
    <t>Flujo de escape en operación normal; debe mantenerse por debajo de 0,8 L/min</t>
  </si>
  <si>
    <t>5.4.2</t>
  </si>
  <si>
    <t>Presión de descarga del gas de escape</t>
  </si>
  <si>
    <t>Estabilidad de presión en la línea posterior de descarga del gas medido</t>
  </si>
  <si>
    <t>La línea de descarga debe estar libre de contrapresión, dentro del rango seguro</t>
  </si>
  <si>
    <t>6.1 Lámpara de excitación UV</t>
  </si>
  <si>
    <t>Voltaje de intensidad de la lámpara de xenón (LAMP)</t>
  </si>
  <si>
    <t>Lectura del voltaje de la lámpara en el menú de entradas analógicas</t>
  </si>
  <si>
    <t>Lámpara nueva entre 500 y 1100 mV; por debajo de 200 mV se activa alarma y debe reemplazarse</t>
  </si>
  <si>
    <t>Lámpara L4646 (3030020915 / 3030020915-TCA)</t>
  </si>
  <si>
    <t>Contacto del socket y terminales de la lámpara</t>
  </si>
  <si>
    <t>Corrosión u oxidación en el socket de la lámpara de alta tensión (1000 V)</t>
  </si>
  <si>
    <t>Pines y contactos limpios y sin hollín, para evitar arcos eléctricos de alta tensión</t>
  </si>
  <si>
    <t>Lámpara L4646 (3030020915)</t>
  </si>
  <si>
    <t>MT_829WE09R_APSA370_241031</t>
  </si>
  <si>
    <t>6.1.3</t>
  </si>
  <si>
    <t>Ajuste de la tensión de alimentación de la lámpara</t>
  </si>
  <si>
    <t>Medición y calibración del voltaje de la lámpara en cátodo y ánodo de D16 en la tarjeta de potencia</t>
  </si>
  <si>
    <t>Ajuste para lámpara nueva mediante el potenciómetro VR2 (HV.C) con SW1 en EXT</t>
  </si>
  <si>
    <t>Ajuste_lampara_APSA</t>
  </si>
  <si>
    <t>6.1.4</t>
  </si>
  <si>
    <t>Desgaste de electrodos de la lámpara de xenón</t>
  </si>
  <si>
    <t>Envejecimiento y desgaste de los electrodos emisores de la lámpara L4646</t>
  </si>
  <si>
    <t>Los electrodos internos no deben verse excesivamente quemados ni presentar depósitos negros</t>
  </si>
  <si>
    <t>6.2 Bloque óptico y detección</t>
  </si>
  <si>
    <t>Integridad del espejo del detector y su holder</t>
  </si>
  <si>
    <t>Estado del espejo cóncavo detector y su fijación en el holder del bloque óptico</t>
  </si>
  <si>
    <t>El espejo no debe estar suelto ni desalineado; debe estar adherido al holder</t>
  </si>
  <si>
    <t>Miller adhesion unit (3014038766)</t>
  </si>
  <si>
    <t>Filtro óptico de color HA-50 (lente de emisión)</t>
  </si>
  <si>
    <t>Presencia e integridad del filtro óptico de vidrio de color en el tubo de enfoque del PMT</t>
  </si>
  <si>
    <t>El filtro HOYA HA-50 de 21,5 mm debe estar limpio, sin manchas, ralladuras graves ni desportilladuras</t>
  </si>
  <si>
    <t>Color Filter Glass 21.5 HA-50 (3012305464)</t>
  </si>
  <si>
    <t>MT_B45H0D2F_APSA370_251028</t>
  </si>
  <si>
    <t>6.2.3</t>
  </si>
  <si>
    <t>Filtro óptico UV U-330 (lente de excitación)</t>
  </si>
  <si>
    <t>Presencia e integridad del filtro óptico UV de banda de excitación (215 nm)</t>
  </si>
  <si>
    <t>El filtro HOYA U-330 de 24 mm debe estar limpio y en excelente estado óptico</t>
  </si>
  <si>
    <t>Color Glass Filter U-330 D=24 (3014062371)</t>
  </si>
  <si>
    <t>6.2.4</t>
  </si>
  <si>
    <t>Estado de los lentes de la cámara de medición</t>
  </si>
  <si>
    <t>Opacidad, condensación o manchas en el compartimento de los lentes del PMT</t>
  </si>
  <si>
    <t>Los dos lentes bajo el fotomultiplicador deben estar transparentes y limpios</t>
  </si>
  <si>
    <t>2 lentes de PMT</t>
  </si>
  <si>
    <t>Repuestos APSA-370 Nivel de Lámpara Bajo</t>
  </si>
  <si>
    <t>6.2.5</t>
  </si>
  <si>
    <t>Acumulación de polvo en la cámara de reacción</t>
  </si>
  <si>
    <t>Grado de polución o polvo en el compartimento óptico del detector de fluorescencia</t>
  </si>
  <si>
    <t>El interior de la celda de fluorescencia debe estar libre de polvo, para evitar luz parásita y ruido</t>
  </si>
  <si>
    <t>MT_4P027475_APSA370_240124</t>
  </si>
  <si>
    <t>6.2.6</t>
  </si>
  <si>
    <t>Tubo fotomultiplicador (PMT)</t>
  </si>
  <si>
    <t>Respuesta y ganancia de amplificación del fotodetector principal</t>
  </si>
  <si>
    <t>El PMT debe reaccionar de forma estable a la fluorescencia del SO2, sin deriva térmica anormal</t>
  </si>
  <si>
    <t>Detector (GZ9100236244)</t>
  </si>
  <si>
    <t>6.2.7</t>
  </si>
  <si>
    <t>Fotodiodo de monitoreo de la lámpara UV</t>
  </si>
  <si>
    <t>Sello hermético y señal del fotodiodo S12698-01 de monitoreo de la lámpara</t>
  </si>
  <si>
    <t>Debe operar de forma continua, registrando la emisión UV para corregir derivas de lámpara</t>
  </si>
  <si>
    <t>Photo Diode S12698-01 (3200546511)</t>
  </si>
  <si>
    <t>Procedimiento Cambio Foto Diodo Horiba APSA-370</t>
  </si>
  <si>
    <t>6.3 Eliminación de interferentes</t>
  </si>
  <si>
    <t>Estado del eliminador de hidrocarburos (HC Cutter)</t>
  </si>
  <si>
    <t>Integridad del eliminador catalítico de hidrocarburos que previene falsas lecturas de SO2</t>
  </si>
  <si>
    <t>El HC Cutter (CUT-1) debe mantener temperatura y eficiencia de remoción de aromáticos (m-xileno)</t>
  </si>
  <si>
    <t>HC Cutter (3014059458)</t>
  </si>
  <si>
    <t>Filtro depurador scrubber de entrada (ESU-050A)</t>
  </si>
  <si>
    <t>Desgaste y coloración del carbón del cartucho scrubber de entrada SCR-1</t>
  </si>
  <si>
    <t>Debe estar libre de apelmazamiento o fugas, asegurando aire libre de SO2 para la línea de referencia</t>
  </si>
  <si>
    <t>Scrubber ESU-050A (3014059487)</t>
  </si>
  <si>
    <t>Tarjeta amplificadora AP-PRE-13</t>
  </si>
  <si>
    <t>Acoplamiento físico e integridad de soldaduras de la placa preamplificadora de la señal del PMT</t>
  </si>
  <si>
    <t>Libre de sobrecalentamientos u oxidación de componentes; debe procesar adecuadamente la señal</t>
  </si>
  <si>
    <t>AP-PRE-13 (3014038440 / H1017887001B)</t>
  </si>
  <si>
    <t>Tarjeta controladora de bomba AP-PMP-01</t>
  </si>
  <si>
    <t>Estado eléctrico de la tarjeta controladora de potencia de motores y bombas</t>
  </si>
  <si>
    <t>Debe estar conectada firmemente y alimentar los actuadores y bombas de forma continua</t>
  </si>
  <si>
    <t>AP-PMP-01 (3014038441 / H1018866001A)</t>
  </si>
  <si>
    <t>LED ST0 en tarjeta de relés AP-RPL-02A</t>
  </si>
  <si>
    <t>Indicación del LED verde ST0 de comunicación por bus I2C local</t>
  </si>
  <si>
    <t>Debe parpadear continuamente, indicando comunicación I2C activa con la tarjeta CPU</t>
  </si>
  <si>
    <t>LED ST1 en tarjeta de relés AP-RPL-02A</t>
  </si>
  <si>
    <t>Indicación del LED verde ST1 de operación (heartbeat) del microprocesador local H8</t>
  </si>
  <si>
    <t>Debe parpadear constantemente; encendido o apagado fijo indica bloqueo lógico de la tarjeta</t>
  </si>
  <si>
    <t>LED de tensión +24 V en tarjeta ADC (AP-ADC-05)</t>
  </si>
  <si>
    <t>Estado del LED de alimentación de +24 V CC en la placa conversora analógica-digital</t>
  </si>
  <si>
    <t>Debe estar encendido de forma fija al estar suministrada la línea de 24 V CC</t>
  </si>
  <si>
    <t>LED de tensión +5 V en tarjeta ADC (AP-ADC-05)</t>
  </si>
  <si>
    <t>Estado del LED de alimentación lógica de +5 V CC en la placa de conversión</t>
  </si>
  <si>
    <t>Debe permanecer encendido de forma fija si los circuitos lógicos de la placa ADC están alimentados</t>
  </si>
  <si>
    <t>LED de tensión +3,3 V en tarjeta CPU</t>
  </si>
  <si>
    <t>Estado del LED indicador de alimentación interna de 3,3 V CC en la tarjeta principal</t>
  </si>
  <si>
    <t>El LED verde de 3,3 V debe estar encendido de forma fija</t>
  </si>
  <si>
    <t>7.1.8</t>
  </si>
  <si>
    <t>LED de tensión +5 V en tarjeta CPU</t>
  </si>
  <si>
    <t>Estado del LED indicador de alimentación interna de 5 V CC en la tarjeta principal</t>
  </si>
  <si>
    <t>El LED verde de 5 V debe estar encendido de forma fija, indicando presencia de tensión digital</t>
  </si>
  <si>
    <t>7.1.9</t>
  </si>
  <si>
    <t>LED de operación de la CPU (heartbeat)</t>
  </si>
  <si>
    <t>Parpadeo del LED de actividad de ejecución de tareas lógicas de la CPU</t>
  </si>
  <si>
    <t>Debe parpadear de forma continua; si se detiene indica congelamiento del firmware</t>
  </si>
  <si>
    <t>Voltaje de la batería de respaldo de SRAM y reloj</t>
  </si>
  <si>
    <t>Voltaje de la pila botón de litio CR2032 instalada en la tarjeta CPU</t>
  </si>
  <si>
    <t>Debe mantener los parámetros de configuración y el calendario al apagar el equipo (vida aprox. 3 años)</t>
  </si>
  <si>
    <t>Batería CR2032 3 V</t>
  </si>
  <si>
    <t>7.3 Configuración de hardware</t>
  </si>
  <si>
    <t>DIP switch SW2 de AP-ADC-05 (modelo)</t>
  </si>
  <si>
    <t>Posición de los microinterruptores BIT0 a BIT3 que identifican el modelo APSA-370</t>
  </si>
  <si>
    <t>Para APSA-370 estándar: BIT3=OFF, BIT2=ON, BIT1=OFF, BIT0=OFF (código 0100)</t>
  </si>
  <si>
    <t>DIP switch SW2 de AP-ADC-05 (especificación internacional)</t>
  </si>
  <si>
    <t>Posición del microinterruptor BIT4 para mercados fuera de Japón</t>
  </si>
  <si>
    <t>El BIT4 debe estar en ON para configurar la especificación internacional (Overseas spec)</t>
  </si>
  <si>
    <t>7.3.3</t>
  </si>
  <si>
    <t>DIP switch SW5 en CPU para comunicaciones RS-232C</t>
  </si>
  <si>
    <t>Posición de los interruptores del bloque SW5 en la CPU para habilitar RS-232C con AP-SIO-04</t>
  </si>
  <si>
    <t>Interruptores 1 a 5 de SW5 en ON, e interruptores 6, 7 y 8 en OFF</t>
  </si>
  <si>
    <t>7.3.4</t>
  </si>
  <si>
    <t>Interruptor SW1 en la tarjeta CPU</t>
  </si>
  <si>
    <t>Posición del switch principal de inicialización u operación en la CPU</t>
  </si>
  <si>
    <t>Debe estar en NORM para operación normal; INIT solo se usa para reset de CPU</t>
  </si>
  <si>
    <t>7.4 Interfaz de usuario</t>
  </si>
  <si>
    <t>Respuesta táctil de la pantalla LCD (Touch Panel)</t>
  </si>
  <si>
    <t>Precisión y respuesta al tacto del recubrimiento resistivo del panel táctil frontal</t>
  </si>
  <si>
    <t>La navegación táctil debe ser fluida, sin descalibraciones al presionar los botones lógicos</t>
  </si>
  <si>
    <t>Touch Panel TP3214S1F0 / AST-057 (3010040585)</t>
  </si>
  <si>
    <t>MT_RW2P5JMH_APSA370_240805</t>
  </si>
  <si>
    <t>7.5 Salidas analógicas</t>
  </si>
  <si>
    <t>Ajuste de cero analógico (DA ADJUST / ZERO)</t>
  </si>
  <si>
    <t>Voltaje en la salida analógica CH-1 configurada al 0 % de su escala</t>
  </si>
  <si>
    <t>Ajuste por software para corregir desviaciones del cero eléctrico de la salida de 0 a 1 V</t>
  </si>
  <si>
    <t>Ajuste de span analógico (DA ADJUST / SPAN)</t>
  </si>
  <si>
    <t>Voltaje en la salida analógica CH-1 configurada al 100 % de su escala</t>
  </si>
  <si>
    <t>Tensión medida en las terminales traseras al forzar la salida al 100 % del fondo de escala</t>
  </si>
  <si>
    <t>7.5.3</t>
  </si>
  <si>
    <t>Asignación de la salida analógica CH-1</t>
  </si>
  <si>
    <t>Señal analógica de 0 a 1 V asignada por hardware para la concentración de SO2</t>
  </si>
  <si>
    <t>Salida no aislada CH-1 configurada por defecto para transmitir el valor instantáneo de concentración</t>
  </si>
  <si>
    <t>7.6.1</t>
  </si>
  <si>
    <t>7.6 Comunicaciones</t>
  </si>
  <si>
    <t>Tarjeta posterior e interfaz serie RS-232C</t>
  </si>
  <si>
    <t>Integridad física del puerto serie DB-9 en la tarjeta de comunicaciones posterior AP-SIO-04</t>
  </si>
  <si>
    <t>El puerto posterior debe permitir la conexión para el envío de tramas de datos</t>
  </si>
  <si>
    <t>Tarjeta AP-SIO-04</t>
  </si>
  <si>
    <t>7.6.2</t>
  </si>
  <si>
    <t>Identificación de la tarjeta CompactFlash (CF card)</t>
  </si>
  <si>
    <t>Estado del LED de inserción y detección de la CF card en la tarjeta CPU</t>
  </si>
  <si>
    <t>Debe estar encendido al introducir y reconocer la tarjeta de almacenamiento de datos</t>
  </si>
  <si>
    <t>7.7.1</t>
  </si>
  <si>
    <t>7.7 Protección eléctrica</t>
  </si>
  <si>
    <t>Fusible de alimentación posterior de CA</t>
  </si>
  <si>
    <t>Integridad del filamento del fusible en el portafusible de entrada de CA trasero</t>
  </si>
  <si>
    <t>A</t>
  </si>
  <si>
    <t>Debe ser del tipo retardado (T) con la capacidad especificada en la placa posterior</t>
  </si>
  <si>
    <t>FUSE 6.3A (T) para AC115V</t>
  </si>
  <si>
    <t>Cables ports</t>
  </si>
  <si>
    <t>Horas de uso del filtro de purga de aire F-2</t>
  </si>
  <si>
    <t>Horas acumuladas en el horómetro para el filtro de aire de 0,3 micras (F-2)</t>
  </si>
  <si>
    <t>Reemplazo obligatorio cada 2 años (17 520 h) para prevenir obstrucciones en la purga del HC Cutter</t>
  </si>
  <si>
    <t>Filtro F-2 (3200082322 / 3200044257)</t>
  </si>
  <si>
    <t>Horas de uso del depurador (Scrubber ESU-050A)</t>
  </si>
  <si>
    <t>Horas acumuladas de operación del cartucho depurador de entrada de aire (SCR-1)</t>
  </si>
  <si>
    <t>Reemplazo preventivo cada 2 años (17 520 h) para asegurar retención óptima de SO2</t>
  </si>
  <si>
    <t>Horas de uso del separador de hidrocarburos (HC Cutter)</t>
  </si>
  <si>
    <t>Horas acumuladas del catalizador extractor de compuestos aromáticos (CUT-1)</t>
  </si>
  <si>
    <t>Sustitución cada 2 años (17 520 h) o cuando se degrade la eficiencia de corte</t>
  </si>
  <si>
    <t>Horas de uso del diafragma de la bomba (P-1-D)</t>
  </si>
  <si>
    <t>Horas de funcionamiento de las membranas elásticas de succión de la bomba</t>
  </si>
  <si>
    <t>Reemplazo preventivo cada 2 años (17 520 h) para evitar caídas de vacío y de flujo</t>
  </si>
  <si>
    <t>Diaphragm Assy (3011026485)</t>
  </si>
  <si>
    <t>Horas de uso de la lámpara de xenón (LAMP)</t>
  </si>
  <si>
    <t>Horas acumuladas de destello del tubo de xenón en el horómetro del analizador</t>
  </si>
  <si>
    <t>Reemplazar cuando el voltaje cae por debajo de 200 mV o la lámpara muestra inestabilidad. Límites PENDIENTE DE VALIDAR</t>
  </si>
  <si>
    <t>Temperatura de la celda (CELL)</t>
  </si>
  <si>
    <t>Temperatura del compartimento de la celda de detección óptica medida por termistor</t>
  </si>
  <si>
    <t>Debe mantenerse estabilizada en el valor estándar: temperatura ambiente + 5 a 15 °C</t>
  </si>
  <si>
    <t>Sensor de presión atmosférica (AMBIENT)</t>
  </si>
  <si>
    <t>Lectura de la presión barométrica o ambiente que sensa el analizador</t>
  </si>
  <si>
    <t>Debe registrar la presión atmosférica del sitio para corrección barométrica. Límites PENDIENTE DE VALIDAR</t>
  </si>
  <si>
    <t>Sensor de presión de la bomba (PUMP)</t>
  </si>
  <si>
    <t>Lectura analógica del sensor de presión de vacío en la línea de la bomba de succión</t>
  </si>
  <si>
    <t>Presión absoluta de succión; la alarma PRE1 se activa si supera 65 kPa</t>
  </si>
  <si>
    <t>9.3 Caudal</t>
  </si>
  <si>
    <t>Sensor de caudal de muestra (SAMPLE)</t>
  </si>
  <si>
    <t>Lectura analógica interna del flujo volumétrico de gas de muestra</t>
  </si>
  <si>
    <t>La lectura debe estar dentro de la tolerancia neumática del medidor de caudal (opcional)</t>
  </si>
  <si>
    <t>9.4.1</t>
  </si>
  <si>
    <t>9.4 Tensiones internas</t>
  </si>
  <si>
    <t>Tensión de suministro de CC de 24 V</t>
  </si>
  <si>
    <t>Lectura del estado de tensión de alimentación de 24 V CC en el menú</t>
  </si>
  <si>
    <t>La tensión regulada de 24 V CC debe estar dentro de la tolerancia de ± 0,5 V</t>
  </si>
  <si>
    <t>9.4.2</t>
  </si>
  <si>
    <t>Tensión de suministro de CC de 5 V</t>
  </si>
  <si>
    <t>Lectura de la tensión lógica de alimentación de 5 V CC en el menú</t>
  </si>
  <si>
    <t>La tensión regulada interna de 5 V CC debe mantenerse dentro de la tolerancia de ± 0,5 V</t>
  </si>
  <si>
    <t>10.1 Entorno de operación</t>
  </si>
  <si>
    <t>Temperatura ambiente de la cabina</t>
  </si>
  <si>
    <t>Temperatura del aire ambiente interior de la cabina o estación de monitoreo</t>
  </si>
  <si>
    <t>Debe mantenerse estable dentro del rango, sin cambios bruscos de 5 °C o más</t>
  </si>
  <si>
    <t>Humedad relativa del sitio</t>
  </si>
  <si>
    <t>Porcentaje de humedad relativa en la estación de control del analizador</t>
  </si>
  <si>
    <t>Debe mantenerse sin condensación, para proteger componentes internos y ópticos</t>
  </si>
  <si>
    <t>Nivel de polvo de la cabina</t>
  </si>
  <si>
    <t>Concentración de material particulado ambiental en la sala de analizadores</t>
  </si>
  <si>
    <t>mg/m3</t>
  </si>
  <si>
    <t>Debe controlarse por debajo de la especificación, para prevenir polución óptica rápida</t>
  </si>
  <si>
    <t>10.2 Montaje físico</t>
  </si>
  <si>
    <t>Nivelación horizontal del instrumento</t>
  </si>
  <si>
    <t>Verificación con nivel de burbuja de la posición del equipo en el rack</t>
  </si>
  <si>
    <t>La instalación física del analizador debe ser estrictamente horizontal</t>
  </si>
  <si>
    <t>10.2.2</t>
  </si>
  <si>
    <t>Espacio posterior para ventilación y servicio</t>
  </si>
  <si>
    <t>Distancia libre de obstáculos detrás del extractor posterior del analizador</t>
  </si>
  <si>
    <t>Mínimo 150 mm libres detrás de la unidad para flujo de aire y manipulación de cables. Límite superior PENDIENTE DE VALIDAR</t>
  </si>
  <si>
    <t>10.2.3</t>
  </si>
  <si>
    <t>Bandeja de soporte en rack de 19 pulgadas</t>
  </si>
  <si>
    <t>Base metálica o rieles de soporte inferior en la cabina de instrumentación</t>
  </si>
  <si>
    <t>Por el peso del instrumento (19 kg) es obligatorio colocar una base de soporte inferior</t>
  </si>
  <si>
    <t>10.3 Chasis y puerta frontal</t>
  </si>
  <si>
    <t>Casquillos de bisagra de la puerta delantera</t>
  </si>
  <si>
    <t>Desgaste y holgura del casquillo plástico de la bisagra de la puerta frontal</t>
  </si>
  <si>
    <t>La puerta debe abrir y cerrar con alineamiento perfecto; sustituir casquillos desgastados</t>
  </si>
  <si>
    <t>MT_RRWV1F42_APSA370_260427</t>
  </si>
  <si>
    <t>10.4 Ventilación y control térmico</t>
  </si>
  <si>
    <t>Ventilador de enfriamiento posterior (Fan)</t>
  </si>
  <si>
    <t>Funcionamiento del ventilador de refrigeración del panel posterior</t>
  </si>
  <si>
    <t>Debe girar libremente, sin ruidos de desgaste, asegurando flujo constante (vida útil aprox. 3 años)</t>
  </si>
  <si>
    <t>Calefactor de la cámara o del HC Cutter (Heater)</t>
  </si>
  <si>
    <t>Operación del calefactor del bloque térmico o del HC Cutter</t>
  </si>
  <si>
    <t>Debe operar y mantener estabilidad térmica sin interrupciones (vida útil aprox. 3 años)</t>
  </si>
  <si>
    <t>FASE 1 — INSPECCIÓN FÍSICA DEL EQUIPO · APOA-370 (O3) (catálogo + captura)</t>
  </si>
  <si>
    <t>Absorción UV no dispersiva (NDUV)</t>
  </si>
  <si>
    <t>Analizador de ozono HORIBA APOA-370</t>
  </si>
  <si>
    <t>LED de alimentación (panel frontal)</t>
  </si>
  <si>
    <t>Color del indicador de encendido tras activar el interruptor de alimentación</t>
  </si>
  <si>
    <t>Debe iluminarse en verde en operación normal y en rojo bajo condición de alarma</t>
  </si>
  <si>
    <t>P-ST-001-MAN OPER APOA 370 V2</t>
  </si>
  <si>
    <t>Inicialización del visualizador táctil</t>
  </si>
  <si>
    <t>Que la pantalla de medición MEAS. se visualice automáticamente al encender</t>
  </si>
  <si>
    <t>La pantalla MEAS. se despliega correctamente y el equipo inicia las mediciones</t>
  </si>
  <si>
    <t>Verificación de la pantalla de inicio</t>
  </si>
  <si>
    <t>Que la pantalla muestre el logotipo oficial HORIBA u OEM antes del modo MEAS.</t>
  </si>
  <si>
    <t>El logotipo oficial se despliega correctamente, sin distorsión ni corrupción gráfica</t>
  </si>
  <si>
    <t>1.2 Autodiagnóstico</t>
  </si>
  <si>
    <t>Iconos y botones de alarma en pantalla</t>
  </si>
  <si>
    <t>Presencia de iconos de alarma en la barra superior o del botón ALARM en la esquina inferior derecha</t>
  </si>
  <si>
    <t>Ausencia completa de alarmas activas; el LED del panel frontal debe estar verde fijo</t>
  </si>
  <si>
    <t>Verificación de intensidad inicial de la lámpara</t>
  </si>
  <si>
    <t>Que el autodiagnóstico no reporte error de intensidad de la lámpara UV al inicio</t>
  </si>
  <si>
    <t>El equipo no presenta error de intensidad LAMP durante la fase de inicialización</t>
  </si>
  <si>
    <t>UV Lamp (3014036635 / 9022009700)</t>
  </si>
  <si>
    <t>Modulación de flujo cruzado a 1 Hz</t>
  </si>
  <si>
    <t>Sonido regular de conmutación de la electroválvula de flujo cruzado</t>
  </si>
  <si>
    <t>Sonido rítmico y constante de conmutación de la válvula a una frecuencia de 1 Hz</t>
  </si>
  <si>
    <t>Solenoid Valve SV-2 (3014034340 / 9022009300)</t>
  </si>
  <si>
    <t>Calentamiento inicial (warm-up)</t>
  </si>
  <si>
    <t>Tiempo de espera tras el encendido antes de calibrar o medir</t>
  </si>
  <si>
    <t>Mínimo 3 h para la estabilización térmica y óptica de celda, catalizador y lámpara. Límite superior PENDIENTE DE VALIDAR</t>
  </si>
  <si>
    <t>Que el número de serie de la etiqueta trasera y del chasis coincida con la hoja de vida</t>
  </si>
  <si>
    <t>Serial legible y coincidente con los registros del sistema de monitoreo</t>
  </si>
  <si>
    <t>MT_1T71YRV7_APOA370_220221</t>
  </si>
  <si>
    <t>2.2 Trazabilidad de software</t>
  </si>
  <si>
    <t>Versión del firmware (ROM)</t>
  </si>
  <si>
    <t>Versión del firmware cargado en la CPU, en el menú de sistema</t>
  </si>
  <si>
    <t>La versión estándar debe mostrar P1000878001 más el número de parche</t>
  </si>
  <si>
    <t>Código HGS del sistema</t>
  </si>
  <si>
    <t>Confirmación del número HGS del analizador y del sistema mediante verificación HTS</t>
  </si>
  <si>
    <t>HGS correcto y correspondiente al tipo de analizador instalado</t>
  </si>
  <si>
    <t>Presencia y legibilidad de la etiqueta HOT COMPONENT en la carcasa de la bomba y del catalizador</t>
  </si>
  <si>
    <t>Etiqueta presente y visible, advirtiendo peligro de quemadura por superficies calientes</t>
  </si>
  <si>
    <t>APOA-370 Maintenance manual</t>
  </si>
  <si>
    <t>Etiqueta de advertencia de lámpara UV y mercurio</t>
  </si>
  <si>
    <t>Presencia y legibilidad de la etiqueta Contains Mercury cerca de la celda de medida</t>
  </si>
  <si>
    <t>Etiqueta de peligro de radiación UV y presencia de mercurio perfectamente legible</t>
  </si>
  <si>
    <t>P-ST-002-MAN MTTO APOA370 V2</t>
  </si>
  <si>
    <t>2.4.1</t>
  </si>
  <si>
    <t>2.4 Identificación de puertos</t>
  </si>
  <si>
    <t>Marcación de conectores en el panel trasero</t>
  </si>
  <si>
    <t>Marcas serigrafiadas de SAMPLE INLET, CAL GAS INLET y EXHAUST</t>
  </si>
  <si>
    <t>Etiquetas e identificadores de puertos limpios, legibles y sin daños físicos</t>
  </si>
  <si>
    <t>Coeficiente de calibración de cero (User Zero)</t>
  </si>
  <si>
    <t>Valor de corrimiento de cero almacenado en la pantalla CAL.</t>
  </si>
  <si>
    <t>El valor del ajuste de cero debe encontrarse dentro del rango permitido</t>
  </si>
  <si>
    <t>Coeficiente de calibración de span (User Span)</t>
  </si>
  <si>
    <t>Factor de multiplicación de calibración de span en la pantalla CAL.</t>
  </si>
  <si>
    <t>El coeficiente de ganancia de span debe encontrarse dentro de los límites de aceptación</t>
  </si>
  <si>
    <t>3.2 Límites de calibración de fábrica</t>
  </si>
  <si>
    <t>Coeficiente de cero de fábrica (Factory Zero)</t>
  </si>
  <si>
    <t>Coeficiente de cero de fábrica en la pantalla F.CAL de mantenimiento de servicio</t>
  </si>
  <si>
    <t>El coeficiente F.ZERO debe estar dentro del rango de conteo del ADC</t>
  </si>
  <si>
    <t>Coeficiente de span de fábrica (Factory Span)</t>
  </si>
  <si>
    <t>Factor de multiplicación de fábrica en el menú de servicio</t>
  </si>
  <si>
    <t>El coeficiente F.SPAN estándar debe estar comprendido entre 0,7 y 1,3</t>
  </si>
  <si>
    <t>3.3 Suministro de gases patrón</t>
  </si>
  <si>
    <t>Presión de entrega de gas cero y de span</t>
  </si>
  <si>
    <t>Presión de introducción del gas cero o del gas patrón</t>
  </si>
  <si>
    <t>La presión de suministro debe controlarse de forma estable respecto a la atmósfera</t>
  </si>
  <si>
    <t>Lámpara del ozonizador interno (opcional)</t>
  </si>
  <si>
    <t>Si está equipado con generador de ozono interno, que la lámpara encienda al activar el span</t>
  </si>
  <si>
    <t>Lámpara del ozonizador interno operativa y estable, sin parpadeos anómalos. Repuesto PENDIENTE DE VALIDAR</t>
  </si>
  <si>
    <t>3.4 Estabilidad de lectura</t>
  </si>
  <si>
    <t>Estabilidad de la lectura de cero</t>
  </si>
  <si>
    <t>Lectura de concentración con aire cero, para comprobar ruido y deriva</t>
  </si>
  <si>
    <t>ppb</t>
  </si>
  <si>
    <t>Lectura del analizador estabilizada cerca de cero</t>
  </si>
  <si>
    <t>Filtro de partículas de teflón (PA-10L)</t>
  </si>
  <si>
    <t>Grado de suciedad, cambio de color o humedad del filtro de partículas</t>
  </si>
  <si>
    <t>El elemento filtrante debe estar limpio, de color blanco y completamente seco (cambio cada 2 semanas)</t>
  </si>
  <si>
    <t>Filter Element PA-10L (3200043947 / 9022003900)</t>
  </si>
  <si>
    <t>Junta tórica del portafiltros (O-Ring G50)</t>
  </si>
  <si>
    <t>Estado físico, deformación o grietas de la junta tórica del vaso del portafiltros</t>
  </si>
  <si>
    <t>Junta elástica, sin aplastamientos ni resequedad, asegurando un sellado hermético</t>
  </si>
  <si>
    <t>O-Ring JISB2401 G50 (3014059499 / 9022005900)</t>
  </si>
  <si>
    <t>Empaque de teflón del filtro</t>
  </si>
  <si>
    <t>Estado de la junta plana interna de asiento del filtro</t>
  </si>
  <si>
    <t>Empaque plano sin deformaciones, cortes ni residuos de suciedad. Repuesto PENDIENTE DE VALIDAR</t>
  </si>
  <si>
    <t>4.2 Humedad en la línea</t>
  </si>
  <si>
    <t>Humedad o condensación en el portafiltros</t>
  </si>
  <si>
    <t>Presencia de agua libre en las mangueras neumáticas y en el vaso del portafiltros</t>
  </si>
  <si>
    <t>Líneas neumáticas completamente secas y libres de goteo o acumulación de agua</t>
  </si>
  <si>
    <t>MT_H53MWBT2_APOA370_250428</t>
  </si>
  <si>
    <t>4.3 Conexiones neumáticas</t>
  </si>
  <si>
    <t>Férula de teflón (Sleeve / SO2001-6)</t>
  </si>
  <si>
    <t>Presencia y estado de la férula de teflón de 6 mm en los acoples INLET y EXHAUST</t>
  </si>
  <si>
    <t>Férulas presentes en todas las uniones de mangueras de 6 mm, para evitar fugas</t>
  </si>
  <si>
    <t>Tuerca de sellado PVDF (Cap Nut)</t>
  </si>
  <si>
    <t>Estado físico de la tuerca plástica de acople rápido PVDF en la entrada</t>
  </si>
  <si>
    <t>Tuerca sin fisuras, roscas barridas ni deformaciones que afecten el sellado</t>
  </si>
  <si>
    <t>MT_4UFVB4RH_APOA370_221031</t>
  </si>
  <si>
    <t>4.3.3</t>
  </si>
  <si>
    <t>Racor de entrada frontal de muestra</t>
  </si>
  <si>
    <t>Estado del acople pasamuros frontal de entrada de muestra</t>
  </si>
  <si>
    <t>Racor completo, sin grietas, mellas ni fugas</t>
  </si>
  <si>
    <t>MT_WKKT596N_APOA370_220225</t>
  </si>
  <si>
    <t>4.4.1</t>
  </si>
  <si>
    <t>4.4 Sonda y líneas externas</t>
  </si>
  <si>
    <t>Línea de teflón (PTFE) de entrada</t>
  </si>
  <si>
    <t>Tubo de teflón externo de muestreo, buscando dobleces o aplastamientos</t>
  </si>
  <si>
    <t>Tubo continuo de 6 mm OD / 4 mm ID libre de obstrucciones, torceduras o estrangulaciones</t>
  </si>
  <si>
    <t>5.1 Bomba de muestreo</t>
  </si>
  <si>
    <t>Diafragma de la bomba (P-1-D)</t>
  </si>
  <si>
    <t>Estado del diafragma de la bomba de muestra desmontando el cabezal</t>
  </si>
  <si>
    <t>El diafragma de EPDM debe estar libre de fisuras, roturas o perforaciones</t>
  </si>
  <si>
    <t>Diaphragm Assy (3200044033 / 9022002900)</t>
  </si>
  <si>
    <t>Válvulas de flapper de la bomba</t>
  </si>
  <si>
    <t>Estado del par de válvulas planas de caucho dentro del cabezal de la bomba</t>
  </si>
  <si>
    <t>Válvulas limpias, planas, sin deformación ni rigidez excesiva</t>
  </si>
  <si>
    <t>Montaje y base amortiguadora de la bomba</t>
  </si>
  <si>
    <t>Que la bomba esté fija en sus soportes antivibratorios y no despegada de su base</t>
  </si>
  <si>
    <t>Soportes en buen estado y bomba fija al chasis, sin desacople por calor</t>
  </si>
  <si>
    <t>MT_3X0ND064_APOA370_241204</t>
  </si>
  <si>
    <t>5.2 Presión y vacío</t>
  </si>
  <si>
    <t>Presión absoluta de la bomba (PUMP)</t>
  </si>
  <si>
    <t>Presión de succión de la bomba en la pantalla ANALOG INPUT</t>
  </si>
  <si>
    <t>Debe ser menor o igual a 65 kPa; la alarma PRE1 se activa a 65 kPa o más</t>
  </si>
  <si>
    <t>5.3 Caudal de muestra</t>
  </si>
  <si>
    <t>Caudal de muestra en display (SAMPLE)</t>
  </si>
  <si>
    <t>Valor del sensor de caudal de muestra (opcional) en la pantalla ANALOG INPUT</t>
  </si>
  <si>
    <t>Valor estándar 0,5 a 0,9 L/min; la alarma FLO1 se activa fuera de 0,4 a 1,0 L/min</t>
  </si>
  <si>
    <t>Caudal de toma medido externamente</t>
  </si>
  <si>
    <t>Caudal real de entrada de muestra con flujómetro patrón calibrado en el puerto INLET</t>
  </si>
  <si>
    <t>Caudal nominal 0,7 L/min ± 0,05 L/min; fuera de rango se reemplaza el orificio de control de flujo</t>
  </si>
  <si>
    <t>Unidad de orificio crítico (Critical Orifice)</t>
  </si>
  <si>
    <t>Que el orificio crítico interno de control de flujo esté libre de obstrucciones</t>
  </si>
  <si>
    <t>Orificio totalmente limpio y sin obstrucciones físicas. Repuesto PENDIENTE DE VALIDAR</t>
  </si>
  <si>
    <t>6.1 Absorción UV no dispersiva (NDUV)</t>
  </si>
  <si>
    <t>Intensidad de la lámpara UV (LAMP)</t>
  </si>
  <si>
    <t>Voltaje de la intensidad de la fuente de luz en la pantalla ANALOG INPUT</t>
  </si>
  <si>
    <t>Valor estándar 200 a 1200 mV; se activa alarma por debajo de 200 mV. Ajuste de fábrica: 800 a 1100 mV</t>
  </si>
  <si>
    <t>Valor de temperatura de la celda óptica en la pantalla ANALOG INPUT</t>
  </si>
  <si>
    <t>Valor estándar: temperatura ambiente + 5 a 15 °C. Los límites dependen de la temperatura del sitio</t>
  </si>
  <si>
    <t>Ruido de la señal analógica (SIGNAL)</t>
  </si>
  <si>
    <t>Valor y estabilidad del canal analógico SIGNAL en la primera página de ANALOG INPUT</t>
  </si>
  <si>
    <t>Señal de ozono estable cerca del nivel de referencia en ausencia de gas</t>
  </si>
  <si>
    <t>6.2 Celda de medida y óptica</t>
  </si>
  <si>
    <t>Ventanas de cuarzo de la celda</t>
  </si>
  <si>
    <t>Estado de las ventanas ópticas transparentes en los extremos de la celda de absorción</t>
  </si>
  <si>
    <t>Ventanas limpias, libres de polvo, películas de grasa o condensación de agua</t>
  </si>
  <si>
    <t>Sello de empaquetadura de la celda</t>
  </si>
  <si>
    <t>Estanqueidad y estado de los empaques de las uniones de la celda</t>
  </si>
  <si>
    <t>Sin evidencia de fugas en la celda de absorción; sellos continuos sin agrietamiento. Repuesto PENDIENTE DE VALIDAR</t>
  </si>
  <si>
    <t>Alineación de la lámpara UV</t>
  </si>
  <si>
    <t>Orientación de la lámpara para máxima intensidad, tras aflojar los tornillos de fijación</t>
  </si>
  <si>
    <t>Lámpara fijada con sus tornillos estriados en el punto de máxima señal en pantalla</t>
  </si>
  <si>
    <t>6.3 Canal de referencia (deozonizador)</t>
  </si>
  <si>
    <t>Unidad catalítica calentada (DO pipe)</t>
  </si>
  <si>
    <t>Que el deozonizador caliente y descomponga el O3 para el canal de referencia</t>
  </si>
  <si>
    <t>Destrucción completa de ozono en el gas de referencia y lecturas de referencia estables</t>
  </si>
  <si>
    <t>DO pipe (3014061445 / 9022006000)</t>
  </si>
  <si>
    <t>Conector del catalizador deozonizador</t>
  </si>
  <si>
    <t>Estado del enchufe de alimentación de CA del calentador del deozonizador</t>
  </si>
  <si>
    <t>Conector firmemente encajado, contactos sin corrosión ni sobrecalentamiento térmico</t>
  </si>
  <si>
    <t>6.4 Detección</t>
  </si>
  <si>
    <t>Fotodiodo detector de medición</t>
  </si>
  <si>
    <t>Estado de las conexiones soldadas del fotodiodo detector</t>
  </si>
  <si>
    <t>Conexiones firmes, sin sulfatación, falsos contactos ni desprendimiento por humedad</t>
  </si>
  <si>
    <t>Photo Diode (3030051996)</t>
  </si>
  <si>
    <t>Tarjeta preamplificadora (AP-AMP-06)</t>
  </si>
  <si>
    <t>Estado de la PCB del preamplificador óptico montado junto al fotodiodo</t>
  </si>
  <si>
    <t>Placa limpia, libre de humedad, sulfatación o componentes recalentados</t>
  </si>
  <si>
    <t>Printed Board Unit (3200092494)</t>
  </si>
  <si>
    <t>6.5.1</t>
  </si>
  <si>
    <t>6.5 Válvulas de modulación</t>
  </si>
  <si>
    <t>Unidad de solenoide de modulación (SV-2)</t>
  </si>
  <si>
    <t>Funcionamiento continuo de conmutación de la electroválvula de 3 vías (WTB-3K-NIF-3)</t>
  </si>
  <si>
    <t>Válvula solenoide que conmuta herméticamente y sin atascos de manera continua</t>
  </si>
  <si>
    <t>Solenoid Valve WTB-3K-NIF-3 (3014034340 / 9022009300)</t>
  </si>
  <si>
    <t>7.1 Alimentación interna</t>
  </si>
  <si>
    <t>Riel de voltaje interno de 24 V (DC 24V)</t>
  </si>
  <si>
    <t>Voltaje de alimentación de 24 V en la segunda página de ANALOG INPUT</t>
  </si>
  <si>
    <t>Debe mantenerse estable dentro de la tolerancia nominal de 24 V ± 0,5 V</t>
  </si>
  <si>
    <t>Riel de voltaje interno de 5 V (DC 5V)</t>
  </si>
  <si>
    <t>Voltaje de alimentación de 5 V en la segunda página de ANALOG INPUT</t>
  </si>
  <si>
    <t>Debe mantenerse estable dentro de la tolerancia nominal de 5 V ± 0,5 V</t>
  </si>
  <si>
    <t>Riel de voltaje interno de 3,3 V</t>
  </si>
  <si>
    <t>Que el LED indicador de +3,3 V en la tarjeta AP-CPU-01 o AP-CPU-02 esté encendido</t>
  </si>
  <si>
    <t>LED indicador del riel de 3,3 V de la CPU encendido fijo, de color verde</t>
  </si>
  <si>
    <t>7.2 Tarjetas electrónicas</t>
  </si>
  <si>
    <t>LED de estado en placa AP-ADC-05</t>
  </si>
  <si>
    <t>LED de alimentación y diagnóstico de la tarjeta analógica principal</t>
  </si>
  <si>
    <t>LED +24 V y +5 V encendidos; LED de PIO conmutando en ciclo de operación normal</t>
  </si>
  <si>
    <t>AP-ADC-05 (V1018383001)</t>
  </si>
  <si>
    <t>7.2.2</t>
  </si>
  <si>
    <t>LED de estado de CPU (AP-CPU-02)</t>
  </si>
  <si>
    <t>Que el LED de estado de operación de la CPU parpadee continuamente</t>
  </si>
  <si>
    <t>LED en destello rítmico constante, indicando que el procesador está corriendo</t>
  </si>
  <si>
    <t>AP-CPU-02 (V3096613)</t>
  </si>
  <si>
    <t>7.2.3</t>
  </si>
  <si>
    <t>LED de comunicación en tarjeta AP-RPL-02A</t>
  </si>
  <si>
    <t>LED ST0 (I2C) y ST1 (H8) de la placa de relés, para evaluar comunicación interna</t>
  </si>
  <si>
    <t>ST1 parpadeando en ciclo normal y ST0 destellando, indicando comunicación activa con la CPU</t>
  </si>
  <si>
    <t>AP-RPL-02A (V1026172001)</t>
  </si>
  <si>
    <t>7.3 Display</t>
  </si>
  <si>
    <t>Respuesta al toque del panel táctil</t>
  </si>
  <si>
    <t>Que los botones del visualizador táctil respondan con precisión a la presión física</t>
  </si>
  <si>
    <t>Entrada táctil calibrada; las capas de la pantalla sin separación, burbujas ni sulfatación</t>
  </si>
  <si>
    <t>LCD unit / Touch Panel (3014035613 / 9022009400)</t>
  </si>
  <si>
    <t>7.4 Respaldo de reloj y memoria</t>
  </si>
  <si>
    <t>Batería de reloj en placa CPU (CR2032)</t>
  </si>
  <si>
    <t>Que la batería no presente corrosión y que la alarma BATT no esté activa</t>
  </si>
  <si>
    <t>Batería de litio libre de fugas de electrolito y con retención correcta de hora y fecha del RTC</t>
  </si>
  <si>
    <t>Battery CR2032 (3200043671 / 9022009800)</t>
  </si>
  <si>
    <t>7.5 Comunicaciones y almacenamiento</t>
  </si>
  <si>
    <t>Inserción de la tarjeta CompactFlash (CF)</t>
  </si>
  <si>
    <t>Que la tarjeta CF esté instalada en su ranura y el LED indicador esté encendido</t>
  </si>
  <si>
    <t>Tarjeta identificada sin alarmas de lectura o escritura (alarma CF ALM inactiva)</t>
  </si>
  <si>
    <t>CF card (H3068068001 / 3200381086)</t>
  </si>
  <si>
    <t>Puerto RS-232C de mantenimiento frontal</t>
  </si>
  <si>
    <t>Comunicación conectando el software ApCpuConfig.exe mediante cable cruzado de 9 pines</t>
  </si>
  <si>
    <t>Enlace serial establecido a 19200 bps, con transmisión bidireccional estable</t>
  </si>
  <si>
    <t>ApCpuConfigManual</t>
  </si>
  <si>
    <t>Puerto RJ-45 Ethernet trasero</t>
  </si>
  <si>
    <t>Estado físico del puerto de red y de los LED verde y amarillo con el enlace activo</t>
  </si>
  <si>
    <t>Conector RJ-45 limpio y firme; el LED de Link Status se mantiene iluminado fijo</t>
  </si>
  <si>
    <t>7.6 Configuración de hardware</t>
  </si>
  <si>
    <t>DIP switch SW5 en placa AP-CPU-01/02</t>
  </si>
  <si>
    <t>Configuración física del interruptor de 8 vías SW5 de la tarjeta CPU</t>
  </si>
  <si>
    <t>Interruptores en OFF para operación normal, tras el mantenimiento o la inicialización</t>
  </si>
  <si>
    <t>DIP switch SW1 de inicialización de CPU</t>
  </si>
  <si>
    <t>Posición física del switch de modo de arranque de la CPU</t>
  </si>
  <si>
    <t>Debe estar en NORM para operación de campo; INIT solo para reset</t>
  </si>
  <si>
    <t>Fusibles traseros de red de CA</t>
  </si>
  <si>
    <t>Filamento de los fusibles del receptáculo del AC Inlet</t>
  </si>
  <si>
    <t>Fusibles del amperaje correcto, continuos y sin rastros de cortocircuito o quemadura. Especificación PENDIENTE DE VALIDAR</t>
  </si>
  <si>
    <t>8.1 Periodicidad de reemplazo</t>
  </si>
  <si>
    <t>Reemplazo del elemento filtrante PA-10L</t>
  </si>
  <si>
    <t>Tiempo transcurrido desde la última sustitución del filtro de teflón</t>
  </si>
  <si>
    <t>Fecha</t>
  </si>
  <si>
    <t>Frecuencia de cambio no mayor a dos semanas en condiciones estándar de muestreo</t>
  </si>
  <si>
    <t>Reemplazo de la junta tórica O-Ring G50</t>
  </si>
  <si>
    <t>Intervalo transcurrido desde el cambio de la junta del portafiltros</t>
  </si>
  <si>
    <t>Sustitución recomendada anual, para prevenir fugas y mantener la estanqueidad neumática</t>
  </si>
  <si>
    <t>Vida útil de la batería de litio (CR2032)</t>
  </si>
  <si>
    <t>Tiempo transcurrido desde la instalación de la batería de respaldo de la CPU</t>
  </si>
  <si>
    <t>Reemplazo recomendado cada 3 años, para evitar pérdida de datos en ciclos de apagado</t>
  </si>
  <si>
    <t>8.2 Horómetros de consumibles</t>
  </si>
  <si>
    <t>Horómetro del diafragma de bomba (P-1-D)</t>
  </si>
  <si>
    <t>Horas acumuladas del diafragma de la bomba en la pantalla MAINTENANCE STATUS</t>
  </si>
  <si>
    <t>Reemplazo al cumplir el ciclo recomendado por el fabricante (2 años, 17 520 h)</t>
  </si>
  <si>
    <t>8.2.2</t>
  </si>
  <si>
    <t>Horómetro del catalizador deozonizador (DO-1)</t>
  </si>
  <si>
    <t>Horas acumuladas registradas para el catalizador deozonizador</t>
  </si>
  <si>
    <t>Reemplazo al cumplir las horas acumuladas recomendadas (2 años, 17 520 h)</t>
  </si>
  <si>
    <t>Catalyzer DO-5g / DO pipe (3014061445 / 9022006000)</t>
  </si>
  <si>
    <t>8.2.3</t>
  </si>
  <si>
    <t>Horómetro de la lámpara UV de medición (LAMP)</t>
  </si>
  <si>
    <t>Horas acumuladas de uso de la lámpara de emisión UV en la pantalla de estado</t>
  </si>
  <si>
    <t>Reemplazar oportunamente o cuando su voltaje decae por debajo de 200 mV</t>
  </si>
  <si>
    <t>8.2.4</t>
  </si>
  <si>
    <t>Horómetro de la bomba completa (P-1-B)</t>
  </si>
  <si>
    <t>Horas acumuladas registradas para la unidad motora de la bomba</t>
  </si>
  <si>
    <t>La bomba de diafragma completa (GS-6EH) debe reemplazarse para prevenir fatiga mecánica</t>
  </si>
  <si>
    <t>Pump unit GS-6EH (3014059159 100V / 3014059160 230V)</t>
  </si>
  <si>
    <t>8.2.5</t>
  </si>
  <si>
    <t>Horómetro de la válvula solenoide (SV-2)</t>
  </si>
  <si>
    <t>Horas de conmutación acumuladas de la electroválvula solenoide</t>
  </si>
  <si>
    <t>La electroválvula de conmutación de 3 vías debe reemplazarse preventivamente</t>
  </si>
  <si>
    <t>9.1 Presión</t>
  </si>
  <si>
    <t>Lectura de presión ambiente (AMBIENT)</t>
  </si>
  <si>
    <t>Presión atmosférica en ANALOG INPUT, comparada con un barómetro patrón</t>
  </si>
  <si>
    <t>La diferencia entre la lectura interna y el barómetro patrón externo debe ser menor al 2 %</t>
  </si>
  <si>
    <t>Presión diferencial de celda</t>
  </si>
  <si>
    <t>Que el sensor de presión de la celda no registre derivas anómalas ni fallos (alarma PS_1)</t>
  </si>
  <si>
    <t>Transductor de presión operativo, sin error ni inestabilidad de lectura</t>
  </si>
  <si>
    <t>9.2 Temperatura</t>
  </si>
  <si>
    <t>Termistor de temperatura de celda (TS_1)</t>
  </si>
  <si>
    <t>Que el sensor de temperatura de la celda registre valores estables y consistentes</t>
  </si>
  <si>
    <t>Termistor de la celda en correcto estado físico y entregando lectura lógica</t>
  </si>
  <si>
    <t>Termistor de temperatura del deozonizador</t>
  </si>
  <si>
    <t>Que el deozonizador estabilice su temperatura y no reporte alarmas de calentador</t>
  </si>
  <si>
    <t>Sensor del deozonizador en correcto estado y temperatura de control dentro de límites</t>
  </si>
  <si>
    <t>Lectura del sensor de caudal de muestra (opcional)</t>
  </si>
  <si>
    <t>Lectura de caudal en la segunda pantalla de ANALOG INPUT</t>
  </si>
  <si>
    <t>Caudal estable en rango nominal; alarma FLO1 si está fuera de 0,4 a 1,0 L/min</t>
  </si>
  <si>
    <t>9.4 Cableado de sensores</t>
  </si>
  <si>
    <t>Integridad de cables planos de transductores</t>
  </si>
  <si>
    <t>Acople físico de los conectores de cinta de los sensores de presión a la placa ADC-05</t>
  </si>
  <si>
    <t>Conectores planos perfectamente encajados, sin hilos sueltos ni daño en el aislamiento</t>
  </si>
  <si>
    <t>Puerta delantera y cierres</t>
  </si>
  <si>
    <t>Ajuste y alineación de la puerta frontal del analizador y firmeza del cierre</t>
  </si>
  <si>
    <t>La puerta delantera debe cerrar correctamente y su pestillo asegurar de manera firme</t>
  </si>
  <si>
    <t>Tornillos de fijación de la cubierta superior</t>
  </si>
  <si>
    <t>Presencia y apriete de los tornillos M3 de la tapa superior del chasis</t>
  </si>
  <si>
    <t>Los 8 tornillos de la cubierta superior deben estar presentes y ajustados firmemente</t>
  </si>
  <si>
    <t>10.2 Montaje en rack</t>
  </si>
  <si>
    <t>Espacio libre vertical en rack de 19 pulgadas</t>
  </si>
  <si>
    <t>Espacio vertical disponible en el rack o panel cortado</t>
  </si>
  <si>
    <t>Requiere una altura mínima de 222 mm (5 unidades de rack). Límite superior PENDIENTE DE VALIDAR</t>
  </si>
  <si>
    <t>Base de apoyo e instalación del chasis</t>
  </si>
  <si>
    <t>Presencia de platinas laterales de montaje y de una base de soporte en rack o escritorio</t>
  </si>
  <si>
    <t>Debe estar montado sobre base de apoyo o rieles adecuados para soportar sus 15 kg</t>
  </si>
  <si>
    <t>10.3 Entorno de operación</t>
  </si>
  <si>
    <t>Temperatura ambiental del recinto (shelter)</t>
  </si>
  <si>
    <t>Temperatura ambiente dentro de la estación de monitoreo o cabina climática</t>
  </si>
  <si>
    <t>Debe mantenerse estable para evitar derivas por cambios bruscos superiores a 5 °C</t>
  </si>
  <si>
    <t>Humedad relativa en la cabina de monitoreo</t>
  </si>
  <si>
    <t>Humedad relativa dentro del shelter o recinto de alojamiento</t>
  </si>
  <si>
    <t>Humedad baja para prevenir condensación en líneas y oxidación de la lámina táctil</t>
  </si>
  <si>
    <t>FASE 1 — INSPECCIÓN FÍSICA DEL EQUIPO · APNA-370 (NOx) (catálogo + captura)</t>
  </si>
  <si>
    <t>Quimiluminiscencia en fase reducida</t>
  </si>
  <si>
    <t>Analizador de óxidos de nitrógeno HORIBA APNA-370</t>
  </si>
  <si>
    <t>Estado visual del LED frontal de encendido</t>
  </si>
  <si>
    <t>Color del LED en la esquina inferior izquierda del panel frontal</t>
  </si>
  <si>
    <t>Debe iluminarse en verde constante (operación normal); en rojo indica condición de alarma</t>
  </si>
  <si>
    <t>OP_APNA-370 (Manual de Operación)</t>
  </si>
  <si>
    <t>Operación del ozonizador interno</t>
  </si>
  <si>
    <t>Que la lámpara de ozono (UV) encienda y genere ozono en el sistema</t>
  </si>
  <si>
    <t>La lámpara UV debe encender (descarga azul) y el LED de la tarjeta de potencia debe brillar</t>
  </si>
  <si>
    <t>UV Lamp ozonizador (3014038054)</t>
  </si>
  <si>
    <t>MT_926L0LFB_APNA370_241118 / MT_AE0FUTTH</t>
  </si>
  <si>
    <t>Estado y brillo del display LCD</t>
  </si>
  <si>
    <t>Encendido inicial de la pantalla, sin parpadeos, líneas muertas ni fallas de iluminación</t>
  </si>
  <si>
    <t>La pantalla LCD táctil debe encender normalmente y mostrar la interfaz gráfica MEAS</t>
  </si>
  <si>
    <t>LCD unit (3014035613)</t>
  </si>
  <si>
    <t>MT_UMJJYLV9_APNA370_220930 / OP_APNA-370</t>
  </si>
  <si>
    <t>Revisión de alarmas activas</t>
  </si>
  <si>
    <t>Presencia del icono ALARM en la esquina inferior derecha de la pantalla MEAS y revisión del histórico</t>
  </si>
  <si>
    <t>No deben existir alarmas activas después del periodo de estabilización inicial</t>
  </si>
  <si>
    <t>Tiempo de calentamiento posterior al encendido</t>
  </si>
  <si>
    <t>Tiempo transcurrido desde el encendido, para estabilización térmica del convertidor y del detector</t>
  </si>
  <si>
    <t>Mínimo 3 h antes de medir o calibrar; se recomienda 24 a 48 h</t>
  </si>
  <si>
    <t>Número de serie y modelo del analizador</t>
  </si>
  <si>
    <t>Que la etiqueta posterior de fábrica con modelo y serial esté presente y legible</t>
  </si>
  <si>
    <t>Debe coincidir exactamente con el número de serie registrado en las hojas de servicio</t>
  </si>
  <si>
    <t>MT_1XT65JR5_APNA370_240909 / Cables ports</t>
  </si>
  <si>
    <t>Etiqueta de inventario o control del cliente</t>
  </si>
  <si>
    <t>Presencia de la etiqueta de control de inventario en la puerta frontal</t>
  </si>
  <si>
    <t>Etiqueta presente y legible, con el serial de control del cliente</t>
  </si>
  <si>
    <t>MT_US00XLH0_APNA370_251218 / MT_YM7PXU2K</t>
  </si>
  <si>
    <t>2.1.3</t>
  </si>
  <si>
    <t>Etiqueta de apertura de puerta (Open Label)</t>
  </si>
  <si>
    <t>Etiqueta que indica el sentido de apertura o las instrucciones en la puerta delantera</t>
  </si>
  <si>
    <t>La etiqueta adhesiva debe estar adherida en la puerta frontal y en buen estado</t>
  </si>
  <si>
    <t>Open label (3012296756)</t>
  </si>
  <si>
    <t>MT_JV765TV0_APNA370_220216</t>
  </si>
  <si>
    <t>Número de programa HGS/HTS</t>
  </si>
  <si>
    <t>Número HGS/HTS del analizador, para validar si aplica programa estándar o especial</t>
  </si>
  <si>
    <t>El número de programa estándar para APNA-370 (AP) debe ser P1000878001</t>
  </si>
  <si>
    <t>Coeficiente digital resultante de la calibración de cero, en la pantalla CAL.</t>
  </si>
  <si>
    <t>Debe encontrarse dentro de la tolerancia de desvío del fabricante para que la calibración sea exitosa</t>
  </si>
  <si>
    <t>Coeficiente de cero de fábrica</t>
  </si>
  <si>
    <t>Límite de counts admitido para la calibración de cero en modo de fábrica</t>
  </si>
  <si>
    <t>El coeficiente de cero de fábrica debe estar dentro de la tolerancia máxima absoluta</t>
  </si>
  <si>
    <t>Coeficiente digital resultante de la calibración de span, en la pantalla CAL.</t>
  </si>
  <si>
    <t>El factor de span resultante debe estar dentro del rango de ganancia del fabricante</t>
  </si>
  <si>
    <t>3.1.4</t>
  </si>
  <si>
    <t>Concentración de gas de span configurada</t>
  </si>
  <si>
    <t>Que el valor de concentración de span coincida con el cilindro certificado</t>
  </si>
  <si>
    <t>Rango de configuración permitido por el software</t>
  </si>
  <si>
    <t>Presión del gas patrón y del gas cero</t>
  </si>
  <si>
    <t>Presión de los gases suministrados al analizador, comprobada con manómetro externo</t>
  </si>
  <si>
    <t>Debe controlarse ligeramente por encima de la presión atmosférica</t>
  </si>
  <si>
    <t>Presión del gas de muestra</t>
  </si>
  <si>
    <t>Que la presión de entrada del gas de muestra en el puerto posterior se mantenga estable</t>
  </si>
  <si>
    <t>La presión en el puerto trasero debe controlarse dentro del límite estable establecido</t>
  </si>
  <si>
    <t>3.2.3</t>
  </si>
  <si>
    <t>Presión del gas de escape</t>
  </si>
  <si>
    <t>Que la línea de descarga no presente contrapresión que afecte la cámara de reacción</t>
  </si>
  <si>
    <t>La línea de escape debe liberarse a un lugar seguro, con contrapresión estable dentro del rango</t>
  </si>
  <si>
    <t>3.3 Eficiencia del convertidor</t>
  </si>
  <si>
    <t>Rendimiento del convertidor de NO2 a NO</t>
  </si>
  <si>
    <t>Eficiencia de conversión de la celda catalítica, verificada por titulación en fase gas (GPT)</t>
  </si>
  <si>
    <t>La eficiencia de conversión de NO2 a NO debe ser igual o superior al 96 %</t>
  </si>
  <si>
    <t>Catalyzer NO2-NO COM-1 (3014056464)</t>
  </si>
  <si>
    <t>MNT_APNA-370 (Manual de Mantenimiento)</t>
  </si>
  <si>
    <t>3.4 Deriva y desempeño metrológico</t>
  </si>
  <si>
    <t>Deriva del cero diaria (Zero Drift)</t>
  </si>
  <si>
    <t>Desviación del punto cero transcurridas 24 h de operación continua</t>
  </si>
  <si>
    <t>La deriva de cero en 24 h no debe superar el porcentaje de fondo de escala especificado</t>
  </si>
  <si>
    <t>Deriva del cero semanal (Zero Drift)</t>
  </si>
  <si>
    <t>Desviación del punto cero tras una semana de operación con variación de temperatura menor a 5 °C</t>
  </si>
  <si>
    <t>La deriva de cero en una semana no debe superar el porcentaje de fondo de escala especificado</t>
  </si>
  <si>
    <t>Deriva del span diaria (Span Drift)</t>
  </si>
  <si>
    <t>Desviación del punto de span transcurridas 24 h de operación continua</t>
  </si>
  <si>
    <t>La deriva de span en 24 h no debe superar el porcentaje de fondo de escala especificado</t>
  </si>
  <si>
    <t>Deriva del span semanal (Span Drift)</t>
  </si>
  <si>
    <t>Desviación del punto de span tras una semana con variación de temperatura menor a 5 °C</t>
  </si>
  <si>
    <t>La deriva de span en una semana no debe superar el porcentaje de fondo de escala especificado</t>
  </si>
  <si>
    <t>3.4.5</t>
  </si>
  <si>
    <t>Tiempo de respuesta T90</t>
  </si>
  <si>
    <t>Tiempo para alcanzar el 90 % del valor final de concentración desde la entrada</t>
  </si>
  <si>
    <t>segundos</t>
  </si>
  <si>
    <t>El tiempo de respuesta T90 debe ser igual o menor a 120 s</t>
  </si>
  <si>
    <t>3.4.6</t>
  </si>
  <si>
    <t>Repetitividad del equipo</t>
  </si>
  <si>
    <t>Repetitividad de lecturas bajo condiciones constantes de gas patrón</t>
  </si>
  <si>
    <t>La repetitividad de las mediciones de NOx debe encontrarse dentro de la tolerancia</t>
  </si>
  <si>
    <t>3.4.7</t>
  </si>
  <si>
    <t>Linealidad del analizador</t>
  </si>
  <si>
    <t>Desviación de la curva lineal en una calibración multipunto</t>
  </si>
  <si>
    <t>La linealidad del equipo debe encontrarse dentro de la tolerancia máxima establecida</t>
  </si>
  <si>
    <t>Elemento filtrante de muestra (PTFE)</t>
  </si>
  <si>
    <t>Color y estado del elemento filtrante PA-10L de 54 mm de diámetro</t>
  </si>
  <si>
    <t>Debe estar limpio y de color totalmente blanco; reemplazar cada 2 semanas si hay polución o humedad</t>
  </si>
  <si>
    <t>Filter Element PA-10L (3200043947)</t>
  </si>
  <si>
    <t>OP_APNA-370 / MT_9156R938</t>
  </si>
  <si>
    <t>Empaque del filtro de partículas frontal</t>
  </si>
  <si>
    <t>Empaque plano FKM del portafiltro frontal, para descartar grietas, deformaciones o fugas</t>
  </si>
  <si>
    <t>Empaque elástico y sin fisuras, que garantice hermeticidad de la línea; reemplazar cada 1 año</t>
  </si>
  <si>
    <t>Junta tórica del portafiltro (O-Ring G70)</t>
  </si>
  <si>
    <t>Estado del anillo de sellado JISB2401 G70 en el estuche del filtro</t>
  </si>
  <si>
    <t>Sin cortes ni pérdida de elasticidad, para evitar ingreso de aire ambiental; reemplazar cada 1 año</t>
  </si>
  <si>
    <t>O-Ring (3200043785)</t>
  </si>
  <si>
    <t>Tubería de teflón FEP externa</t>
  </si>
  <si>
    <t>Mangueras externas de entrada de muestra, calibración y escape</t>
  </si>
  <si>
    <t>Limpias, sin dobleces, estrangulaciones ni humedad acumulada; FEP de 6 mm OD / 4 mm ID</t>
  </si>
  <si>
    <t>Tubería FEP (AMB-CONTEF-001)</t>
  </si>
  <si>
    <t>OP_APNA-370 / MT_RFL6UD28</t>
  </si>
  <si>
    <t>Tanque de condensación neumático (Buffer Tank)</t>
  </si>
  <si>
    <t>Base del tanque de condensación interna, y si presenta fisuras o está pegada con adhesivos</t>
  </si>
  <si>
    <t>El tanque debe estar hermético y estable, sin fugas neumáticas</t>
  </si>
  <si>
    <t>Buffer tank (3012301739)</t>
  </si>
  <si>
    <t>MT_US00XLH0_APNA370_251218 / MT_RG4SR6AD</t>
  </si>
  <si>
    <t>Unidad deshumidificadora de membrana (PPD-1)</t>
  </si>
  <si>
    <t>Que el tubo deshumidificador de membrana Nafion esté en buen estado, sin fugas ni obturaciones</t>
  </si>
  <si>
    <t>Debe garantizar el correcto secado del gas de muestra; reemplazar cuando sea necesario</t>
  </si>
  <si>
    <t>Dehumidifier unit PPD-1 (3200044461)</t>
  </si>
  <si>
    <t>MNT_APNA-370 / MT_N4CAMPC1_APNA-370_260313</t>
  </si>
  <si>
    <t>Bomba de muestreo neumática de doble cabezal (GD-6EH)</t>
  </si>
  <si>
    <t>Funcionamiento mecánico de la bomba y ausencia de sobrecalentamiento del chasis</t>
  </si>
  <si>
    <t>Funcionamiento continuo y silencioso, sin ruidos metálicos ni exceso de temperatura; cambio cada 2 años</t>
  </si>
  <si>
    <t>Pump unit (3014059491)</t>
  </si>
  <si>
    <t>MNT_APNA-370 / MT_RFL6UD28</t>
  </si>
  <si>
    <t>Ensamblaje del diafragma de la bomba (P-1-D)</t>
  </si>
  <si>
    <t>Fisuras o rupturas del diafragma de EPDM, retirando las tapas del cabezal</t>
  </si>
  <si>
    <t>Diafragmas sin fisuras, perforaciones ni deformaciones mecánicas; reemplazar cada 1 a 2 años</t>
  </si>
  <si>
    <t>Diaphragm Assy (3200044033)</t>
  </si>
  <si>
    <t>MNT_APNA-370 / MT_A860VPB4_APNA370_20113004</t>
  </si>
  <si>
    <t>Empaque tipo válvula (Flapper valve)</t>
  </si>
  <si>
    <t>Estado y desgaste del empaque elástico tipo válvula del cabezal de la bomba</t>
  </si>
  <si>
    <t>Limpiar, lubricar y de ser necesario rotar o cambiar el empaque, para corregir fluctuaciones de caudal</t>
  </si>
  <si>
    <t>Flapper valve (3012164657)</t>
  </si>
  <si>
    <t>MT_1TLF2RUY_APNA-370_230620 / MT_N4CAMPC1</t>
  </si>
  <si>
    <t>5.2 Caudal de muestra</t>
  </si>
  <si>
    <t>Valor medido del flujo de muestra (Sample Flow)</t>
  </si>
  <si>
    <t>Valor del flujo de muestra en MENU / MAINTENANCE / ANALOG INPUT</t>
  </si>
  <si>
    <t>El caudal medido debe estar dentro del rango estándar de operación</t>
  </si>
  <si>
    <t>OP_APNA-370 / P_ST-008-MAN</t>
  </si>
  <si>
    <t>Límites de alarma de flujo de muestra (FLO1)</t>
  </si>
  <si>
    <t>Rango configurado para el disparo de la alarma opcional FLO1 de flujo de muestra</t>
  </si>
  <si>
    <t>El flujo de muestra no debe desviarse fuera del rango de alarma absoluto permitido</t>
  </si>
  <si>
    <t>Caudal objetivo para ajuste manual con flujómetro</t>
  </si>
  <si>
    <t>Caudal físico en el puerto trasero, medido con flujómetro externo durante el mantenimiento</t>
  </si>
  <si>
    <t>mL/min</t>
  </si>
  <si>
    <t>El caudal de la línea de muestra y de la línea de NO se ajusta mediante el regulador R-2</t>
  </si>
  <si>
    <t>5.3 Restricción de flujo</t>
  </si>
  <si>
    <t>Orificios de restricción de flujo (Critical Orifice)</t>
  </si>
  <si>
    <t>Limpieza y ausencia de obstrucciones de polvo en los orificios críticos de teflón</t>
  </si>
  <si>
    <t>Los orificios capilares de flujo deben estar libres de obstrucciones y polución</t>
  </si>
  <si>
    <t>Orificio crítico (3014035610)</t>
  </si>
  <si>
    <t>MT_L2561A1S_APNA-370_230705_MTTO</t>
  </si>
  <si>
    <t>5.4 Válvulas solenoides</t>
  </si>
  <si>
    <t>Estado mecánico de las electroválvulas (SV-2, SV-3, SV-11)</t>
  </si>
  <si>
    <t>Alternancia física y sello neumático de las 3 electroválvulas principales del detector</t>
  </si>
  <si>
    <t>Deben conmutar correctamente, sin atascos, con sello hermético y manteniendo la presión adecuada</t>
  </si>
  <si>
    <t>Solenoid valve (3014035610)</t>
  </si>
  <si>
    <t>MT_US00XLH0_APNA370_251218 / MT_REBXU06B</t>
  </si>
  <si>
    <t>5.5.1</t>
  </si>
  <si>
    <t>5.5 Reguladores de presión</t>
  </si>
  <si>
    <t>Regulador de presión R-1</t>
  </si>
  <si>
    <t>Ajuste de la presión en el regulador R-1, retirando el tapón y conectando manómetro</t>
  </si>
  <si>
    <t>La lectura en el punto de chequeo del regulador R-1 debe ser 80 kPa ± 4 kPa</t>
  </si>
  <si>
    <t>Regulador (3011017009)</t>
  </si>
  <si>
    <t>5.5.2</t>
  </si>
  <si>
    <t>Regulador de vacío R-2 (presión de la bomba)</t>
  </si>
  <si>
    <t>Lectura de presión de la bomba en la pantalla ANALOG INPUT 1/2</t>
  </si>
  <si>
    <t>La presión del regulador de vacío R-2 debe ajustarse al valor de diseño</t>
  </si>
  <si>
    <t>5.5.3</t>
  </si>
  <si>
    <t>Regulador diferencial R-3</t>
  </si>
  <si>
    <t>Presión en el regulador diferencial R-3</t>
  </si>
  <si>
    <t>La lectura de presión del regulador diferencial R-3 debe ajustarse al valor de diseño</t>
  </si>
  <si>
    <t>5.5.4</t>
  </si>
  <si>
    <t>Presión absoluta del detector (límite de alarma PRE1)</t>
  </si>
  <si>
    <t>Presión absoluta interna de la celda o bomba mostrada en pantalla</t>
  </si>
  <si>
    <t>Debe permanecer dentro del rango de 60 a 90 kPa; fuera de él se activa la alarma PRESS 1</t>
  </si>
  <si>
    <t>6.1 Cámara de reacción (quimiluminiscencia)</t>
  </si>
  <si>
    <t>Hermeticidad del reactor</t>
  </si>
  <si>
    <t>Bloque del reactor, para descartar fugas, y estado de la junta elástica O-Ring W</t>
  </si>
  <si>
    <t>Bloque limpio, sin fisuras neumáticas y con el O-Ring W elástico y bien posicionado</t>
  </si>
  <si>
    <t>O-Ring W (3014059166)</t>
  </si>
  <si>
    <t>MT_H0004N72_APNA-370_241227 / MT_P7P8MW1M</t>
  </si>
  <si>
    <t>6.2 Convertidor de NO2 a NO</t>
  </si>
  <si>
    <t>Tubo catalizador de reducción (COM-1)</t>
  </si>
  <si>
    <t>Estado externo de la celda de reducción de NOx y de su resistencia calefactora</t>
  </si>
  <si>
    <t>Tubo catalizador libre de obstrucciones internas y con temperatura estable; cambio cada 1 a 4 años</t>
  </si>
  <si>
    <t>6.3 Generador de ozono interno</t>
  </si>
  <si>
    <t>Tarjeta de potencia del ozonizador (AP-UVP-03)</t>
  </si>
  <si>
    <t>Que la tarjeta osciladora encienda su LED de alta tensión para iluminar la lámpara UV</t>
  </si>
  <si>
    <t>Tarjeta operativa sin quemaduras y LED indicador encendido durante la generación de ozono</t>
  </si>
  <si>
    <t>Printed Board Unit AP-UVP-03 (3200088405)</t>
  </si>
  <si>
    <t>MT_GMK01HJU_APNA370 / MT_A860VPB4</t>
  </si>
  <si>
    <t>Protector de PTFE de la lámpara UV (UV liner)</t>
  </si>
  <si>
    <t>Estado del protector de PTFE de la lámpara del ozonizador</t>
  </si>
  <si>
    <t>Funda de PTFE sin grietas ni deformidades por calor (263 x 145 x 0,8 mm); reemplazar cada 1 año</t>
  </si>
  <si>
    <t>UV Lamp with PTFE liner (3200044415)</t>
  </si>
  <si>
    <t>6.4 Detección óptica</t>
  </si>
  <si>
    <t>Detector de luz de reacción</t>
  </si>
  <si>
    <t>Tipo y estado del sensor óptico del detector</t>
  </si>
  <si>
    <t>El APNA-370 usa un fotodiodo de silicio de larga vida y no requiere fuente de alta tensión de PMT</t>
  </si>
  <si>
    <t>Detector (3014060117)</t>
  </si>
  <si>
    <t>APNA-370 Brochure / MT_A860VPB4_APNA370_20112702</t>
  </si>
  <si>
    <t>Limpieza de filtros ópticos y ventana de celda</t>
  </si>
  <si>
    <t>Depósitos, humedad o manchas en el lente protector y el filtro óptico del detector</t>
  </si>
  <si>
    <t>El lente y los filtros ópticos deben estar limpios, transparentes y secos</t>
  </si>
  <si>
    <t>Filtro óptico (3014059379)</t>
  </si>
  <si>
    <t>MT_P7P8MW1M_APNA370_251028 / MT_1XT65JR5</t>
  </si>
  <si>
    <t>6.5 Eliminación de ozono residual</t>
  </si>
  <si>
    <t>Catalizador de ozono de escape (DO-1 / Deozonizer)</t>
  </si>
  <si>
    <t>Estado del deozonizador de salida que elimina el ozono residual antes de la descarga</t>
  </si>
  <si>
    <t>Catalizador en buen estado, sin degradación que dañe prematuramente la bomba; cambio cada 1 a 2 años</t>
  </si>
  <si>
    <t>Catalyzer DO DO-1 (3200043513)</t>
  </si>
  <si>
    <t>6.6.1</t>
  </si>
  <si>
    <t>6.6 Secado del aire de ozonizador</t>
  </si>
  <si>
    <t>Contenedores de gel de sílice (Dryer D-1)</t>
  </si>
  <si>
    <t>Color de los granos de sílica gel en los dos cilindros de secado de aire</t>
  </si>
  <si>
    <t>Sustituir la sílica gel cada 1 a 2 años, o si presenta decoloración o saturación de humedad</t>
  </si>
  <si>
    <t>Silica gel for Dryer units D-1 (3200044017)</t>
  </si>
  <si>
    <t>MNT_APNA-370 / MT_1U67F10J</t>
  </si>
  <si>
    <t>6.6.2</t>
  </si>
  <si>
    <t>Temperatura de reactivación del cilindro secador</t>
  </si>
  <si>
    <t>Que el cilindro secador inactivo caliente periódicamente para evaporar la humedad</t>
  </si>
  <si>
    <t>En la etapa de reactivación la sílica gel debe calentarse para liberar humedad tras 180 min</t>
  </si>
  <si>
    <t>Tarjeta CPU (AP-CPU-01 / AP-CPU-02)</t>
  </si>
  <si>
    <t>Que el LED de operación de la CPU destelle regularmente y no se observen daños térmicos</t>
  </si>
  <si>
    <t>El LED debe destellar en condiciones normales; tras reemplazar la CPU se inicializa con SW5 y SW1</t>
  </si>
  <si>
    <t>AP-CPU-02 (3200629662)</t>
  </si>
  <si>
    <t>Tarjeta de conversión analógica-digital (AP-ADC-05)</t>
  </si>
  <si>
    <t>Posición de los DIP switches de configuración del modelo de analizador</t>
  </si>
  <si>
    <t>Para APNA-370: BIT0=ON, BIT1=OFF, BIT2=OFF, BIT3=OFF. Referencia PENDIENTE DE VALIDAR</t>
  </si>
  <si>
    <t>Tarjeta de relés y contactos (AP-RPL-02 / AP-RPL-02A)</t>
  </si>
  <si>
    <t>Estado de los terminales de cableado de entradas y salidas, y LED de comunicación I2C (ST0/ST1)</t>
  </si>
  <si>
    <t>LED ST1 de operación destellando normalmente y terminales libres de corrosión u holguras</t>
  </si>
  <si>
    <t>Tarjeta de comunicación serial RS-232C (AP-SIO-04)</t>
  </si>
  <si>
    <t>Integración física del puerto serial y su conexión con el cable CN2 en el puerto de la CPU</t>
  </si>
  <si>
    <t>Tarjeta fijada con los 4 tornillos M3x6 SUS y conectada con cable de 5 hilos</t>
  </si>
  <si>
    <t>Pila de memoria y reloj RTC</t>
  </si>
  <si>
    <t>Voltaje de la batería de litio CR2032 y ausencia de la alarma BATT en pantalla</t>
  </si>
  <si>
    <t>Pila CR2032 instalada en el portapilas de la CPU; reemplazar cada 3 años</t>
  </si>
  <si>
    <t>Battery CR2032 (3200043671)</t>
  </si>
  <si>
    <t>MNT_APNA-370 / OP_APNA-370</t>
  </si>
  <si>
    <t>Cintas de datos planas (Tape Wire)</t>
  </si>
  <si>
    <t>Hilos cortados, grietas o malas conexiones en las cintas planas entre la CPU y la RPL</t>
  </si>
  <si>
    <t>Cable cinta en buen estado y firmemente asentado en sus conectores</t>
  </si>
  <si>
    <t>Tape Wire (3010040355)</t>
  </si>
  <si>
    <t>MT_H0004N72_APNA-370_241227 / MT_VMH2YJP3</t>
  </si>
  <si>
    <t>Panel digitalizador táctil (Touch Panel)</t>
  </si>
  <si>
    <t>Respuesta del teclado resistivo al presionar los menús de la interfaz gráfica</t>
  </si>
  <si>
    <t>Respuesta táctil precisa en todas las zonas; no utilizar bolígrafos ni puntas afiladas</t>
  </si>
  <si>
    <t>MT_A860VPB4_APNA370_20111202 / OP_APNA-370</t>
  </si>
  <si>
    <t>7.4 Salidas analógicas</t>
  </si>
  <si>
    <t>Señales de concentración de salida (Mom/Avg)</t>
  </si>
  <si>
    <t>Voltaje en los canales CH-7, CH-8 o CH-9 de la parte trasera, medido con multímetro</t>
  </si>
  <si>
    <t>Salida estándar no aislada de NO, NO2 o NOx de 0 a 1 V, proporcional al rango</t>
  </si>
  <si>
    <t>7.5 Protección eléctrica</t>
  </si>
  <si>
    <t>Fusibles de entrada de red AC</t>
  </si>
  <si>
    <t>Continuidad de los fusibles integrados en el conector AC Inlet posterior</t>
  </si>
  <si>
    <t>Fusible intacto; capacidad recomendada 6,3 A (T) para configuración de 115 V</t>
  </si>
  <si>
    <t>OP_APNA-370 / Cables ports</t>
  </si>
  <si>
    <t>8.1 Consumibles del ozonizador</t>
  </si>
  <si>
    <t>Filtro de aire en línea del ozonizador</t>
  </si>
  <si>
    <t>Grado de saturación del filtro de aire de 0,3 micras en la línea de ozono</t>
  </si>
  <si>
    <t>Elemento filtrante seco y limpio de polvo; reemplazar cada 1 a 2 años</t>
  </si>
  <si>
    <t>Filtro de aire (3200044257)</t>
  </si>
  <si>
    <t>8.2 Depuración de gases</t>
  </si>
  <si>
    <t>Depurador de gases de escape (Scrubber BAA-050)</t>
  </si>
  <si>
    <t>Color de las esferas de alúmina activada del depurador BAA-050</t>
  </si>
  <si>
    <t>Reemplazar si presenta decoloración o saturación extrema; vida útil de 1 a 4 años</t>
  </si>
  <si>
    <t>Scrubber BAA-050 (3014061530)</t>
  </si>
  <si>
    <t>MNT_APNA-370 / MT_P7P8MW1M</t>
  </si>
  <si>
    <t>8.3.1</t>
  </si>
  <si>
    <t>8.3 Filtros de chasis</t>
  </si>
  <si>
    <t>Filtros de esponja de ventilación del chasis</t>
  </si>
  <si>
    <t>Acumulación de polvo en los filtros de esponja de la tapa exterior y del ventilador</t>
  </si>
  <si>
    <t>Esponjas limpias, lavadas o cambiadas periódicamente para garantizar el aire de enfriamiento; cada 1 año</t>
  </si>
  <si>
    <t>MT_A860VPB4 / MT_T5DMLT1N_APNA370</t>
  </si>
  <si>
    <t>Temperatura del detector (DETECTOR TEMP)</t>
  </si>
  <si>
    <t>Valor de temperatura del sensor óptico en MENU / MAINTENANCE / ANALOG INPUT</t>
  </si>
  <si>
    <t>La temperatura del detector debe mantenerse estable en torno al punto de diseño</t>
  </si>
  <si>
    <t>Presión interna del detector (PUMP PRESS)</t>
  </si>
  <si>
    <t>Presión del detector en el menú ANALOG INPUT</t>
  </si>
  <si>
    <t>Rango de presión absoluta normal en operación</t>
  </si>
  <si>
    <t>MT_9156R938 / MT_KUS03MMP</t>
  </si>
  <si>
    <t>Presión ambiental (AMBIENT PRESS)</t>
  </si>
  <si>
    <t>Que el valor del sensor de presión atmosférica sea coherente con la altitud del sitio</t>
  </si>
  <si>
    <t>Presión ambiental medida por el sensor PS_3</t>
  </si>
  <si>
    <t>OP_APNA-370 / Procedimiento Ajuste de Presión Ambiente</t>
  </si>
  <si>
    <t>Canal de alimentación interna de 24 V DC</t>
  </si>
  <si>
    <t>Que la tensión de 24 V esté dentro de tolerancia, en la página 2 de ANALOG INPUT</t>
  </si>
  <si>
    <t>Voltaje de suministro para bombas, solenoides y elementos calentadores (24 V ± 0,5 V)</t>
  </si>
  <si>
    <t>OP_APNA-370 / Service Manual</t>
  </si>
  <si>
    <t>Canal de alimentación interna de 5 V DC</t>
  </si>
  <si>
    <t>Que la tensión de 5 V esté dentro de tolerancia, en la página 2 de ANALOG INPUT</t>
  </si>
  <si>
    <t>Voltaje de suministro para circuitos digitales y de control lógico (5 V ± 0,5 V)</t>
  </si>
  <si>
    <t>10.1 Gabinete y chasis</t>
  </si>
  <si>
    <t>Dimensiones físicas externas</t>
  </si>
  <si>
    <t>Que el espacio asignado en el rack cumpla con las medidas del chasis del analizador</t>
  </si>
  <si>
    <t>Gabinete estándar de 430 mm ancho x 221 mm alto x 550 mm profundidad (5U, 222 mm)</t>
  </si>
  <si>
    <t>Masa total del analizador</t>
  </si>
  <si>
    <t>Que la base de soporte o bandeja del rack tolere el peso neto del analizador</t>
  </si>
  <si>
    <t>kg</t>
  </si>
  <si>
    <t>Peso neto aproximado del equipo sin accesorios; requiere al menos 2 personas para su traslado</t>
  </si>
  <si>
    <t>Que todos los tornillos M3 de la tapa metálica superior estén presentes y ajustados</t>
  </si>
  <si>
    <t>Tapa asegurada firmemente con sus 8 tornillos M3, para evitar vibraciones e ingreso de polvo</t>
  </si>
  <si>
    <t>Tornillo M3 (3030049516)</t>
  </si>
  <si>
    <t>MT_T5DMLT1N_APNA370 / MT_N4CAMPC1_APNA-370_230705_MTTO</t>
  </si>
  <si>
    <t>10.1.4</t>
  </si>
  <si>
    <t>Que la puerta delantera esté acoplada y gire suavemente</t>
  </si>
  <si>
    <t>Casquillos instalados, para evitar que la puerta delantera se descuelgue o se desacomode</t>
  </si>
  <si>
    <t>MT_1TLF2RYU_APNA370_220511 / MT_A860VPB4</t>
  </si>
  <si>
    <t>10.2 Conexiones neumáticas traseras</t>
  </si>
  <si>
    <t>Racores y férulas en los puertos traseros</t>
  </si>
  <si>
    <t>Que todos los puertos neumáticos tengan instaladas las tuercas (Cap Nut) y férulas (Sleeve)</t>
  </si>
  <si>
    <t>Puertos equipados con racores de PVDF para asegurar el sello de teflón; evitar mangueras sueltas</t>
  </si>
  <si>
    <t>Cap Nut S020020-6PVDF (3030021779) / Sleeve SO2001-6 (3030021777)</t>
  </si>
  <si>
    <t>MT_1TLF2RYU_APNA370_220511 / MT_JV765TV0</t>
  </si>
  <si>
    <t>Rango de temperatura ambiente del sitio</t>
  </si>
  <si>
    <t>Temperatura ambiente del shelter o estación de monitoreo, medida con termómetro</t>
  </si>
  <si>
    <t>Debe estar dentro de los límites, evitando variaciones bruscas de 5 °C o más</t>
  </si>
  <si>
    <t>Límites de humedad relativa ambiente</t>
  </si>
  <si>
    <t>Humedad relativa del shelter, comprobada con higrómetro, para evitar condensación</t>
  </si>
  <si>
    <t>Para temperaturas menores de 31 °C la humedad relativa debe ser del 80 % o menor</t>
  </si>
  <si>
    <t>10.3.3</t>
  </si>
  <si>
    <t>Límite máximo de altitud de operación</t>
  </si>
  <si>
    <t>Altitud geográfica del sitio de instalación del analizador</t>
  </si>
  <si>
    <t>msnm</t>
  </si>
  <si>
    <t>El equipo está diseñado para operar por debajo del límite de altitud establecido por el fabricante</t>
  </si>
  <si>
    <t>RESUMEN DE CONFORMIDAD POR NIVEL MACRO</t>
  </si>
  <si>
    <t>Calculado automáticamente sobre las hojas de inspección de cada modelo.</t>
  </si>
  <si>
    <t>APMA-370 (CO) — Analizador de monóxido de carbono HORIBA APMA-370</t>
  </si>
  <si>
    <t>Ítems</t>
  </si>
  <si>
    <t>Conforme</t>
  </si>
  <si>
    <t>No conforme</t>
  </si>
  <si>
    <t>Requiere reemplazo</t>
  </si>
  <si>
    <t>No aplica</t>
  </si>
  <si>
    <t>% conformidad</t>
  </si>
  <si>
    <t>Fuera de rango</t>
  </si>
  <si>
    <t>TOTAL</t>
  </si>
  <si>
    <t>APSA-370 (SO2) — Analizador de dióxido de azufre HORIBA APSA-370</t>
  </si>
  <si>
    <t>APOA-370 (O3) — Analizador de ozono HORIBA APOA-370</t>
  </si>
  <si>
    <t>APNA-370 (NOx) — Analizador de óxidos de nitrógeno HORIBA APNA-370</t>
  </si>
  <si>
    <t>COMPARATIVO ENTRE MODELOS</t>
  </si>
  <si>
    <t>Modelo</t>
  </si>
  <si>
    <t>APMA-370 (CO)</t>
  </si>
  <si>
    <t>APSA-370 (SO2)</t>
  </si>
  <si>
    <t>APOA-370 (O3)</t>
  </si>
  <si>
    <t>APNA-370 (NOx)</t>
  </si>
  <si>
    <t>% conformidad = Conforme / (Ítems − No aplica − Pendiente).</t>
  </si>
  <si>
    <t>Con el libro recién abierto todos los ítems están en «Pendiente», por lo que el % queda vacío hasta diligenciar.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</si>
</sst>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b/>
      <sz val="10"/>
      <name val="Arial"/>
    </font>
    <font>
      <sz val="10"/>
      <name val="Arial"/>
    </font>
    <font>
      <b/>
      <sz val="10"/>
      <color rgb="FFFFFFFF"/>
      <name val="Arial"/>
    </font>
    <font>
      <sz val="9"/>
      <name val="Arial"/>
    </font>
    <font>
      <b/>
      <sz val="13"/>
      <color rgb="FF1F3864"/>
      <name val="Arial"/>
    </font>
    <font>
      <sz val="10"/>
      <color rgb="FF595959"/>
      <name val="Arial"/>
    </font>
    <font>
      <b/>
      <sz val="11"/>
      <color rgb="FF1F3864"/>
      <name val="Arial"/>
    </font>
    <font>
      <b/>
      <sz val="15"/>
      <color rgb="FF1F3864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3864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9" fillId="0" borderId="0" xfId="0" applyFont="1"/>
    <xf numFmtId="0" fontId="7" fillId="0" borderId="0" xfId="0" applyFont="1"/>
    <xf numFmtId="0" fontId="8" fillId="0" borderId="0" xfId="0" applyFont="1"/>
    <xf numFmtId="0" fontId="5" fillId="0" borderId="0" xfId="0" applyFont="1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3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top"/>
    </xf>
    <xf numFmtId="0" fontId="5" fillId="4" borderId="1" xfId="0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vertical="top" wrapText="1"/>
    </xf>
    <xf numFmtId="0" fontId="6" fillId="0" borderId="0" xfId="0" applyFont="1"/>
    <xf numFmtId="0" fontId="3" fillId="0" borderId="1" xfId="0" applyFont="1" applyBorder="1" applyAlignment="1">
      <alignment vertical="center"/>
    </xf>
    <xf numFmtId="164" fontId="3" fillId="0" borderId="1" xfId="0" applyNumberFormat="1" applyFont="1" applyBorder="1" applyAlignment="1">
      <alignment vertical="center"/>
    </xf>
    <xf numFmtId="0" fontId="3" fillId="0" borderId="1" xfId="0" applyFont="1" applyBorder="1"/>
    <xf numFmtId="164" fontId="3" fillId="0" borderId="1" xfId="0" applyNumberFormat="1" applyFont="1" applyBorder="1"/>
    <xf numFmtId="0" fontId="5" fillId="0" borderId="1" xfId="0" applyFont="1" applyFill="1" applyBorder="1" applyAlignment="1">
      <alignment vertical="top"/>
    </xf>
    <xf numFmtId="0" fontId="5" fillId="0" borderId="1" xfId="0" applyFont="1" applyFill="1" applyBorder="1" applyAlignment="1">
      <alignment vertical="top" wrapText="1"/>
    </xf>
    <xf numFmtId="0" fontId="0" fillId="0" borderId="0" xfId="0" applyFill="1"/>
  </cellXfs>
  <cellStyles count="1">
    <cellStyle name="Normal" xfId="0" builtinId="0"/>
  </cellStyles>
  <dxfs count="16">
    <dxf>
      <font>
        <sz val="9"/>
        <color rgb="FF9C0006"/>
        <name val="Arial"/>
      </font>
      <fill>
        <patternFill>
          <bgColor rgb="FFFFC7CE"/>
        </patternFill>
      </fill>
    </dxf>
    <dxf>
      <font>
        <sz val="9"/>
        <color rgb="FF9C5700"/>
        <name val="Arial"/>
      </font>
      <fill>
        <patternFill>
          <bgColor rgb="FFFFEB9C"/>
        </patternFill>
      </fill>
    </dxf>
    <dxf>
      <font>
        <sz val="9"/>
        <color rgb="FF9C0006"/>
        <name val="Arial"/>
      </font>
      <fill>
        <patternFill>
          <bgColor rgb="FFFFC7CE"/>
        </patternFill>
      </fill>
    </dxf>
    <dxf>
      <font>
        <sz val="9"/>
        <color rgb="FF006100"/>
        <name val="Arial"/>
      </font>
      <fill>
        <patternFill>
          <bgColor rgb="FFC6EFCE"/>
        </patternFill>
      </fill>
    </dxf>
    <dxf>
      <font>
        <sz val="9"/>
        <color rgb="FF9C0006"/>
        <name val="Arial"/>
      </font>
      <fill>
        <patternFill>
          <bgColor rgb="FFFFC7CE"/>
        </patternFill>
      </fill>
    </dxf>
    <dxf>
      <font>
        <sz val="9"/>
        <color rgb="FF9C5700"/>
        <name val="Arial"/>
      </font>
      <fill>
        <patternFill>
          <bgColor rgb="FFFFEB9C"/>
        </patternFill>
      </fill>
    </dxf>
    <dxf>
      <font>
        <sz val="9"/>
        <color rgb="FF9C0006"/>
        <name val="Arial"/>
      </font>
      <fill>
        <patternFill>
          <bgColor rgb="FFFFC7CE"/>
        </patternFill>
      </fill>
    </dxf>
    <dxf>
      <font>
        <sz val="9"/>
        <color rgb="FF006100"/>
        <name val="Arial"/>
      </font>
      <fill>
        <patternFill>
          <bgColor rgb="FFC6EFCE"/>
        </patternFill>
      </fill>
    </dxf>
    <dxf>
      <font>
        <sz val="9"/>
        <color rgb="FF9C0006"/>
        <name val="Arial"/>
      </font>
      <fill>
        <patternFill>
          <bgColor rgb="FFFFC7CE"/>
        </patternFill>
      </fill>
    </dxf>
    <dxf>
      <font>
        <sz val="9"/>
        <color rgb="FF9C5700"/>
        <name val="Arial"/>
      </font>
      <fill>
        <patternFill>
          <bgColor rgb="FFFFEB9C"/>
        </patternFill>
      </fill>
    </dxf>
    <dxf>
      <font>
        <sz val="9"/>
        <color rgb="FF9C0006"/>
        <name val="Arial"/>
      </font>
      <fill>
        <patternFill>
          <bgColor rgb="FFFFC7CE"/>
        </patternFill>
      </fill>
    </dxf>
    <dxf>
      <font>
        <sz val="9"/>
        <color rgb="FF006100"/>
        <name val="Arial"/>
      </font>
      <fill>
        <patternFill>
          <bgColor rgb="FFC6EFCE"/>
        </patternFill>
      </fill>
    </dxf>
    <dxf>
      <font>
        <sz val="9"/>
        <color rgb="FF9C0006"/>
        <name val="Arial"/>
      </font>
      <fill>
        <patternFill>
          <bgColor rgb="FFFFC7CE"/>
        </patternFill>
      </fill>
    </dxf>
    <dxf>
      <font>
        <sz val="9"/>
        <color rgb="FF9C5700"/>
        <name val="Arial"/>
      </font>
      <fill>
        <patternFill>
          <bgColor rgb="FFFFEB9C"/>
        </patternFill>
      </fill>
    </dxf>
    <dxf>
      <font>
        <sz val="9"/>
        <color rgb="FF9C0006"/>
        <name val="Arial"/>
      </font>
      <fill>
        <patternFill>
          <bgColor rgb="FFFFC7CE"/>
        </patternFill>
      </fill>
    </dxf>
    <dxf>
      <font>
        <sz val="9"/>
        <color rgb="FF006100"/>
        <name val="Arial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8"/>
  <sheetViews>
    <sheetView showGridLines="0" workbookViewId="0"/>
  </sheetViews>
  <sheetFormatPr baseColWidth="10" defaultColWidth="9.140625" defaultRowHeight="15" x14ac:dyDescent="0.25"/>
  <cols>
    <col min="1" max="1" width="118" customWidth="1"/>
  </cols>
  <sheetData>
    <row r="1" spans="1:1" ht="19.5" x14ac:dyDescent="0.3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5" spans="1:1" x14ac:dyDescent="0.25">
      <c r="A5" s="3" t="s">
        <v>3</v>
      </c>
    </row>
    <row r="6" spans="1:1" x14ac:dyDescent="0.25">
      <c r="A6" s="4" t="s">
        <v>4</v>
      </c>
    </row>
    <row r="7" spans="1:1" x14ac:dyDescent="0.25">
      <c r="A7" s="4" t="s">
        <v>5</v>
      </c>
    </row>
    <row r="8" spans="1:1" x14ac:dyDescent="0.25">
      <c r="A8" s="4" t="s">
        <v>6</v>
      </c>
    </row>
    <row r="9" spans="1:1" x14ac:dyDescent="0.25">
      <c r="A9" s="4" t="s">
        <v>7</v>
      </c>
    </row>
    <row r="11" spans="1:1" x14ac:dyDescent="0.25">
      <c r="A11" s="3" t="s">
        <v>8</v>
      </c>
    </row>
    <row r="12" spans="1:1" x14ac:dyDescent="0.25">
      <c r="A12" s="4" t="s">
        <v>9</v>
      </c>
    </row>
    <row r="13" spans="1:1" x14ac:dyDescent="0.25">
      <c r="A13" s="4" t="s">
        <v>10</v>
      </c>
    </row>
    <row r="14" spans="1:1" x14ac:dyDescent="0.25">
      <c r="A14" s="4" t="s">
        <v>11</v>
      </c>
    </row>
    <row r="15" spans="1:1" x14ac:dyDescent="0.25">
      <c r="A15" s="4" t="s">
        <v>12</v>
      </c>
    </row>
    <row r="16" spans="1:1" x14ac:dyDescent="0.25">
      <c r="A16" s="4" t="s">
        <v>13</v>
      </c>
    </row>
    <row r="17" spans="1:1" x14ac:dyDescent="0.25">
      <c r="A17" s="4" t="s">
        <v>14</v>
      </c>
    </row>
    <row r="18" spans="1:1" x14ac:dyDescent="0.25">
      <c r="A18" s="4" t="s">
        <v>15</v>
      </c>
    </row>
    <row r="19" spans="1:1" x14ac:dyDescent="0.25">
      <c r="A19" s="4" t="s">
        <v>16</v>
      </c>
    </row>
    <row r="20" spans="1:1" x14ac:dyDescent="0.25">
      <c r="A20" s="4" t="s">
        <v>17</v>
      </c>
    </row>
    <row r="21" spans="1:1" x14ac:dyDescent="0.25">
      <c r="A21" s="4" t="s">
        <v>18</v>
      </c>
    </row>
    <row r="23" spans="1:1" x14ac:dyDescent="0.25">
      <c r="A23" s="3" t="s">
        <v>19</v>
      </c>
    </row>
    <row r="24" spans="1:1" x14ac:dyDescent="0.25">
      <c r="A24" s="4" t="s">
        <v>20</v>
      </c>
    </row>
    <row r="25" spans="1:1" x14ac:dyDescent="0.25">
      <c r="A25" s="4" t="s">
        <v>21</v>
      </c>
    </row>
    <row r="26" spans="1:1" x14ac:dyDescent="0.25">
      <c r="A26" s="4" t="s">
        <v>22</v>
      </c>
    </row>
    <row r="27" spans="1:1" x14ac:dyDescent="0.25">
      <c r="A27" s="4" t="s">
        <v>23</v>
      </c>
    </row>
    <row r="28" spans="1:1" x14ac:dyDescent="0.25">
      <c r="A28" s="4" t="s">
        <v>24</v>
      </c>
    </row>
    <row r="29" spans="1:1" x14ac:dyDescent="0.25">
      <c r="A29" s="4" t="s">
        <v>25</v>
      </c>
    </row>
    <row r="30" spans="1:1" x14ac:dyDescent="0.25">
      <c r="A30" s="4" t="s">
        <v>26</v>
      </c>
    </row>
    <row r="31" spans="1:1" x14ac:dyDescent="0.25">
      <c r="A31" s="4" t="s">
        <v>27</v>
      </c>
    </row>
    <row r="33" spans="1:1" x14ac:dyDescent="0.25">
      <c r="A33" s="3" t="s">
        <v>28</v>
      </c>
    </row>
    <row r="34" spans="1:1" x14ac:dyDescent="0.25">
      <c r="A34" s="4" t="s">
        <v>29</v>
      </c>
    </row>
    <row r="35" spans="1:1" x14ac:dyDescent="0.25">
      <c r="A35" s="4" t="s">
        <v>30</v>
      </c>
    </row>
    <row r="36" spans="1:1" x14ac:dyDescent="0.25">
      <c r="A36" s="4" t="s">
        <v>31</v>
      </c>
    </row>
    <row r="37" spans="1:1" x14ac:dyDescent="0.25">
      <c r="A37" s="4" t="s">
        <v>32</v>
      </c>
    </row>
    <row r="38" spans="1:1" x14ac:dyDescent="0.25">
      <c r="A38" s="4" t="s">
        <v>33</v>
      </c>
    </row>
    <row r="39" spans="1:1" x14ac:dyDescent="0.25">
      <c r="A39" s="4" t="s">
        <v>34</v>
      </c>
    </row>
    <row r="40" spans="1:1" x14ac:dyDescent="0.25">
      <c r="A40" s="4" t="s">
        <v>35</v>
      </c>
    </row>
    <row r="41" spans="1:1" x14ac:dyDescent="0.25">
      <c r="A41" s="4" t="s">
        <v>36</v>
      </c>
    </row>
    <row r="42" spans="1:1" x14ac:dyDescent="0.25">
      <c r="A42" s="4" t="s">
        <v>37</v>
      </c>
    </row>
    <row r="43" spans="1:1" x14ac:dyDescent="0.25">
      <c r="A43" s="4" t="s">
        <v>38</v>
      </c>
    </row>
    <row r="44" spans="1:1" x14ac:dyDescent="0.25">
      <c r="A44" s="4" t="s">
        <v>39</v>
      </c>
    </row>
    <row r="45" spans="1:1" x14ac:dyDescent="0.25">
      <c r="A45" s="4" t="s">
        <v>40</v>
      </c>
    </row>
    <row r="46" spans="1:1" x14ac:dyDescent="0.25">
      <c r="A46" s="4" t="s">
        <v>41</v>
      </c>
    </row>
    <row r="47" spans="1:1" x14ac:dyDescent="0.25">
      <c r="A47" s="4" t="s">
        <v>42</v>
      </c>
    </row>
    <row r="48" spans="1:1" x14ac:dyDescent="0.25">
      <c r="A48" s="4" t="s">
        <v>43</v>
      </c>
    </row>
    <row r="50" spans="1:1" x14ac:dyDescent="0.25">
      <c r="A50" s="3" t="s">
        <v>44</v>
      </c>
    </row>
    <row r="51" spans="1:1" x14ac:dyDescent="0.25">
      <c r="A51" s="4" t="s">
        <v>45</v>
      </c>
    </row>
    <row r="52" spans="1:1" x14ac:dyDescent="0.25">
      <c r="A52" s="4" t="s">
        <v>46</v>
      </c>
    </row>
    <row r="53" spans="1:1" x14ac:dyDescent="0.25">
      <c r="A53" s="4" t="s">
        <v>47</v>
      </c>
    </row>
    <row r="54" spans="1:1" x14ac:dyDescent="0.25">
      <c r="A54" s="4" t="s">
        <v>48</v>
      </c>
    </row>
    <row r="56" spans="1:1" x14ac:dyDescent="0.25">
      <c r="A56" s="4" t="s">
        <v>49</v>
      </c>
    </row>
    <row r="57" spans="1:1" x14ac:dyDescent="0.25">
      <c r="A57" s="4" t="s">
        <v>50</v>
      </c>
    </row>
    <row r="58" spans="1:1" x14ac:dyDescent="0.25">
      <c r="A58" s="4" t="s">
        <v>51</v>
      </c>
    </row>
    <row r="60" spans="1:1" x14ac:dyDescent="0.25">
      <c r="A60" s="3" t="s">
        <v>52</v>
      </c>
    </row>
    <row r="61" spans="1:1" x14ac:dyDescent="0.25">
      <c r="A61" s="4" t="s">
        <v>53</v>
      </c>
    </row>
    <row r="62" spans="1:1" x14ac:dyDescent="0.25">
      <c r="A62" s="4" t="s">
        <v>54</v>
      </c>
    </row>
    <row r="63" spans="1:1" x14ac:dyDescent="0.25">
      <c r="A63" s="4" t="s">
        <v>55</v>
      </c>
    </row>
    <row r="64" spans="1:1" x14ac:dyDescent="0.25">
      <c r="A64" s="4" t="s">
        <v>56</v>
      </c>
    </row>
    <row r="65" spans="1:1" x14ac:dyDescent="0.25">
      <c r="A65" s="4" t="s">
        <v>57</v>
      </c>
    </row>
    <row r="67" spans="1:1" x14ac:dyDescent="0.25">
      <c r="A67" s="3" t="s">
        <v>58</v>
      </c>
    </row>
    <row r="68" spans="1:1" x14ac:dyDescent="0.25">
      <c r="A68" s="4" t="s">
        <v>59</v>
      </c>
    </row>
    <row r="69" spans="1:1" x14ac:dyDescent="0.25">
      <c r="A69" s="4" t="s">
        <v>60</v>
      </c>
    </row>
    <row r="70" spans="1:1" x14ac:dyDescent="0.25">
      <c r="A70" s="4" t="s">
        <v>61</v>
      </c>
    </row>
    <row r="71" spans="1:1" x14ac:dyDescent="0.25">
      <c r="A71" s="4" t="s">
        <v>62</v>
      </c>
    </row>
    <row r="73" spans="1:1" x14ac:dyDescent="0.25">
      <c r="A73" s="4" t="s">
        <v>63</v>
      </c>
    </row>
    <row r="74" spans="1:1" x14ac:dyDescent="0.25">
      <c r="A74" s="4" t="s">
        <v>64</v>
      </c>
    </row>
    <row r="75" spans="1:1" x14ac:dyDescent="0.25">
      <c r="A75" s="4" t="s">
        <v>65</v>
      </c>
    </row>
    <row r="76" spans="1:1" x14ac:dyDescent="0.25">
      <c r="A76" s="4" t="s">
        <v>66</v>
      </c>
    </row>
    <row r="78" spans="1:1" x14ac:dyDescent="0.25">
      <c r="A78" s="4" t="s">
        <v>67</v>
      </c>
    </row>
    <row r="79" spans="1:1" x14ac:dyDescent="0.25">
      <c r="A79" s="4" t="s">
        <v>68</v>
      </c>
    </row>
    <row r="80" spans="1:1" x14ac:dyDescent="0.25">
      <c r="A80" s="4" t="s">
        <v>69</v>
      </c>
    </row>
    <row r="81" spans="1:1" x14ac:dyDescent="0.25">
      <c r="A81" s="4" t="s">
        <v>70</v>
      </c>
    </row>
    <row r="82" spans="1:1" x14ac:dyDescent="0.25">
      <c r="A82" s="4" t="s">
        <v>71</v>
      </c>
    </row>
    <row r="83" spans="1:1" x14ac:dyDescent="0.25">
      <c r="A83" s="4" t="s">
        <v>72</v>
      </c>
    </row>
    <row r="84" spans="1:1" x14ac:dyDescent="0.25">
      <c r="A84" s="4" t="s">
        <v>73</v>
      </c>
    </row>
    <row r="85" spans="1:1" x14ac:dyDescent="0.25">
      <c r="A85" s="4" t="s">
        <v>74</v>
      </c>
    </row>
    <row r="87" spans="1:1" x14ac:dyDescent="0.25">
      <c r="A87" s="4" t="s">
        <v>75</v>
      </c>
    </row>
    <row r="88" spans="1:1" x14ac:dyDescent="0.25">
      <c r="A88" s="4" t="s">
        <v>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88"/>
  <sheetViews>
    <sheetView showGridLines="0" tabSelected="1" workbookViewId="0">
      <pane xSplit="4" ySplit="8" topLeftCell="E9" activePane="bottomRight" state="frozen"/>
      <selection pane="topRight"/>
      <selection pane="bottomLeft"/>
      <selection pane="bottomRight" activeCell="D20" sqref="D20"/>
    </sheetView>
  </sheetViews>
  <sheetFormatPr baseColWidth="10" defaultColWidth="9.140625" defaultRowHeight="15" x14ac:dyDescent="0.25"/>
  <cols>
    <col min="1" max="1" width="9" customWidth="1"/>
    <col min="2" max="2" width="30" customWidth="1"/>
    <col min="3" max="3" width="32" customWidth="1"/>
    <col min="4" max="4" width="34" customWidth="1"/>
    <col min="5" max="5" width="46" customWidth="1"/>
    <col min="6" max="6" width="17" bestFit="1" customWidth="1"/>
    <col min="7" max="7" width="10" customWidth="1"/>
    <col min="8" max="8" width="52" customWidth="1"/>
    <col min="9" max="10" width="10" customWidth="1"/>
    <col min="11" max="11" width="11" customWidth="1"/>
    <col min="12" max="12" width="14" customWidth="1"/>
    <col min="13" max="13" width="30" customWidth="1"/>
    <col min="14" max="14" width="34" customWidth="1"/>
    <col min="15" max="15" width="19" customWidth="1"/>
    <col min="16" max="16" width="13" customWidth="1"/>
    <col min="17" max="17" width="17" customWidth="1"/>
    <col min="18" max="18" width="12" customWidth="1"/>
    <col min="19" max="19" width="46" customWidth="1"/>
  </cols>
  <sheetData>
    <row r="1" spans="1:19" ht="18" customHeight="1" x14ac:dyDescent="0.25">
      <c r="A1" s="5" t="s">
        <v>77</v>
      </c>
    </row>
    <row r="3" spans="1:19" x14ac:dyDescent="0.25">
      <c r="A3" s="6" t="s">
        <v>78</v>
      </c>
      <c r="B3" s="7"/>
      <c r="D3" s="6" t="s">
        <v>79</v>
      </c>
      <c r="E3" s="7" t="s">
        <v>80</v>
      </c>
    </row>
    <row r="4" spans="1:19" x14ac:dyDescent="0.25">
      <c r="A4" s="6" t="s">
        <v>81</v>
      </c>
      <c r="B4" s="7"/>
      <c r="D4" s="6" t="s">
        <v>82</v>
      </c>
      <c r="E4" s="7"/>
    </row>
    <row r="5" spans="1:19" x14ac:dyDescent="0.25">
      <c r="A5" s="6" t="s">
        <v>83</v>
      </c>
      <c r="B5" s="8" t="s">
        <v>84</v>
      </c>
      <c r="D5" s="6" t="s">
        <v>85</v>
      </c>
      <c r="E5" s="7"/>
    </row>
    <row r="6" spans="1:19" x14ac:dyDescent="0.25">
      <c r="A6" s="6" t="s">
        <v>86</v>
      </c>
      <c r="B6" s="7"/>
      <c r="D6" s="6" t="s">
        <v>87</v>
      </c>
      <c r="E6" s="7"/>
    </row>
    <row r="8" spans="1:19" ht="31.5" customHeight="1" x14ac:dyDescent="0.25">
      <c r="A8" s="9" t="s">
        <v>88</v>
      </c>
      <c r="B8" s="9" t="s">
        <v>89</v>
      </c>
      <c r="C8" s="9" t="s">
        <v>90</v>
      </c>
      <c r="D8" s="9" t="s">
        <v>91</v>
      </c>
      <c r="E8" s="9" t="s">
        <v>92</v>
      </c>
      <c r="F8" s="9" t="s">
        <v>93</v>
      </c>
      <c r="G8" s="9" t="s">
        <v>94</v>
      </c>
      <c r="H8" s="9" t="s">
        <v>95</v>
      </c>
      <c r="I8" s="9" t="s">
        <v>96</v>
      </c>
      <c r="J8" s="9" t="s">
        <v>97</v>
      </c>
      <c r="K8" s="9" t="s">
        <v>98</v>
      </c>
      <c r="L8" s="9" t="s">
        <v>99</v>
      </c>
      <c r="M8" s="9" t="s">
        <v>100</v>
      </c>
      <c r="N8" s="9" t="s">
        <v>101</v>
      </c>
      <c r="O8" s="9" t="s">
        <v>102</v>
      </c>
      <c r="P8" s="9" t="s">
        <v>103</v>
      </c>
      <c r="Q8" s="9" t="s">
        <v>104</v>
      </c>
      <c r="R8" s="9" t="s">
        <v>105</v>
      </c>
      <c r="S8" s="9" t="s">
        <v>106</v>
      </c>
    </row>
    <row r="9" spans="1:19" ht="24" x14ac:dyDescent="0.25">
      <c r="A9" s="10" t="s">
        <v>107</v>
      </c>
      <c r="B9" s="10" t="s">
        <v>108</v>
      </c>
      <c r="C9" s="10" t="s">
        <v>109</v>
      </c>
      <c r="D9" s="11" t="s">
        <v>110</v>
      </c>
      <c r="E9" s="11" t="s">
        <v>111</v>
      </c>
      <c r="F9" s="10" t="s">
        <v>112</v>
      </c>
      <c r="G9" s="10"/>
      <c r="H9" s="11" t="s">
        <v>113</v>
      </c>
      <c r="I9" s="10"/>
      <c r="J9" s="10"/>
      <c r="K9" s="10" t="s">
        <v>114</v>
      </c>
      <c r="L9" s="10" t="s">
        <v>114</v>
      </c>
      <c r="M9" s="11"/>
      <c r="N9" s="11" t="s">
        <v>115</v>
      </c>
      <c r="O9" s="12" t="s">
        <v>116</v>
      </c>
      <c r="P9" s="12"/>
      <c r="Q9" s="10" t="str">
        <f t="shared" ref="Q9:Q40" si="0">IF($F9&lt;&gt;"Numérico","",IF($P9="","Sin dato",IF(AND(OR(NOT(ISNUMBER($I9)),$P9&gt;=$I9),OR(NOT(ISNUMBER($J9)),$P9&lt;=$J9)),"Dentro de rango","Fuera de rango")))</f>
        <v/>
      </c>
      <c r="R9" s="12"/>
      <c r="S9" s="13"/>
    </row>
    <row r="10" spans="1:19" s="21" customFormat="1" ht="24" x14ac:dyDescent="0.25">
      <c r="A10" s="19" t="s">
        <v>117</v>
      </c>
      <c r="B10" s="19" t="s">
        <v>108</v>
      </c>
      <c r="C10" s="19" t="s">
        <v>109</v>
      </c>
      <c r="D10" s="20" t="s">
        <v>118</v>
      </c>
      <c r="E10" s="20" t="s">
        <v>119</v>
      </c>
      <c r="F10" s="19" t="s">
        <v>120</v>
      </c>
      <c r="G10" s="19"/>
      <c r="H10" s="20" t="s">
        <v>121</v>
      </c>
      <c r="I10" s="19"/>
      <c r="J10" s="19"/>
      <c r="K10" s="19" t="s">
        <v>114</v>
      </c>
      <c r="L10" s="19" t="s">
        <v>122</v>
      </c>
      <c r="M10" s="20"/>
      <c r="N10" s="20" t="s">
        <v>115</v>
      </c>
      <c r="O10" s="19" t="s">
        <v>116</v>
      </c>
      <c r="P10" s="19"/>
      <c r="Q10" s="19" t="str">
        <f t="shared" si="0"/>
        <v/>
      </c>
      <c r="R10" s="19"/>
      <c r="S10" s="20"/>
    </row>
    <row r="11" spans="1:19" s="21" customFormat="1" ht="24" x14ac:dyDescent="0.25">
      <c r="A11" s="19" t="s">
        <v>123</v>
      </c>
      <c r="B11" s="19" t="s">
        <v>108</v>
      </c>
      <c r="C11" s="19" t="s">
        <v>109</v>
      </c>
      <c r="D11" s="20" t="s">
        <v>124</v>
      </c>
      <c r="E11" s="20" t="s">
        <v>125</v>
      </c>
      <c r="F11" s="19" t="s">
        <v>112</v>
      </c>
      <c r="G11" s="19"/>
      <c r="H11" s="20" t="s">
        <v>126</v>
      </c>
      <c r="I11" s="19"/>
      <c r="J11" s="19"/>
      <c r="K11" s="19" t="s">
        <v>114</v>
      </c>
      <c r="L11" s="19" t="s">
        <v>114</v>
      </c>
      <c r="M11" s="20" t="s">
        <v>127</v>
      </c>
      <c r="N11" s="20" t="s">
        <v>128</v>
      </c>
      <c r="O11" s="19" t="s">
        <v>116</v>
      </c>
      <c r="P11" s="19"/>
      <c r="Q11" s="19" t="str">
        <f t="shared" si="0"/>
        <v/>
      </c>
      <c r="R11" s="19"/>
      <c r="S11" s="20"/>
    </row>
    <row r="12" spans="1:19" s="21" customFormat="1" ht="24" x14ac:dyDescent="0.25">
      <c r="A12" s="19" t="s">
        <v>129</v>
      </c>
      <c r="B12" s="19" t="s">
        <v>108</v>
      </c>
      <c r="C12" s="19" t="s">
        <v>130</v>
      </c>
      <c r="D12" s="20" t="s">
        <v>131</v>
      </c>
      <c r="E12" s="20" t="s">
        <v>132</v>
      </c>
      <c r="F12" s="19" t="s">
        <v>133</v>
      </c>
      <c r="G12" s="19"/>
      <c r="H12" s="20" t="s">
        <v>134</v>
      </c>
      <c r="I12" s="19"/>
      <c r="J12" s="19"/>
      <c r="K12" s="19" t="s">
        <v>114</v>
      </c>
      <c r="L12" s="19" t="s">
        <v>122</v>
      </c>
      <c r="M12" s="20"/>
      <c r="N12" s="20" t="s">
        <v>135</v>
      </c>
      <c r="O12" s="19" t="s">
        <v>116</v>
      </c>
      <c r="P12" s="19"/>
      <c r="Q12" s="19" t="str">
        <f t="shared" si="0"/>
        <v/>
      </c>
      <c r="R12" s="19"/>
      <c r="S12" s="20"/>
    </row>
    <row r="13" spans="1:19" s="21" customFormat="1" ht="36" x14ac:dyDescent="0.25">
      <c r="A13" s="19" t="s">
        <v>136</v>
      </c>
      <c r="B13" s="19" t="s">
        <v>108</v>
      </c>
      <c r="C13" s="19" t="s">
        <v>137</v>
      </c>
      <c r="D13" s="20" t="s">
        <v>138</v>
      </c>
      <c r="E13" s="20" t="s">
        <v>139</v>
      </c>
      <c r="F13" s="19" t="s">
        <v>140</v>
      </c>
      <c r="G13" s="19" t="s">
        <v>141</v>
      </c>
      <c r="H13" s="20" t="s">
        <v>142</v>
      </c>
      <c r="I13" s="19">
        <v>3</v>
      </c>
      <c r="J13" s="19"/>
      <c r="K13" s="19" t="s">
        <v>114</v>
      </c>
      <c r="L13" s="19" t="s">
        <v>122</v>
      </c>
      <c r="M13" s="20"/>
      <c r="N13" s="20" t="s">
        <v>143</v>
      </c>
      <c r="O13" s="19" t="s">
        <v>116</v>
      </c>
      <c r="P13" s="19"/>
      <c r="Q13" s="19" t="str">
        <f t="shared" si="0"/>
        <v>Sin dato</v>
      </c>
      <c r="R13" s="19"/>
      <c r="S13" s="20"/>
    </row>
    <row r="14" spans="1:19" ht="24" x14ac:dyDescent="0.25">
      <c r="A14" s="10" t="s">
        <v>144</v>
      </c>
      <c r="B14" s="10" t="s">
        <v>145</v>
      </c>
      <c r="C14" s="10" t="s">
        <v>146</v>
      </c>
      <c r="D14" s="11" t="s">
        <v>147</v>
      </c>
      <c r="E14" s="11" t="s">
        <v>148</v>
      </c>
      <c r="F14" s="10" t="s">
        <v>133</v>
      </c>
      <c r="G14" s="10"/>
      <c r="H14" s="11" t="s">
        <v>149</v>
      </c>
      <c r="I14" s="10"/>
      <c r="J14" s="10"/>
      <c r="K14" s="10" t="s">
        <v>114</v>
      </c>
      <c r="L14" s="10" t="s">
        <v>122</v>
      </c>
      <c r="M14" s="11"/>
      <c r="N14" s="11" t="s">
        <v>150</v>
      </c>
      <c r="O14" s="12" t="s">
        <v>116</v>
      </c>
      <c r="P14" s="12"/>
      <c r="Q14" s="10" t="str">
        <f t="shared" si="0"/>
        <v/>
      </c>
      <c r="R14" s="12"/>
      <c r="S14" s="13"/>
    </row>
    <row r="15" spans="1:19" s="21" customFormat="1" ht="24" x14ac:dyDescent="0.25">
      <c r="A15" s="19" t="s">
        <v>151</v>
      </c>
      <c r="B15" s="19" t="s">
        <v>145</v>
      </c>
      <c r="C15" s="19" t="s">
        <v>146</v>
      </c>
      <c r="D15" s="20" t="s">
        <v>152</v>
      </c>
      <c r="E15" s="20" t="s">
        <v>153</v>
      </c>
      <c r="F15" s="19" t="s">
        <v>133</v>
      </c>
      <c r="G15" s="19"/>
      <c r="H15" s="20" t="s">
        <v>154</v>
      </c>
      <c r="I15" s="19"/>
      <c r="J15" s="19"/>
      <c r="K15" s="19" t="s">
        <v>114</v>
      </c>
      <c r="L15" s="19" t="s">
        <v>122</v>
      </c>
      <c r="M15" s="20"/>
      <c r="N15" s="20" t="s">
        <v>150</v>
      </c>
      <c r="O15" s="19" t="s">
        <v>116</v>
      </c>
      <c r="P15" s="19"/>
      <c r="Q15" s="19" t="str">
        <f t="shared" si="0"/>
        <v/>
      </c>
      <c r="R15" s="19"/>
      <c r="S15" s="20"/>
    </row>
    <row r="16" spans="1:19" s="21" customFormat="1" ht="24" x14ac:dyDescent="0.25">
      <c r="A16" s="19" t="s">
        <v>155</v>
      </c>
      <c r="B16" s="19" t="s">
        <v>145</v>
      </c>
      <c r="C16" s="19" t="s">
        <v>156</v>
      </c>
      <c r="D16" s="20" t="s">
        <v>157</v>
      </c>
      <c r="E16" s="20" t="s">
        <v>158</v>
      </c>
      <c r="F16" s="19" t="s">
        <v>140</v>
      </c>
      <c r="G16" s="19"/>
      <c r="H16" s="20" t="s">
        <v>159</v>
      </c>
      <c r="I16" s="19">
        <v>0</v>
      </c>
      <c r="J16" s="19">
        <v>255</v>
      </c>
      <c r="K16" s="19" t="s">
        <v>114</v>
      </c>
      <c r="L16" s="19" t="s">
        <v>122</v>
      </c>
      <c r="M16" s="20"/>
      <c r="N16" s="20" t="s">
        <v>115</v>
      </c>
      <c r="O16" s="19" t="s">
        <v>116</v>
      </c>
      <c r="P16" s="19"/>
      <c r="Q16" s="19" t="str">
        <f t="shared" si="0"/>
        <v>Sin dato</v>
      </c>
      <c r="R16" s="19"/>
      <c r="S16" s="20"/>
    </row>
    <row r="17" spans="1:19" s="21" customFormat="1" ht="24" x14ac:dyDescent="0.25">
      <c r="A17" s="19" t="s">
        <v>160</v>
      </c>
      <c r="B17" s="19" t="s">
        <v>145</v>
      </c>
      <c r="C17" s="19" t="s">
        <v>161</v>
      </c>
      <c r="D17" s="20" t="s">
        <v>162</v>
      </c>
      <c r="E17" s="20" t="s">
        <v>163</v>
      </c>
      <c r="F17" s="19" t="s">
        <v>164</v>
      </c>
      <c r="G17" s="19"/>
      <c r="H17" s="20" t="s">
        <v>165</v>
      </c>
      <c r="I17" s="19"/>
      <c r="J17" s="19"/>
      <c r="K17" s="19" t="s">
        <v>114</v>
      </c>
      <c r="L17" s="19" t="s">
        <v>114</v>
      </c>
      <c r="M17" s="20"/>
      <c r="N17" s="20" t="s">
        <v>166</v>
      </c>
      <c r="O17" s="19" t="s">
        <v>116</v>
      </c>
      <c r="P17" s="19"/>
      <c r="Q17" s="19" t="str">
        <f t="shared" si="0"/>
        <v/>
      </c>
      <c r="R17" s="19"/>
      <c r="S17" s="20"/>
    </row>
    <row r="18" spans="1:19" s="21" customFormat="1" ht="24" x14ac:dyDescent="0.25">
      <c r="A18" s="19" t="s">
        <v>167</v>
      </c>
      <c r="B18" s="19" t="s">
        <v>145</v>
      </c>
      <c r="C18" s="19" t="s">
        <v>161</v>
      </c>
      <c r="D18" s="20" t="s">
        <v>168</v>
      </c>
      <c r="E18" s="20" t="s">
        <v>169</v>
      </c>
      <c r="F18" s="19" t="s">
        <v>164</v>
      </c>
      <c r="G18" s="19"/>
      <c r="H18" s="20" t="s">
        <v>170</v>
      </c>
      <c r="I18" s="19"/>
      <c r="J18" s="19"/>
      <c r="K18" s="19" t="s">
        <v>114</v>
      </c>
      <c r="L18" s="19" t="s">
        <v>114</v>
      </c>
      <c r="M18" s="20"/>
      <c r="N18" s="20" t="s">
        <v>166</v>
      </c>
      <c r="O18" s="19" t="s">
        <v>116</v>
      </c>
      <c r="P18" s="19"/>
      <c r="Q18" s="19" t="str">
        <f t="shared" si="0"/>
        <v/>
      </c>
      <c r="R18" s="19"/>
      <c r="S18" s="20"/>
    </row>
    <row r="19" spans="1:19" ht="24" x14ac:dyDescent="0.25">
      <c r="A19" s="10" t="s">
        <v>171</v>
      </c>
      <c r="B19" s="10" t="s">
        <v>172</v>
      </c>
      <c r="C19" s="10" t="s">
        <v>173</v>
      </c>
      <c r="D19" s="11" t="s">
        <v>174</v>
      </c>
      <c r="E19" s="11" t="s">
        <v>175</v>
      </c>
      <c r="F19" s="10" t="s">
        <v>140</v>
      </c>
      <c r="G19" s="10" t="s">
        <v>176</v>
      </c>
      <c r="H19" s="11" t="s">
        <v>177</v>
      </c>
      <c r="I19" s="10">
        <v>-3500</v>
      </c>
      <c r="J19" s="10">
        <v>3500</v>
      </c>
      <c r="K19" s="10" t="s">
        <v>114</v>
      </c>
      <c r="L19" s="10" t="s">
        <v>122</v>
      </c>
      <c r="M19" s="11"/>
      <c r="N19" s="11" t="s">
        <v>115</v>
      </c>
      <c r="O19" s="12" t="s">
        <v>116</v>
      </c>
      <c r="P19" s="12"/>
      <c r="Q19" s="10" t="str">
        <f t="shared" si="0"/>
        <v>Sin dato</v>
      </c>
      <c r="R19" s="12"/>
      <c r="S19" s="13"/>
    </row>
    <row r="20" spans="1:19" ht="24" x14ac:dyDescent="0.25">
      <c r="A20" s="10" t="s">
        <v>178</v>
      </c>
      <c r="B20" s="10" t="s">
        <v>172</v>
      </c>
      <c r="C20" s="10" t="s">
        <v>173</v>
      </c>
      <c r="D20" s="11" t="s">
        <v>179</v>
      </c>
      <c r="E20" s="11" t="s">
        <v>180</v>
      </c>
      <c r="F20" s="10" t="s">
        <v>140</v>
      </c>
      <c r="G20" s="10"/>
      <c r="H20" s="11" t="s">
        <v>181</v>
      </c>
      <c r="I20" s="10">
        <v>0.5</v>
      </c>
      <c r="J20" s="10">
        <v>2</v>
      </c>
      <c r="K20" s="10" t="s">
        <v>114</v>
      </c>
      <c r="L20" s="10" t="s">
        <v>122</v>
      </c>
      <c r="M20" s="11"/>
      <c r="N20" s="11" t="s">
        <v>115</v>
      </c>
      <c r="O20" s="12" t="s">
        <v>116</v>
      </c>
      <c r="P20" s="12"/>
      <c r="Q20" s="10" t="str">
        <f t="shared" si="0"/>
        <v>Sin dato</v>
      </c>
      <c r="R20" s="12"/>
      <c r="S20" s="13"/>
    </row>
    <row r="21" spans="1:19" ht="24" x14ac:dyDescent="0.25">
      <c r="A21" s="10" t="s">
        <v>182</v>
      </c>
      <c r="B21" s="10" t="s">
        <v>172</v>
      </c>
      <c r="C21" s="10" t="s">
        <v>183</v>
      </c>
      <c r="D21" s="11" t="s">
        <v>184</v>
      </c>
      <c r="E21" s="11" t="s">
        <v>185</v>
      </c>
      <c r="F21" s="10" t="s">
        <v>140</v>
      </c>
      <c r="G21" s="10" t="s">
        <v>186</v>
      </c>
      <c r="H21" s="11" t="s">
        <v>187</v>
      </c>
      <c r="I21" s="10">
        <v>0</v>
      </c>
      <c r="J21" s="10">
        <v>0.5</v>
      </c>
      <c r="K21" s="10" t="s">
        <v>114</v>
      </c>
      <c r="L21" s="10" t="s">
        <v>122</v>
      </c>
      <c r="M21" s="11"/>
      <c r="N21" s="11" t="s">
        <v>115</v>
      </c>
      <c r="O21" s="12" t="s">
        <v>116</v>
      </c>
      <c r="P21" s="12"/>
      <c r="Q21" s="10" t="str">
        <f t="shared" si="0"/>
        <v>Sin dato</v>
      </c>
      <c r="R21" s="12"/>
      <c r="S21" s="13"/>
    </row>
    <row r="22" spans="1:19" ht="36" x14ac:dyDescent="0.25">
      <c r="A22" s="10" t="s">
        <v>188</v>
      </c>
      <c r="B22" s="10" t="s">
        <v>172</v>
      </c>
      <c r="C22" s="10" t="s">
        <v>183</v>
      </c>
      <c r="D22" s="11" t="s">
        <v>189</v>
      </c>
      <c r="E22" s="11" t="s">
        <v>190</v>
      </c>
      <c r="F22" s="10" t="s">
        <v>140</v>
      </c>
      <c r="G22" s="10" t="s">
        <v>191</v>
      </c>
      <c r="H22" s="11" t="s">
        <v>192</v>
      </c>
      <c r="I22" s="10">
        <v>1.2</v>
      </c>
      <c r="J22" s="10"/>
      <c r="K22" s="10" t="s">
        <v>114</v>
      </c>
      <c r="L22" s="10" t="s">
        <v>122</v>
      </c>
      <c r="M22" s="11"/>
      <c r="N22" s="11" t="s">
        <v>115</v>
      </c>
      <c r="O22" s="12" t="s">
        <v>116</v>
      </c>
      <c r="P22" s="12"/>
      <c r="Q22" s="10" t="str">
        <f t="shared" si="0"/>
        <v>Sin dato</v>
      </c>
      <c r="R22" s="12"/>
      <c r="S22" s="13"/>
    </row>
    <row r="23" spans="1:19" ht="24" x14ac:dyDescent="0.25">
      <c r="A23" s="10" t="s">
        <v>193</v>
      </c>
      <c r="B23" s="10" t="s">
        <v>172</v>
      </c>
      <c r="C23" s="10" t="s">
        <v>194</v>
      </c>
      <c r="D23" s="11" t="s">
        <v>195</v>
      </c>
      <c r="E23" s="11" t="s">
        <v>196</v>
      </c>
      <c r="F23" s="10" t="s">
        <v>140</v>
      </c>
      <c r="G23" s="10" t="s">
        <v>197</v>
      </c>
      <c r="H23" s="11" t="s">
        <v>198</v>
      </c>
      <c r="I23" s="10">
        <v>3</v>
      </c>
      <c r="J23" s="10">
        <v>999</v>
      </c>
      <c r="K23" s="10" t="s">
        <v>114</v>
      </c>
      <c r="L23" s="10" t="s">
        <v>122</v>
      </c>
      <c r="M23" s="11"/>
      <c r="N23" s="11" t="s">
        <v>115</v>
      </c>
      <c r="O23" s="12" t="s">
        <v>116</v>
      </c>
      <c r="P23" s="12"/>
      <c r="Q23" s="10" t="str">
        <f t="shared" si="0"/>
        <v>Sin dato</v>
      </c>
      <c r="R23" s="12"/>
      <c r="S23" s="13"/>
    </row>
    <row r="24" spans="1:19" ht="24" x14ac:dyDescent="0.25">
      <c r="A24" s="10" t="s">
        <v>199</v>
      </c>
      <c r="B24" s="10" t="s">
        <v>172</v>
      </c>
      <c r="C24" s="10" t="s">
        <v>194</v>
      </c>
      <c r="D24" s="11" t="s">
        <v>200</v>
      </c>
      <c r="E24" s="11" t="s">
        <v>201</v>
      </c>
      <c r="F24" s="10" t="s">
        <v>140</v>
      </c>
      <c r="G24" s="10" t="s">
        <v>197</v>
      </c>
      <c r="H24" s="11" t="s">
        <v>202</v>
      </c>
      <c r="I24" s="10">
        <v>0</v>
      </c>
      <c r="J24" s="10">
        <v>999</v>
      </c>
      <c r="K24" s="10" t="s">
        <v>114</v>
      </c>
      <c r="L24" s="10" t="s">
        <v>122</v>
      </c>
      <c r="M24" s="11"/>
      <c r="N24" s="11" t="s">
        <v>115</v>
      </c>
      <c r="O24" s="12" t="s">
        <v>116</v>
      </c>
      <c r="P24" s="12"/>
      <c r="Q24" s="10" t="str">
        <f t="shared" si="0"/>
        <v>Sin dato</v>
      </c>
      <c r="R24" s="12"/>
      <c r="S24" s="13"/>
    </row>
    <row r="25" spans="1:19" ht="24" x14ac:dyDescent="0.25">
      <c r="A25" s="10" t="s">
        <v>203</v>
      </c>
      <c r="B25" s="10" t="s">
        <v>172</v>
      </c>
      <c r="C25" s="10" t="s">
        <v>194</v>
      </c>
      <c r="D25" s="11" t="s">
        <v>204</v>
      </c>
      <c r="E25" s="11" t="s">
        <v>205</v>
      </c>
      <c r="F25" s="10" t="s">
        <v>120</v>
      </c>
      <c r="G25" s="10"/>
      <c r="H25" s="11" t="s">
        <v>206</v>
      </c>
      <c r="I25" s="10"/>
      <c r="J25" s="10"/>
      <c r="K25" s="10" t="s">
        <v>114</v>
      </c>
      <c r="L25" s="10" t="s">
        <v>122</v>
      </c>
      <c r="M25" s="11"/>
      <c r="N25" s="11" t="s">
        <v>115</v>
      </c>
      <c r="O25" s="12" t="s">
        <v>116</v>
      </c>
      <c r="P25" s="12"/>
      <c r="Q25" s="10" t="str">
        <f t="shared" si="0"/>
        <v/>
      </c>
      <c r="R25" s="12"/>
      <c r="S25" s="13"/>
    </row>
    <row r="26" spans="1:19" ht="24" x14ac:dyDescent="0.25">
      <c r="A26" s="10" t="s">
        <v>207</v>
      </c>
      <c r="B26" s="10" t="s">
        <v>208</v>
      </c>
      <c r="C26" s="10" t="s">
        <v>209</v>
      </c>
      <c r="D26" s="11" t="s">
        <v>210</v>
      </c>
      <c r="E26" s="11" t="s">
        <v>211</v>
      </c>
      <c r="F26" s="10" t="s">
        <v>164</v>
      </c>
      <c r="G26" s="10"/>
      <c r="H26" s="11" t="s">
        <v>212</v>
      </c>
      <c r="I26" s="10"/>
      <c r="J26" s="10"/>
      <c r="K26" s="10" t="s">
        <v>114</v>
      </c>
      <c r="L26" s="10" t="s">
        <v>114</v>
      </c>
      <c r="M26" s="11" t="s">
        <v>213</v>
      </c>
      <c r="N26" s="11" t="s">
        <v>214</v>
      </c>
      <c r="O26" s="12" t="s">
        <v>116</v>
      </c>
      <c r="P26" s="12"/>
      <c r="Q26" s="10" t="str">
        <f t="shared" si="0"/>
        <v/>
      </c>
      <c r="R26" s="12"/>
      <c r="S26" s="13"/>
    </row>
    <row r="27" spans="1:19" ht="24" x14ac:dyDescent="0.25">
      <c r="A27" s="10" t="s">
        <v>215</v>
      </c>
      <c r="B27" s="10" t="s">
        <v>208</v>
      </c>
      <c r="C27" s="10" t="s">
        <v>209</v>
      </c>
      <c r="D27" s="11" t="s">
        <v>216</v>
      </c>
      <c r="E27" s="11" t="s">
        <v>217</v>
      </c>
      <c r="F27" s="10" t="s">
        <v>164</v>
      </c>
      <c r="G27" s="10"/>
      <c r="H27" s="11" t="s">
        <v>218</v>
      </c>
      <c r="I27" s="10"/>
      <c r="J27" s="10"/>
      <c r="K27" s="10" t="s">
        <v>114</v>
      </c>
      <c r="L27" s="10" t="s">
        <v>114</v>
      </c>
      <c r="M27" s="11" t="s">
        <v>219</v>
      </c>
      <c r="N27" s="11" t="s">
        <v>214</v>
      </c>
      <c r="O27" s="12" t="s">
        <v>116</v>
      </c>
      <c r="P27" s="12"/>
      <c r="Q27" s="10" t="str">
        <f t="shared" si="0"/>
        <v/>
      </c>
      <c r="R27" s="12"/>
      <c r="S27" s="13"/>
    </row>
    <row r="28" spans="1:19" ht="24" x14ac:dyDescent="0.25">
      <c r="A28" s="10" t="s">
        <v>220</v>
      </c>
      <c r="B28" s="10" t="s">
        <v>208</v>
      </c>
      <c r="C28" s="10" t="s">
        <v>209</v>
      </c>
      <c r="D28" s="11" t="s">
        <v>221</v>
      </c>
      <c r="E28" s="11" t="s">
        <v>222</v>
      </c>
      <c r="F28" s="10" t="s">
        <v>164</v>
      </c>
      <c r="G28" s="10"/>
      <c r="H28" s="11" t="s">
        <v>223</v>
      </c>
      <c r="I28" s="10"/>
      <c r="J28" s="10"/>
      <c r="K28" s="10" t="s">
        <v>114</v>
      </c>
      <c r="L28" s="10" t="s">
        <v>114</v>
      </c>
      <c r="M28" s="11" t="s">
        <v>213</v>
      </c>
      <c r="N28" s="11" t="s">
        <v>214</v>
      </c>
      <c r="O28" s="12" t="s">
        <v>116</v>
      </c>
      <c r="P28" s="12"/>
      <c r="Q28" s="10" t="str">
        <f t="shared" si="0"/>
        <v/>
      </c>
      <c r="R28" s="12"/>
      <c r="S28" s="13"/>
    </row>
    <row r="29" spans="1:19" ht="24" x14ac:dyDescent="0.25">
      <c r="A29" s="10" t="s">
        <v>224</v>
      </c>
      <c r="B29" s="10" t="s">
        <v>208</v>
      </c>
      <c r="C29" s="10" t="s">
        <v>209</v>
      </c>
      <c r="D29" s="11" t="s">
        <v>225</v>
      </c>
      <c r="E29" s="11" t="s">
        <v>226</v>
      </c>
      <c r="F29" s="10" t="s">
        <v>164</v>
      </c>
      <c r="G29" s="10"/>
      <c r="H29" s="11" t="s">
        <v>227</v>
      </c>
      <c r="I29" s="10"/>
      <c r="J29" s="10"/>
      <c r="K29" s="10" t="s">
        <v>114</v>
      </c>
      <c r="L29" s="10" t="s">
        <v>114</v>
      </c>
      <c r="M29" s="11" t="s">
        <v>219</v>
      </c>
      <c r="N29" s="11" t="s">
        <v>214</v>
      </c>
      <c r="O29" s="12" t="s">
        <v>116</v>
      </c>
      <c r="P29" s="12"/>
      <c r="Q29" s="10" t="str">
        <f t="shared" si="0"/>
        <v/>
      </c>
      <c r="R29" s="12"/>
      <c r="S29" s="13"/>
    </row>
    <row r="30" spans="1:19" ht="24" x14ac:dyDescent="0.25">
      <c r="A30" s="10" t="s">
        <v>228</v>
      </c>
      <c r="B30" s="10" t="s">
        <v>208</v>
      </c>
      <c r="C30" s="10" t="s">
        <v>209</v>
      </c>
      <c r="D30" s="11" t="s">
        <v>229</v>
      </c>
      <c r="E30" s="11" t="s">
        <v>230</v>
      </c>
      <c r="F30" s="10" t="s">
        <v>112</v>
      </c>
      <c r="G30" s="10"/>
      <c r="H30" s="11" t="s">
        <v>231</v>
      </c>
      <c r="I30" s="10"/>
      <c r="J30" s="10"/>
      <c r="K30" s="10" t="s">
        <v>114</v>
      </c>
      <c r="L30" s="10" t="s">
        <v>114</v>
      </c>
      <c r="M30" s="11" t="s">
        <v>232</v>
      </c>
      <c r="N30" s="11" t="s">
        <v>233</v>
      </c>
      <c r="O30" s="12" t="s">
        <v>116</v>
      </c>
      <c r="P30" s="12"/>
      <c r="Q30" s="10" t="str">
        <f t="shared" si="0"/>
        <v/>
      </c>
      <c r="R30" s="12"/>
      <c r="S30" s="13"/>
    </row>
    <row r="31" spans="1:19" ht="24" x14ac:dyDescent="0.25">
      <c r="A31" s="10" t="s">
        <v>234</v>
      </c>
      <c r="B31" s="10" t="s">
        <v>208</v>
      </c>
      <c r="C31" s="10" t="s">
        <v>235</v>
      </c>
      <c r="D31" s="11" t="s">
        <v>236</v>
      </c>
      <c r="E31" s="11" t="s">
        <v>237</v>
      </c>
      <c r="F31" s="10" t="s">
        <v>112</v>
      </c>
      <c r="G31" s="10"/>
      <c r="H31" s="11" t="s">
        <v>238</v>
      </c>
      <c r="I31" s="10"/>
      <c r="J31" s="10"/>
      <c r="K31" s="10" t="s">
        <v>114</v>
      </c>
      <c r="L31" s="10" t="s">
        <v>114</v>
      </c>
      <c r="M31" s="11" t="s">
        <v>239</v>
      </c>
      <c r="N31" s="11" t="s">
        <v>240</v>
      </c>
      <c r="O31" s="12" t="s">
        <v>116</v>
      </c>
      <c r="P31" s="12"/>
      <c r="Q31" s="10" t="str">
        <f t="shared" si="0"/>
        <v/>
      </c>
      <c r="R31" s="12"/>
      <c r="S31" s="13"/>
    </row>
    <row r="32" spans="1:19" ht="24" x14ac:dyDescent="0.25">
      <c r="A32" s="10" t="s">
        <v>241</v>
      </c>
      <c r="B32" s="10" t="s">
        <v>208</v>
      </c>
      <c r="C32" s="10" t="s">
        <v>235</v>
      </c>
      <c r="D32" s="11" t="s">
        <v>242</v>
      </c>
      <c r="E32" s="11" t="s">
        <v>243</v>
      </c>
      <c r="F32" s="10" t="s">
        <v>112</v>
      </c>
      <c r="G32" s="10"/>
      <c r="H32" s="11" t="s">
        <v>244</v>
      </c>
      <c r="I32" s="10"/>
      <c r="J32" s="10"/>
      <c r="K32" s="10" t="s">
        <v>114</v>
      </c>
      <c r="L32" s="10" t="s">
        <v>114</v>
      </c>
      <c r="M32" s="11" t="s">
        <v>245</v>
      </c>
      <c r="N32" s="11" t="s">
        <v>166</v>
      </c>
      <c r="O32" s="12" t="s">
        <v>116</v>
      </c>
      <c r="P32" s="12"/>
      <c r="Q32" s="10" t="str">
        <f t="shared" si="0"/>
        <v/>
      </c>
      <c r="R32" s="12"/>
      <c r="S32" s="13"/>
    </row>
    <row r="33" spans="1:19" ht="24" x14ac:dyDescent="0.25">
      <c r="A33" s="10" t="s">
        <v>246</v>
      </c>
      <c r="B33" s="10" t="s">
        <v>208</v>
      </c>
      <c r="C33" s="10" t="s">
        <v>235</v>
      </c>
      <c r="D33" s="11" t="s">
        <v>247</v>
      </c>
      <c r="E33" s="11" t="s">
        <v>248</v>
      </c>
      <c r="F33" s="10" t="s">
        <v>112</v>
      </c>
      <c r="G33" s="10"/>
      <c r="H33" s="11" t="s">
        <v>249</v>
      </c>
      <c r="I33" s="10"/>
      <c r="J33" s="10"/>
      <c r="K33" s="10" t="s">
        <v>114</v>
      </c>
      <c r="L33" s="10" t="s">
        <v>114</v>
      </c>
      <c r="M33" s="11" t="s">
        <v>250</v>
      </c>
      <c r="N33" s="11" t="s">
        <v>166</v>
      </c>
      <c r="O33" s="12" t="s">
        <v>116</v>
      </c>
      <c r="P33" s="12"/>
      <c r="Q33" s="10" t="str">
        <f t="shared" si="0"/>
        <v/>
      </c>
      <c r="R33" s="12"/>
      <c r="S33" s="13"/>
    </row>
    <row r="34" spans="1:19" ht="24" x14ac:dyDescent="0.25">
      <c r="A34" s="10" t="s">
        <v>251</v>
      </c>
      <c r="B34" s="10" t="s">
        <v>208</v>
      </c>
      <c r="C34" s="10" t="s">
        <v>252</v>
      </c>
      <c r="D34" s="11" t="s">
        <v>253</v>
      </c>
      <c r="E34" s="11" t="s">
        <v>254</v>
      </c>
      <c r="F34" s="10" t="s">
        <v>112</v>
      </c>
      <c r="G34" s="10"/>
      <c r="H34" s="11" t="s">
        <v>255</v>
      </c>
      <c r="I34" s="10"/>
      <c r="J34" s="10"/>
      <c r="K34" s="10" t="s">
        <v>114</v>
      </c>
      <c r="L34" s="10" t="s">
        <v>114</v>
      </c>
      <c r="M34" s="11" t="s">
        <v>256</v>
      </c>
      <c r="N34" s="11" t="s">
        <v>257</v>
      </c>
      <c r="O34" s="12" t="s">
        <v>116</v>
      </c>
      <c r="P34" s="12"/>
      <c r="Q34" s="10" t="str">
        <f t="shared" si="0"/>
        <v/>
      </c>
      <c r="R34" s="12"/>
      <c r="S34" s="13"/>
    </row>
    <row r="35" spans="1:19" ht="24" x14ac:dyDescent="0.25">
      <c r="A35" s="10" t="s">
        <v>258</v>
      </c>
      <c r="B35" s="10" t="s">
        <v>208</v>
      </c>
      <c r="C35" s="10" t="s">
        <v>252</v>
      </c>
      <c r="D35" s="11" t="s">
        <v>259</v>
      </c>
      <c r="E35" s="11" t="s">
        <v>260</v>
      </c>
      <c r="F35" s="10" t="s">
        <v>112</v>
      </c>
      <c r="G35" s="10"/>
      <c r="H35" s="11" t="s">
        <v>261</v>
      </c>
      <c r="I35" s="10"/>
      <c r="J35" s="10"/>
      <c r="K35" s="10" t="s">
        <v>114</v>
      </c>
      <c r="L35" s="10" t="s">
        <v>114</v>
      </c>
      <c r="M35" s="11"/>
      <c r="N35" s="11" t="s">
        <v>262</v>
      </c>
      <c r="O35" s="12" t="s">
        <v>116</v>
      </c>
      <c r="P35" s="12"/>
      <c r="Q35" s="10" t="str">
        <f t="shared" si="0"/>
        <v/>
      </c>
      <c r="R35" s="12"/>
      <c r="S35" s="13"/>
    </row>
    <row r="36" spans="1:19" ht="24" x14ac:dyDescent="0.25">
      <c r="A36" s="10" t="s">
        <v>263</v>
      </c>
      <c r="B36" s="10" t="s">
        <v>264</v>
      </c>
      <c r="C36" s="10" t="s">
        <v>265</v>
      </c>
      <c r="D36" s="11" t="s">
        <v>266</v>
      </c>
      <c r="E36" s="11" t="s">
        <v>267</v>
      </c>
      <c r="F36" s="10" t="s">
        <v>140</v>
      </c>
      <c r="G36" s="10" t="s">
        <v>191</v>
      </c>
      <c r="H36" s="11" t="s">
        <v>268</v>
      </c>
      <c r="I36" s="10">
        <v>1</v>
      </c>
      <c r="J36" s="10">
        <v>2</v>
      </c>
      <c r="K36" s="10" t="s">
        <v>114</v>
      </c>
      <c r="L36" s="10" t="s">
        <v>122</v>
      </c>
      <c r="M36" s="11"/>
      <c r="N36" s="11" t="s">
        <v>115</v>
      </c>
      <c r="O36" s="12" t="s">
        <v>116</v>
      </c>
      <c r="P36" s="12"/>
      <c r="Q36" s="10" t="str">
        <f t="shared" si="0"/>
        <v>Sin dato</v>
      </c>
      <c r="R36" s="12"/>
      <c r="S36" s="13"/>
    </row>
    <row r="37" spans="1:19" ht="24" x14ac:dyDescent="0.25">
      <c r="A37" s="10" t="s">
        <v>269</v>
      </c>
      <c r="B37" s="10" t="s">
        <v>264</v>
      </c>
      <c r="C37" s="10" t="s">
        <v>265</v>
      </c>
      <c r="D37" s="11" t="s">
        <v>270</v>
      </c>
      <c r="E37" s="11" t="s">
        <v>271</v>
      </c>
      <c r="F37" s="10" t="s">
        <v>140</v>
      </c>
      <c r="G37" s="10" t="s">
        <v>186</v>
      </c>
      <c r="H37" s="11" t="s">
        <v>272</v>
      </c>
      <c r="I37" s="10">
        <v>0</v>
      </c>
      <c r="J37" s="10">
        <v>65</v>
      </c>
      <c r="K37" s="10" t="s">
        <v>114</v>
      </c>
      <c r="L37" s="10" t="s">
        <v>122</v>
      </c>
      <c r="M37" s="11"/>
      <c r="N37" s="11" t="s">
        <v>115</v>
      </c>
      <c r="O37" s="12" t="s">
        <v>116</v>
      </c>
      <c r="P37" s="12"/>
      <c r="Q37" s="10" t="str">
        <f t="shared" si="0"/>
        <v>Sin dato</v>
      </c>
      <c r="R37" s="12"/>
      <c r="S37" s="13"/>
    </row>
    <row r="38" spans="1:19" ht="24" x14ac:dyDescent="0.25">
      <c r="A38" s="10" t="s">
        <v>273</v>
      </c>
      <c r="B38" s="10" t="s">
        <v>264</v>
      </c>
      <c r="C38" s="10" t="s">
        <v>274</v>
      </c>
      <c r="D38" s="11" t="s">
        <v>275</v>
      </c>
      <c r="E38" s="11" t="s">
        <v>276</v>
      </c>
      <c r="F38" s="10" t="s">
        <v>112</v>
      </c>
      <c r="G38" s="10"/>
      <c r="H38" s="11" t="s">
        <v>277</v>
      </c>
      <c r="I38" s="10"/>
      <c r="J38" s="10"/>
      <c r="K38" s="10" t="s">
        <v>114</v>
      </c>
      <c r="L38" s="10" t="s">
        <v>114</v>
      </c>
      <c r="M38" s="11" t="s">
        <v>278</v>
      </c>
      <c r="N38" s="11" t="s">
        <v>166</v>
      </c>
      <c r="O38" s="12" t="s">
        <v>116</v>
      </c>
      <c r="P38" s="12"/>
      <c r="Q38" s="10" t="str">
        <f t="shared" si="0"/>
        <v/>
      </c>
      <c r="R38" s="12"/>
      <c r="S38" s="13"/>
    </row>
    <row r="39" spans="1:19" ht="36" x14ac:dyDescent="0.25">
      <c r="A39" s="10" t="s">
        <v>279</v>
      </c>
      <c r="B39" s="10" t="s">
        <v>264</v>
      </c>
      <c r="C39" s="10" t="s">
        <v>274</v>
      </c>
      <c r="D39" s="11" t="s">
        <v>280</v>
      </c>
      <c r="E39" s="11" t="s">
        <v>281</v>
      </c>
      <c r="F39" s="10" t="s">
        <v>112</v>
      </c>
      <c r="G39" s="10"/>
      <c r="H39" s="11" t="s">
        <v>282</v>
      </c>
      <c r="I39" s="10"/>
      <c r="J39" s="10"/>
      <c r="K39" s="10" t="s">
        <v>114</v>
      </c>
      <c r="L39" s="10" t="s">
        <v>114</v>
      </c>
      <c r="M39" s="11" t="s">
        <v>283</v>
      </c>
      <c r="N39" s="11" t="s">
        <v>284</v>
      </c>
      <c r="O39" s="12" t="s">
        <v>116</v>
      </c>
      <c r="P39" s="12"/>
      <c r="Q39" s="10" t="str">
        <f t="shared" si="0"/>
        <v/>
      </c>
      <c r="R39" s="12"/>
      <c r="S39" s="13"/>
    </row>
    <row r="40" spans="1:19" ht="24" x14ac:dyDescent="0.25">
      <c r="A40" s="10" t="s">
        <v>285</v>
      </c>
      <c r="B40" s="10" t="s">
        <v>264</v>
      </c>
      <c r="C40" s="10" t="s">
        <v>274</v>
      </c>
      <c r="D40" s="11" t="s">
        <v>286</v>
      </c>
      <c r="E40" s="11" t="s">
        <v>287</v>
      </c>
      <c r="F40" s="10" t="s">
        <v>112</v>
      </c>
      <c r="G40" s="10"/>
      <c r="H40" s="11" t="s">
        <v>288</v>
      </c>
      <c r="I40" s="10"/>
      <c r="J40" s="10"/>
      <c r="K40" s="10" t="s">
        <v>114</v>
      </c>
      <c r="L40" s="10" t="s">
        <v>114</v>
      </c>
      <c r="M40" s="11"/>
      <c r="N40" s="11" t="s">
        <v>262</v>
      </c>
      <c r="O40" s="12" t="s">
        <v>116</v>
      </c>
      <c r="P40" s="12"/>
      <c r="Q40" s="10" t="str">
        <f t="shared" si="0"/>
        <v/>
      </c>
      <c r="R40" s="12"/>
      <c r="S40" s="13"/>
    </row>
    <row r="41" spans="1:19" ht="24" x14ac:dyDescent="0.25">
      <c r="A41" s="10" t="s">
        <v>289</v>
      </c>
      <c r="B41" s="10" t="s">
        <v>264</v>
      </c>
      <c r="C41" s="10" t="s">
        <v>290</v>
      </c>
      <c r="D41" s="11" t="s">
        <v>291</v>
      </c>
      <c r="E41" s="11" t="s">
        <v>292</v>
      </c>
      <c r="F41" s="10" t="s">
        <v>112</v>
      </c>
      <c r="G41" s="10"/>
      <c r="H41" s="11" t="s">
        <v>293</v>
      </c>
      <c r="I41" s="10"/>
      <c r="J41" s="10"/>
      <c r="K41" s="10" t="s">
        <v>114</v>
      </c>
      <c r="L41" s="10" t="s">
        <v>114</v>
      </c>
      <c r="M41" s="11" t="s">
        <v>294</v>
      </c>
      <c r="N41" s="11" t="s">
        <v>166</v>
      </c>
      <c r="O41" s="12" t="s">
        <v>116</v>
      </c>
      <c r="P41" s="12"/>
      <c r="Q41" s="10" t="str">
        <f t="shared" ref="Q41:Q72" si="1">IF($F41&lt;&gt;"Numérico","",IF($P41="","Sin dato",IF(AND(OR(NOT(ISNUMBER($I41)),$P41&gt;=$I41),OR(NOT(ISNUMBER($J41)),$P41&lt;=$J41)),"Dentro de rango","Fuera de rango")))</f>
        <v/>
      </c>
      <c r="R41" s="12"/>
      <c r="S41" s="13"/>
    </row>
    <row r="42" spans="1:19" ht="24" x14ac:dyDescent="0.25">
      <c r="A42" s="10" t="s">
        <v>295</v>
      </c>
      <c r="B42" s="10" t="s">
        <v>264</v>
      </c>
      <c r="C42" s="10" t="s">
        <v>290</v>
      </c>
      <c r="D42" s="11" t="s">
        <v>296</v>
      </c>
      <c r="E42" s="11" t="s">
        <v>297</v>
      </c>
      <c r="F42" s="10" t="s">
        <v>112</v>
      </c>
      <c r="G42" s="10"/>
      <c r="H42" s="11" t="s">
        <v>298</v>
      </c>
      <c r="I42" s="10"/>
      <c r="J42" s="10"/>
      <c r="K42" s="10" t="s">
        <v>114</v>
      </c>
      <c r="L42" s="10" t="s">
        <v>114</v>
      </c>
      <c r="M42" s="11"/>
      <c r="N42" s="11" t="s">
        <v>143</v>
      </c>
      <c r="O42" s="12" t="s">
        <v>116</v>
      </c>
      <c r="P42" s="12"/>
      <c r="Q42" s="10" t="str">
        <f t="shared" si="1"/>
        <v/>
      </c>
      <c r="R42" s="12"/>
      <c r="S42" s="13"/>
    </row>
    <row r="43" spans="1:19" ht="24" x14ac:dyDescent="0.25">
      <c r="A43" s="10" t="s">
        <v>299</v>
      </c>
      <c r="B43" s="10" t="s">
        <v>300</v>
      </c>
      <c r="C43" s="10" t="s">
        <v>301</v>
      </c>
      <c r="D43" s="11" t="s">
        <v>302</v>
      </c>
      <c r="E43" s="11" t="s">
        <v>303</v>
      </c>
      <c r="F43" s="10" t="s">
        <v>140</v>
      </c>
      <c r="G43" s="10" t="s">
        <v>304</v>
      </c>
      <c r="H43" s="11" t="s">
        <v>305</v>
      </c>
      <c r="I43" s="10">
        <v>0</v>
      </c>
      <c r="J43" s="10">
        <v>3000</v>
      </c>
      <c r="K43" s="10" t="s">
        <v>114</v>
      </c>
      <c r="L43" s="10" t="s">
        <v>122</v>
      </c>
      <c r="M43" s="11"/>
      <c r="N43" s="11" t="s">
        <v>115</v>
      </c>
      <c r="O43" s="12" t="s">
        <v>116</v>
      </c>
      <c r="P43" s="12"/>
      <c r="Q43" s="10" t="str">
        <f t="shared" si="1"/>
        <v>Sin dato</v>
      </c>
      <c r="R43" s="12"/>
      <c r="S43" s="13"/>
    </row>
    <row r="44" spans="1:19" ht="24" x14ac:dyDescent="0.25">
      <c r="A44" s="10" t="s">
        <v>306</v>
      </c>
      <c r="B44" s="10" t="s">
        <v>300</v>
      </c>
      <c r="C44" s="10" t="s">
        <v>301</v>
      </c>
      <c r="D44" s="11" t="s">
        <v>307</v>
      </c>
      <c r="E44" s="11" t="s">
        <v>308</v>
      </c>
      <c r="F44" s="10" t="s">
        <v>140</v>
      </c>
      <c r="G44" s="10" t="s">
        <v>304</v>
      </c>
      <c r="H44" s="11" t="s">
        <v>309</v>
      </c>
      <c r="I44" s="10">
        <v>0</v>
      </c>
      <c r="J44" s="10">
        <v>3000</v>
      </c>
      <c r="K44" s="10" t="s">
        <v>114</v>
      </c>
      <c r="L44" s="10" t="s">
        <v>122</v>
      </c>
      <c r="M44" s="11"/>
      <c r="N44" s="11" t="s">
        <v>115</v>
      </c>
      <c r="O44" s="12" t="s">
        <v>116</v>
      </c>
      <c r="P44" s="12"/>
      <c r="Q44" s="10" t="str">
        <f t="shared" si="1"/>
        <v>Sin dato</v>
      </c>
      <c r="R44" s="12"/>
      <c r="S44" s="13"/>
    </row>
    <row r="45" spans="1:19" ht="24" x14ac:dyDescent="0.25">
      <c r="A45" s="10" t="s">
        <v>310</v>
      </c>
      <c r="B45" s="10" t="s">
        <v>300</v>
      </c>
      <c r="C45" s="10" t="s">
        <v>311</v>
      </c>
      <c r="D45" s="11" t="s">
        <v>312</v>
      </c>
      <c r="E45" s="11" t="s">
        <v>313</v>
      </c>
      <c r="F45" s="10" t="s">
        <v>112</v>
      </c>
      <c r="G45" s="10"/>
      <c r="H45" s="11" t="s">
        <v>314</v>
      </c>
      <c r="I45" s="10"/>
      <c r="J45" s="10"/>
      <c r="K45" s="10" t="s">
        <v>114</v>
      </c>
      <c r="L45" s="10" t="s">
        <v>114</v>
      </c>
      <c r="M45" s="11" t="s">
        <v>315</v>
      </c>
      <c r="N45" s="11" t="s">
        <v>316</v>
      </c>
      <c r="O45" s="12" t="s">
        <v>116</v>
      </c>
      <c r="P45" s="12"/>
      <c r="Q45" s="10" t="str">
        <f t="shared" si="1"/>
        <v/>
      </c>
      <c r="R45" s="12"/>
      <c r="S45" s="13"/>
    </row>
    <row r="46" spans="1:19" ht="24" x14ac:dyDescent="0.25">
      <c r="A46" s="10" t="s">
        <v>317</v>
      </c>
      <c r="B46" s="10" t="s">
        <v>300</v>
      </c>
      <c r="C46" s="10" t="s">
        <v>311</v>
      </c>
      <c r="D46" s="11" t="s">
        <v>318</v>
      </c>
      <c r="E46" s="11" t="s">
        <v>319</v>
      </c>
      <c r="F46" s="10" t="s">
        <v>112</v>
      </c>
      <c r="G46" s="10"/>
      <c r="H46" s="11" t="s">
        <v>320</v>
      </c>
      <c r="I46" s="10"/>
      <c r="J46" s="10"/>
      <c r="K46" s="10" t="s">
        <v>114</v>
      </c>
      <c r="L46" s="10" t="s">
        <v>114</v>
      </c>
      <c r="M46" s="11"/>
      <c r="N46" s="11" t="s">
        <v>284</v>
      </c>
      <c r="O46" s="12" t="s">
        <v>116</v>
      </c>
      <c r="P46" s="12"/>
      <c r="Q46" s="10" t="str">
        <f t="shared" si="1"/>
        <v/>
      </c>
      <c r="R46" s="12"/>
      <c r="S46" s="13"/>
    </row>
    <row r="47" spans="1:19" ht="24" x14ac:dyDescent="0.25">
      <c r="A47" s="10" t="s">
        <v>321</v>
      </c>
      <c r="B47" s="10" t="s">
        <v>300</v>
      </c>
      <c r="C47" s="10" t="s">
        <v>322</v>
      </c>
      <c r="D47" s="11" t="s">
        <v>323</v>
      </c>
      <c r="E47" s="11" t="s">
        <v>324</v>
      </c>
      <c r="F47" s="10" t="s">
        <v>112</v>
      </c>
      <c r="G47" s="10"/>
      <c r="H47" s="11" t="s">
        <v>325</v>
      </c>
      <c r="I47" s="10"/>
      <c r="J47" s="10"/>
      <c r="K47" s="10" t="s">
        <v>114</v>
      </c>
      <c r="L47" s="10" t="s">
        <v>114</v>
      </c>
      <c r="M47" s="11" t="s">
        <v>326</v>
      </c>
      <c r="N47" s="11" t="s">
        <v>327</v>
      </c>
      <c r="O47" s="12" t="s">
        <v>116</v>
      </c>
      <c r="P47" s="12"/>
      <c r="Q47" s="10" t="str">
        <f t="shared" si="1"/>
        <v/>
      </c>
      <c r="R47" s="12"/>
      <c r="S47" s="13"/>
    </row>
    <row r="48" spans="1:19" ht="24" x14ac:dyDescent="0.25">
      <c r="A48" s="10" t="s">
        <v>328</v>
      </c>
      <c r="B48" s="10" t="s">
        <v>300</v>
      </c>
      <c r="C48" s="10" t="s">
        <v>322</v>
      </c>
      <c r="D48" s="11" t="s">
        <v>329</v>
      </c>
      <c r="E48" s="11" t="s">
        <v>330</v>
      </c>
      <c r="F48" s="10" t="s">
        <v>112</v>
      </c>
      <c r="G48" s="10"/>
      <c r="H48" s="11" t="s">
        <v>331</v>
      </c>
      <c r="I48" s="10"/>
      <c r="J48" s="10"/>
      <c r="K48" s="10" t="s">
        <v>114</v>
      </c>
      <c r="L48" s="10" t="s">
        <v>114</v>
      </c>
      <c r="M48" s="11" t="s">
        <v>332</v>
      </c>
      <c r="N48" s="11" t="s">
        <v>327</v>
      </c>
      <c r="O48" s="12" t="s">
        <v>116</v>
      </c>
      <c r="P48" s="12"/>
      <c r="Q48" s="10" t="str">
        <f t="shared" si="1"/>
        <v/>
      </c>
      <c r="R48" s="12"/>
      <c r="S48" s="13"/>
    </row>
    <row r="49" spans="1:19" ht="24" x14ac:dyDescent="0.25">
      <c r="A49" s="10" t="s">
        <v>333</v>
      </c>
      <c r="B49" s="10" t="s">
        <v>300</v>
      </c>
      <c r="C49" s="10" t="s">
        <v>322</v>
      </c>
      <c r="D49" s="11" t="s">
        <v>334</v>
      </c>
      <c r="E49" s="11" t="s">
        <v>335</v>
      </c>
      <c r="F49" s="10" t="s">
        <v>164</v>
      </c>
      <c r="G49" s="10"/>
      <c r="H49" s="11" t="s">
        <v>336</v>
      </c>
      <c r="I49" s="10"/>
      <c r="J49" s="10"/>
      <c r="K49" s="10" t="s">
        <v>114</v>
      </c>
      <c r="L49" s="10" t="s">
        <v>114</v>
      </c>
      <c r="M49" s="11" t="s">
        <v>337</v>
      </c>
      <c r="N49" s="11" t="s">
        <v>338</v>
      </c>
      <c r="O49" s="12" t="s">
        <v>116</v>
      </c>
      <c r="P49" s="12"/>
      <c r="Q49" s="10" t="str">
        <f t="shared" si="1"/>
        <v/>
      </c>
      <c r="R49" s="12"/>
      <c r="S49" s="13"/>
    </row>
    <row r="50" spans="1:19" ht="24" x14ac:dyDescent="0.25">
      <c r="A50" s="10" t="s">
        <v>339</v>
      </c>
      <c r="B50" s="10" t="s">
        <v>300</v>
      </c>
      <c r="C50" s="10" t="s">
        <v>322</v>
      </c>
      <c r="D50" s="11" t="s">
        <v>340</v>
      </c>
      <c r="E50" s="11" t="s">
        <v>341</v>
      </c>
      <c r="F50" s="10" t="s">
        <v>112</v>
      </c>
      <c r="G50" s="10"/>
      <c r="H50" s="11" t="s">
        <v>342</v>
      </c>
      <c r="I50" s="10"/>
      <c r="J50" s="10"/>
      <c r="K50" s="10" t="s">
        <v>114</v>
      </c>
      <c r="L50" s="10" t="s">
        <v>114</v>
      </c>
      <c r="M50" s="11" t="s">
        <v>343</v>
      </c>
      <c r="N50" s="11" t="s">
        <v>338</v>
      </c>
      <c r="O50" s="12" t="s">
        <v>116</v>
      </c>
      <c r="P50" s="12"/>
      <c r="Q50" s="10" t="str">
        <f t="shared" si="1"/>
        <v/>
      </c>
      <c r="R50" s="12"/>
      <c r="S50" s="13"/>
    </row>
    <row r="51" spans="1:19" ht="24" x14ac:dyDescent="0.25">
      <c r="A51" s="10" t="s">
        <v>344</v>
      </c>
      <c r="B51" s="10" t="s">
        <v>300</v>
      </c>
      <c r="C51" s="10" t="s">
        <v>345</v>
      </c>
      <c r="D51" s="11" t="s">
        <v>346</v>
      </c>
      <c r="E51" s="11" t="s">
        <v>347</v>
      </c>
      <c r="F51" s="10" t="s">
        <v>112</v>
      </c>
      <c r="G51" s="10"/>
      <c r="H51" s="11" t="s">
        <v>348</v>
      </c>
      <c r="I51" s="10"/>
      <c r="J51" s="10"/>
      <c r="K51" s="10" t="s">
        <v>114</v>
      </c>
      <c r="L51" s="10" t="s">
        <v>114</v>
      </c>
      <c r="M51" s="11" t="s">
        <v>349</v>
      </c>
      <c r="N51" s="11" t="s">
        <v>166</v>
      </c>
      <c r="O51" s="12" t="s">
        <v>116</v>
      </c>
      <c r="P51" s="12"/>
      <c r="Q51" s="10" t="str">
        <f t="shared" si="1"/>
        <v/>
      </c>
      <c r="R51" s="12"/>
      <c r="S51" s="13"/>
    </row>
    <row r="52" spans="1:19" ht="24" x14ac:dyDescent="0.25">
      <c r="A52" s="10" t="s">
        <v>350</v>
      </c>
      <c r="B52" s="10" t="s">
        <v>300</v>
      </c>
      <c r="C52" s="10" t="s">
        <v>345</v>
      </c>
      <c r="D52" s="11" t="s">
        <v>351</v>
      </c>
      <c r="E52" s="11" t="s">
        <v>352</v>
      </c>
      <c r="F52" s="10" t="s">
        <v>112</v>
      </c>
      <c r="G52" s="10"/>
      <c r="H52" s="11" t="s">
        <v>353</v>
      </c>
      <c r="I52" s="10"/>
      <c r="J52" s="10"/>
      <c r="K52" s="10" t="s">
        <v>114</v>
      </c>
      <c r="L52" s="10" t="s">
        <v>114</v>
      </c>
      <c r="M52" s="11" t="s">
        <v>354</v>
      </c>
      <c r="N52" s="11" t="s">
        <v>166</v>
      </c>
      <c r="O52" s="12" t="s">
        <v>116</v>
      </c>
      <c r="P52" s="12"/>
      <c r="Q52" s="10" t="str">
        <f t="shared" si="1"/>
        <v/>
      </c>
      <c r="R52" s="12"/>
      <c r="S52" s="13"/>
    </row>
    <row r="53" spans="1:19" ht="24" x14ac:dyDescent="0.25">
      <c r="A53" s="10" t="s">
        <v>355</v>
      </c>
      <c r="B53" s="10" t="s">
        <v>356</v>
      </c>
      <c r="C53" s="10" t="s">
        <v>357</v>
      </c>
      <c r="D53" s="11" t="s">
        <v>358</v>
      </c>
      <c r="E53" s="11" t="s">
        <v>359</v>
      </c>
      <c r="F53" s="10" t="s">
        <v>112</v>
      </c>
      <c r="G53" s="10"/>
      <c r="H53" s="11" t="s">
        <v>360</v>
      </c>
      <c r="I53" s="10"/>
      <c r="J53" s="10"/>
      <c r="K53" s="10" t="s">
        <v>114</v>
      </c>
      <c r="L53" s="10" t="s">
        <v>114</v>
      </c>
      <c r="M53" s="11" t="s">
        <v>361</v>
      </c>
      <c r="N53" s="11" t="s">
        <v>362</v>
      </c>
      <c r="O53" s="12" t="s">
        <v>116</v>
      </c>
      <c r="P53" s="12"/>
      <c r="Q53" s="10" t="str">
        <f t="shared" si="1"/>
        <v/>
      </c>
      <c r="R53" s="12"/>
      <c r="S53" s="13"/>
    </row>
    <row r="54" spans="1:19" ht="24" x14ac:dyDescent="0.25">
      <c r="A54" s="10" t="s">
        <v>363</v>
      </c>
      <c r="B54" s="10" t="s">
        <v>356</v>
      </c>
      <c r="C54" s="10" t="s">
        <v>357</v>
      </c>
      <c r="D54" s="11" t="s">
        <v>364</v>
      </c>
      <c r="E54" s="11" t="s">
        <v>365</v>
      </c>
      <c r="F54" s="10" t="s">
        <v>112</v>
      </c>
      <c r="G54" s="10"/>
      <c r="H54" s="11" t="s">
        <v>366</v>
      </c>
      <c r="I54" s="10"/>
      <c r="J54" s="10"/>
      <c r="K54" s="10" t="s">
        <v>114</v>
      </c>
      <c r="L54" s="10" t="s">
        <v>114</v>
      </c>
      <c r="M54" s="11" t="s">
        <v>367</v>
      </c>
      <c r="N54" s="11" t="s">
        <v>143</v>
      </c>
      <c r="O54" s="12" t="s">
        <v>116</v>
      </c>
      <c r="P54" s="12"/>
      <c r="Q54" s="10" t="str">
        <f t="shared" si="1"/>
        <v/>
      </c>
      <c r="R54" s="12"/>
      <c r="S54" s="13"/>
    </row>
    <row r="55" spans="1:19" ht="24" x14ac:dyDescent="0.25">
      <c r="A55" s="10" t="s">
        <v>368</v>
      </c>
      <c r="B55" s="10" t="s">
        <v>356</v>
      </c>
      <c r="C55" s="10" t="s">
        <v>357</v>
      </c>
      <c r="D55" s="11" t="s">
        <v>369</v>
      </c>
      <c r="E55" s="11" t="s">
        <v>370</v>
      </c>
      <c r="F55" s="10" t="s">
        <v>112</v>
      </c>
      <c r="G55" s="10"/>
      <c r="H55" s="11" t="s">
        <v>371</v>
      </c>
      <c r="I55" s="10"/>
      <c r="J55" s="10"/>
      <c r="K55" s="10" t="s">
        <v>114</v>
      </c>
      <c r="L55" s="10" t="s">
        <v>114</v>
      </c>
      <c r="M55" s="11" t="s">
        <v>372</v>
      </c>
      <c r="N55" s="11" t="s">
        <v>143</v>
      </c>
      <c r="O55" s="12" t="s">
        <v>116</v>
      </c>
      <c r="P55" s="12"/>
      <c r="Q55" s="10" t="str">
        <f t="shared" si="1"/>
        <v/>
      </c>
      <c r="R55" s="12"/>
      <c r="S55" s="13"/>
    </row>
    <row r="56" spans="1:19" ht="24" x14ac:dyDescent="0.25">
      <c r="A56" s="10" t="s">
        <v>373</v>
      </c>
      <c r="B56" s="10" t="s">
        <v>356</v>
      </c>
      <c r="C56" s="10" t="s">
        <v>357</v>
      </c>
      <c r="D56" s="11" t="s">
        <v>374</v>
      </c>
      <c r="E56" s="11" t="s">
        <v>375</v>
      </c>
      <c r="F56" s="10" t="s">
        <v>112</v>
      </c>
      <c r="G56" s="10"/>
      <c r="H56" s="11" t="s">
        <v>376</v>
      </c>
      <c r="I56" s="10"/>
      <c r="J56" s="10"/>
      <c r="K56" s="10" t="s">
        <v>114</v>
      </c>
      <c r="L56" s="10" t="s">
        <v>114</v>
      </c>
      <c r="M56" s="11" t="s">
        <v>377</v>
      </c>
      <c r="N56" s="11" t="s">
        <v>378</v>
      </c>
      <c r="O56" s="12" t="s">
        <v>116</v>
      </c>
      <c r="P56" s="12"/>
      <c r="Q56" s="10" t="str">
        <f t="shared" si="1"/>
        <v/>
      </c>
      <c r="R56" s="12"/>
      <c r="S56" s="13"/>
    </row>
    <row r="57" spans="1:19" ht="24" x14ac:dyDescent="0.25">
      <c r="A57" s="10" t="s">
        <v>379</v>
      </c>
      <c r="B57" s="10" t="s">
        <v>356</v>
      </c>
      <c r="C57" s="10" t="s">
        <v>357</v>
      </c>
      <c r="D57" s="11" t="s">
        <v>380</v>
      </c>
      <c r="E57" s="11" t="s">
        <v>381</v>
      </c>
      <c r="F57" s="10" t="s">
        <v>112</v>
      </c>
      <c r="G57" s="10"/>
      <c r="H57" s="11" t="s">
        <v>382</v>
      </c>
      <c r="I57" s="10"/>
      <c r="J57" s="10"/>
      <c r="K57" s="10" t="s">
        <v>114</v>
      </c>
      <c r="L57" s="10" t="s">
        <v>114</v>
      </c>
      <c r="M57" s="11" t="s">
        <v>383</v>
      </c>
      <c r="N57" s="11" t="s">
        <v>143</v>
      </c>
      <c r="O57" s="12" t="s">
        <v>116</v>
      </c>
      <c r="P57" s="12"/>
      <c r="Q57" s="10" t="str">
        <f t="shared" si="1"/>
        <v/>
      </c>
      <c r="R57" s="12"/>
      <c r="S57" s="13"/>
    </row>
    <row r="58" spans="1:19" ht="24" x14ac:dyDescent="0.25">
      <c r="A58" s="10" t="s">
        <v>384</v>
      </c>
      <c r="B58" s="10" t="s">
        <v>356</v>
      </c>
      <c r="C58" s="10" t="s">
        <v>357</v>
      </c>
      <c r="D58" s="11" t="s">
        <v>385</v>
      </c>
      <c r="E58" s="11" t="s">
        <v>386</v>
      </c>
      <c r="F58" s="10" t="s">
        <v>112</v>
      </c>
      <c r="G58" s="10"/>
      <c r="H58" s="11" t="s">
        <v>387</v>
      </c>
      <c r="I58" s="10"/>
      <c r="J58" s="10"/>
      <c r="K58" s="10" t="s">
        <v>114</v>
      </c>
      <c r="L58" s="10" t="s">
        <v>114</v>
      </c>
      <c r="M58" s="11" t="s">
        <v>383</v>
      </c>
      <c r="N58" s="11" t="s">
        <v>143</v>
      </c>
      <c r="O58" s="12" t="s">
        <v>116</v>
      </c>
      <c r="P58" s="12"/>
      <c r="Q58" s="10" t="str">
        <f t="shared" si="1"/>
        <v/>
      </c>
      <c r="R58" s="12"/>
      <c r="S58" s="13"/>
    </row>
    <row r="59" spans="1:19" ht="24" x14ac:dyDescent="0.25">
      <c r="A59" s="10" t="s">
        <v>388</v>
      </c>
      <c r="B59" s="10" t="s">
        <v>356</v>
      </c>
      <c r="C59" s="10" t="s">
        <v>357</v>
      </c>
      <c r="D59" s="11" t="s">
        <v>389</v>
      </c>
      <c r="E59" s="11" t="s">
        <v>390</v>
      </c>
      <c r="F59" s="10" t="s">
        <v>112</v>
      </c>
      <c r="G59" s="10"/>
      <c r="H59" s="11" t="s">
        <v>391</v>
      </c>
      <c r="I59" s="10"/>
      <c r="J59" s="10"/>
      <c r="K59" s="10" t="s">
        <v>114</v>
      </c>
      <c r="L59" s="10" t="s">
        <v>114</v>
      </c>
      <c r="M59" s="11" t="s">
        <v>383</v>
      </c>
      <c r="N59" s="11" t="s">
        <v>143</v>
      </c>
      <c r="O59" s="12" t="s">
        <v>116</v>
      </c>
      <c r="P59" s="12"/>
      <c r="Q59" s="10" t="str">
        <f t="shared" si="1"/>
        <v/>
      </c>
      <c r="R59" s="12"/>
      <c r="S59" s="13"/>
    </row>
    <row r="60" spans="1:19" ht="24" x14ac:dyDescent="0.25">
      <c r="A60" s="10" t="s">
        <v>392</v>
      </c>
      <c r="B60" s="10" t="s">
        <v>356</v>
      </c>
      <c r="C60" s="10" t="s">
        <v>393</v>
      </c>
      <c r="D60" s="11" t="s">
        <v>394</v>
      </c>
      <c r="E60" s="11" t="s">
        <v>395</v>
      </c>
      <c r="F60" s="10" t="s">
        <v>140</v>
      </c>
      <c r="G60" s="10" t="s">
        <v>396</v>
      </c>
      <c r="H60" s="11" t="s">
        <v>397</v>
      </c>
      <c r="I60" s="10">
        <v>2.5</v>
      </c>
      <c r="J60" s="10">
        <v>3.3</v>
      </c>
      <c r="K60" s="10" t="s">
        <v>114</v>
      </c>
      <c r="L60" s="10" t="s">
        <v>122</v>
      </c>
      <c r="M60" s="11" t="s">
        <v>398</v>
      </c>
      <c r="N60" s="11" t="s">
        <v>166</v>
      </c>
      <c r="O60" s="12" t="s">
        <v>116</v>
      </c>
      <c r="P60" s="12"/>
      <c r="Q60" s="10" t="str">
        <f t="shared" si="1"/>
        <v>Sin dato</v>
      </c>
      <c r="R60" s="12"/>
      <c r="S60" s="13"/>
    </row>
    <row r="61" spans="1:19" ht="24" x14ac:dyDescent="0.25">
      <c r="A61" s="10" t="s">
        <v>399</v>
      </c>
      <c r="B61" s="10" t="s">
        <v>356</v>
      </c>
      <c r="C61" s="10" t="s">
        <v>400</v>
      </c>
      <c r="D61" s="11" t="s">
        <v>401</v>
      </c>
      <c r="E61" s="11" t="s">
        <v>402</v>
      </c>
      <c r="F61" s="10" t="s">
        <v>112</v>
      </c>
      <c r="G61" s="10"/>
      <c r="H61" s="11" t="s">
        <v>403</v>
      </c>
      <c r="I61" s="10"/>
      <c r="J61" s="10"/>
      <c r="K61" s="10" t="s">
        <v>114</v>
      </c>
      <c r="L61" s="10" t="s">
        <v>114</v>
      </c>
      <c r="M61" s="11" t="s">
        <v>404</v>
      </c>
      <c r="N61" s="11" t="s">
        <v>128</v>
      </c>
      <c r="O61" s="12" t="s">
        <v>116</v>
      </c>
      <c r="P61" s="12"/>
      <c r="Q61" s="10" t="str">
        <f t="shared" si="1"/>
        <v/>
      </c>
      <c r="R61" s="12"/>
      <c r="S61" s="13"/>
    </row>
    <row r="62" spans="1:19" ht="24" x14ac:dyDescent="0.25">
      <c r="A62" s="10" t="s">
        <v>405</v>
      </c>
      <c r="B62" s="10" t="s">
        <v>356</v>
      </c>
      <c r="C62" s="10" t="s">
        <v>400</v>
      </c>
      <c r="D62" s="11" t="s">
        <v>406</v>
      </c>
      <c r="E62" s="11" t="s">
        <v>407</v>
      </c>
      <c r="F62" s="10" t="s">
        <v>112</v>
      </c>
      <c r="G62" s="10"/>
      <c r="H62" s="11" t="s">
        <v>408</v>
      </c>
      <c r="I62" s="10"/>
      <c r="J62" s="10"/>
      <c r="K62" s="10" t="s">
        <v>114</v>
      </c>
      <c r="L62" s="10" t="s">
        <v>114</v>
      </c>
      <c r="M62" s="11" t="s">
        <v>409</v>
      </c>
      <c r="N62" s="11" t="s">
        <v>410</v>
      </c>
      <c r="O62" s="12" t="s">
        <v>116</v>
      </c>
      <c r="P62" s="12"/>
      <c r="Q62" s="10" t="str">
        <f t="shared" si="1"/>
        <v/>
      </c>
      <c r="R62" s="12"/>
      <c r="S62" s="13"/>
    </row>
    <row r="63" spans="1:19" ht="24" x14ac:dyDescent="0.25">
      <c r="A63" s="10" t="s">
        <v>411</v>
      </c>
      <c r="B63" s="10" t="s">
        <v>356</v>
      </c>
      <c r="C63" s="10" t="s">
        <v>412</v>
      </c>
      <c r="D63" s="11" t="s">
        <v>413</v>
      </c>
      <c r="E63" s="11" t="s">
        <v>414</v>
      </c>
      <c r="F63" s="10" t="s">
        <v>112</v>
      </c>
      <c r="G63" s="10"/>
      <c r="H63" s="11" t="s">
        <v>415</v>
      </c>
      <c r="I63" s="10"/>
      <c r="J63" s="10"/>
      <c r="K63" s="10" t="s">
        <v>114</v>
      </c>
      <c r="L63" s="10" t="s">
        <v>114</v>
      </c>
      <c r="M63" s="11" t="s">
        <v>416</v>
      </c>
      <c r="N63" s="11" t="s">
        <v>233</v>
      </c>
      <c r="O63" s="12" t="s">
        <v>116</v>
      </c>
      <c r="P63" s="12"/>
      <c r="Q63" s="10" t="str">
        <f t="shared" si="1"/>
        <v/>
      </c>
      <c r="R63" s="12"/>
      <c r="S63" s="13"/>
    </row>
    <row r="64" spans="1:19" ht="24" x14ac:dyDescent="0.25">
      <c r="A64" s="10" t="s">
        <v>417</v>
      </c>
      <c r="B64" s="10" t="s">
        <v>356</v>
      </c>
      <c r="C64" s="10" t="s">
        <v>412</v>
      </c>
      <c r="D64" s="11" t="s">
        <v>418</v>
      </c>
      <c r="E64" s="11" t="s">
        <v>419</v>
      </c>
      <c r="F64" s="10" t="s">
        <v>140</v>
      </c>
      <c r="G64" s="10" t="s">
        <v>396</v>
      </c>
      <c r="H64" s="11" t="s">
        <v>420</v>
      </c>
      <c r="I64" s="10">
        <v>100</v>
      </c>
      <c r="J64" s="10">
        <v>120</v>
      </c>
      <c r="K64" s="10" t="s">
        <v>114</v>
      </c>
      <c r="L64" s="10" t="s">
        <v>122</v>
      </c>
      <c r="M64" s="11" t="s">
        <v>421</v>
      </c>
      <c r="N64" s="11" t="s">
        <v>233</v>
      </c>
      <c r="O64" s="12" t="s">
        <v>116</v>
      </c>
      <c r="P64" s="12"/>
      <c r="Q64" s="10" t="str">
        <f t="shared" si="1"/>
        <v>Sin dato</v>
      </c>
      <c r="R64" s="12"/>
      <c r="S64" s="13"/>
    </row>
    <row r="65" spans="1:19" ht="24" x14ac:dyDescent="0.25">
      <c r="A65" s="10" t="s">
        <v>422</v>
      </c>
      <c r="B65" s="10" t="s">
        <v>356</v>
      </c>
      <c r="C65" s="10" t="s">
        <v>423</v>
      </c>
      <c r="D65" s="11" t="s">
        <v>424</v>
      </c>
      <c r="E65" s="11" t="s">
        <v>425</v>
      </c>
      <c r="F65" s="10" t="s">
        <v>112</v>
      </c>
      <c r="G65" s="10"/>
      <c r="H65" s="11" t="s">
        <v>426</v>
      </c>
      <c r="I65" s="10"/>
      <c r="J65" s="10"/>
      <c r="K65" s="10" t="s">
        <v>114</v>
      </c>
      <c r="L65" s="10" t="s">
        <v>114</v>
      </c>
      <c r="M65" s="11"/>
      <c r="N65" s="11" t="s">
        <v>427</v>
      </c>
      <c r="O65" s="12" t="s">
        <v>116</v>
      </c>
      <c r="P65" s="12"/>
      <c r="Q65" s="10" t="str">
        <f t="shared" si="1"/>
        <v/>
      </c>
      <c r="R65" s="12"/>
      <c r="S65" s="13"/>
    </row>
    <row r="66" spans="1:19" ht="24" x14ac:dyDescent="0.25">
      <c r="A66" s="10" t="s">
        <v>428</v>
      </c>
      <c r="B66" s="10" t="s">
        <v>356</v>
      </c>
      <c r="C66" s="10" t="s">
        <v>423</v>
      </c>
      <c r="D66" s="11" t="s">
        <v>429</v>
      </c>
      <c r="E66" s="11" t="s">
        <v>430</v>
      </c>
      <c r="F66" s="10" t="s">
        <v>164</v>
      </c>
      <c r="G66" s="10"/>
      <c r="H66" s="11" t="s">
        <v>431</v>
      </c>
      <c r="I66" s="10"/>
      <c r="J66" s="10"/>
      <c r="K66" s="10" t="s">
        <v>114</v>
      </c>
      <c r="L66" s="10" t="s">
        <v>114</v>
      </c>
      <c r="M66" s="11" t="s">
        <v>432</v>
      </c>
      <c r="N66" s="11" t="s">
        <v>433</v>
      </c>
      <c r="O66" s="12" t="s">
        <v>116</v>
      </c>
      <c r="P66" s="12"/>
      <c r="Q66" s="10" t="str">
        <f t="shared" si="1"/>
        <v/>
      </c>
      <c r="R66" s="12"/>
      <c r="S66" s="13"/>
    </row>
    <row r="67" spans="1:19" ht="24" x14ac:dyDescent="0.25">
      <c r="A67" s="10" t="s">
        <v>434</v>
      </c>
      <c r="B67" s="10" t="s">
        <v>435</v>
      </c>
      <c r="C67" s="10" t="s">
        <v>436</v>
      </c>
      <c r="D67" s="11" t="s">
        <v>437</v>
      </c>
      <c r="E67" s="11" t="s">
        <v>438</v>
      </c>
      <c r="F67" s="10" t="s">
        <v>140</v>
      </c>
      <c r="G67" s="10" t="s">
        <v>141</v>
      </c>
      <c r="H67" s="11" t="s">
        <v>439</v>
      </c>
      <c r="I67" s="10">
        <v>0</v>
      </c>
      <c r="J67" s="10">
        <v>336</v>
      </c>
      <c r="K67" s="10" t="s">
        <v>114</v>
      </c>
      <c r="L67" s="10" t="s">
        <v>122</v>
      </c>
      <c r="M67" s="11" t="s">
        <v>440</v>
      </c>
      <c r="N67" s="11" t="s">
        <v>166</v>
      </c>
      <c r="O67" s="12" t="s">
        <v>116</v>
      </c>
      <c r="P67" s="12"/>
      <c r="Q67" s="10" t="str">
        <f t="shared" si="1"/>
        <v>Sin dato</v>
      </c>
      <c r="R67" s="12"/>
      <c r="S67" s="13"/>
    </row>
    <row r="68" spans="1:19" ht="24" x14ac:dyDescent="0.25">
      <c r="A68" s="10" t="s">
        <v>441</v>
      </c>
      <c r="B68" s="10" t="s">
        <v>435</v>
      </c>
      <c r="C68" s="10" t="s">
        <v>436</v>
      </c>
      <c r="D68" s="11" t="s">
        <v>442</v>
      </c>
      <c r="E68" s="11" t="s">
        <v>443</v>
      </c>
      <c r="F68" s="10" t="s">
        <v>140</v>
      </c>
      <c r="G68" s="10" t="s">
        <v>141</v>
      </c>
      <c r="H68" s="11" t="s">
        <v>444</v>
      </c>
      <c r="I68" s="10">
        <v>0</v>
      </c>
      <c r="J68" s="10">
        <v>8760</v>
      </c>
      <c r="K68" s="10" t="s">
        <v>114</v>
      </c>
      <c r="L68" s="10" t="s">
        <v>122</v>
      </c>
      <c r="M68" s="11" t="s">
        <v>445</v>
      </c>
      <c r="N68" s="11" t="s">
        <v>166</v>
      </c>
      <c r="O68" s="12" t="s">
        <v>116</v>
      </c>
      <c r="P68" s="12"/>
      <c r="Q68" s="10" t="str">
        <f t="shared" si="1"/>
        <v>Sin dato</v>
      </c>
      <c r="R68" s="12"/>
      <c r="S68" s="13"/>
    </row>
    <row r="69" spans="1:19" ht="24" x14ac:dyDescent="0.25">
      <c r="A69" s="10" t="s">
        <v>446</v>
      </c>
      <c r="B69" s="10" t="s">
        <v>435</v>
      </c>
      <c r="C69" s="10" t="s">
        <v>436</v>
      </c>
      <c r="D69" s="11" t="s">
        <v>447</v>
      </c>
      <c r="E69" s="11" t="s">
        <v>448</v>
      </c>
      <c r="F69" s="10" t="s">
        <v>140</v>
      </c>
      <c r="G69" s="10" t="s">
        <v>141</v>
      </c>
      <c r="H69" s="11" t="s">
        <v>449</v>
      </c>
      <c r="I69" s="10">
        <v>0</v>
      </c>
      <c r="J69" s="10">
        <v>17520</v>
      </c>
      <c r="K69" s="10" t="s">
        <v>114</v>
      </c>
      <c r="L69" s="10" t="s">
        <v>122</v>
      </c>
      <c r="M69" s="11" t="s">
        <v>450</v>
      </c>
      <c r="N69" s="11" t="s">
        <v>166</v>
      </c>
      <c r="O69" s="12" t="s">
        <v>116</v>
      </c>
      <c r="P69" s="12"/>
      <c r="Q69" s="10" t="str">
        <f t="shared" si="1"/>
        <v>Sin dato</v>
      </c>
      <c r="R69" s="12"/>
      <c r="S69" s="13"/>
    </row>
    <row r="70" spans="1:19" ht="24" x14ac:dyDescent="0.25">
      <c r="A70" s="10" t="s">
        <v>451</v>
      </c>
      <c r="B70" s="10" t="s">
        <v>435</v>
      </c>
      <c r="C70" s="10" t="s">
        <v>436</v>
      </c>
      <c r="D70" s="11" t="s">
        <v>452</v>
      </c>
      <c r="E70" s="11" t="s">
        <v>453</v>
      </c>
      <c r="F70" s="10" t="s">
        <v>140</v>
      </c>
      <c r="G70" s="10" t="s">
        <v>141</v>
      </c>
      <c r="H70" s="11" t="s">
        <v>454</v>
      </c>
      <c r="I70" s="10">
        <v>0</v>
      </c>
      <c r="J70" s="10">
        <v>8760</v>
      </c>
      <c r="K70" s="10" t="s">
        <v>114</v>
      </c>
      <c r="L70" s="10" t="s">
        <v>122</v>
      </c>
      <c r="M70" s="11" t="s">
        <v>455</v>
      </c>
      <c r="N70" s="11" t="s">
        <v>166</v>
      </c>
      <c r="O70" s="12" t="s">
        <v>116</v>
      </c>
      <c r="P70" s="12"/>
      <c r="Q70" s="10" t="str">
        <f t="shared" si="1"/>
        <v>Sin dato</v>
      </c>
      <c r="R70" s="12"/>
      <c r="S70" s="13"/>
    </row>
    <row r="71" spans="1:19" ht="24" x14ac:dyDescent="0.25">
      <c r="A71" s="10" t="s">
        <v>456</v>
      </c>
      <c r="B71" s="10" t="s">
        <v>435</v>
      </c>
      <c r="C71" s="10" t="s">
        <v>436</v>
      </c>
      <c r="D71" s="11" t="s">
        <v>457</v>
      </c>
      <c r="E71" s="11" t="s">
        <v>458</v>
      </c>
      <c r="F71" s="10" t="s">
        <v>140</v>
      </c>
      <c r="G71" s="10" t="s">
        <v>141</v>
      </c>
      <c r="H71" s="11" t="s">
        <v>459</v>
      </c>
      <c r="I71" s="10">
        <v>0</v>
      </c>
      <c r="J71" s="10">
        <v>17520</v>
      </c>
      <c r="K71" s="10" t="s">
        <v>114</v>
      </c>
      <c r="L71" s="10" t="s">
        <v>122</v>
      </c>
      <c r="M71" s="11" t="s">
        <v>460</v>
      </c>
      <c r="N71" s="11" t="s">
        <v>166</v>
      </c>
      <c r="O71" s="12" t="s">
        <v>116</v>
      </c>
      <c r="P71" s="12"/>
      <c r="Q71" s="10" t="str">
        <f t="shared" si="1"/>
        <v>Sin dato</v>
      </c>
      <c r="R71" s="12"/>
      <c r="S71" s="13"/>
    </row>
    <row r="72" spans="1:19" ht="24" x14ac:dyDescent="0.25">
      <c r="A72" s="10" t="s">
        <v>461</v>
      </c>
      <c r="B72" s="10" t="s">
        <v>435</v>
      </c>
      <c r="C72" s="10" t="s">
        <v>462</v>
      </c>
      <c r="D72" s="11" t="s">
        <v>463</v>
      </c>
      <c r="E72" s="11" t="s">
        <v>464</v>
      </c>
      <c r="F72" s="10" t="s">
        <v>112</v>
      </c>
      <c r="G72" s="10"/>
      <c r="H72" s="11" t="s">
        <v>465</v>
      </c>
      <c r="I72" s="10"/>
      <c r="J72" s="10"/>
      <c r="K72" s="10" t="s">
        <v>114</v>
      </c>
      <c r="L72" s="10" t="s">
        <v>114</v>
      </c>
      <c r="M72" s="11" t="s">
        <v>466</v>
      </c>
      <c r="N72" s="11" t="s">
        <v>327</v>
      </c>
      <c r="O72" s="12" t="s">
        <v>116</v>
      </c>
      <c r="P72" s="12"/>
      <c r="Q72" s="10" t="str">
        <f t="shared" si="1"/>
        <v/>
      </c>
      <c r="R72" s="12"/>
      <c r="S72" s="13"/>
    </row>
    <row r="73" spans="1:19" ht="24" x14ac:dyDescent="0.25">
      <c r="A73" s="10" t="s">
        <v>467</v>
      </c>
      <c r="B73" s="10" t="s">
        <v>468</v>
      </c>
      <c r="C73" s="10" t="s">
        <v>469</v>
      </c>
      <c r="D73" s="11" t="s">
        <v>470</v>
      </c>
      <c r="E73" s="11" t="s">
        <v>471</v>
      </c>
      <c r="F73" s="10" t="s">
        <v>140</v>
      </c>
      <c r="G73" s="10" t="s">
        <v>472</v>
      </c>
      <c r="H73" s="11" t="s">
        <v>473</v>
      </c>
      <c r="I73" s="10">
        <v>30</v>
      </c>
      <c r="J73" s="10">
        <v>55</v>
      </c>
      <c r="K73" s="10" t="s">
        <v>114</v>
      </c>
      <c r="L73" s="10" t="s">
        <v>122</v>
      </c>
      <c r="M73" s="11"/>
      <c r="N73" s="11" t="s">
        <v>115</v>
      </c>
      <c r="O73" s="12" t="s">
        <v>116</v>
      </c>
      <c r="P73" s="12"/>
      <c r="Q73" s="10" t="str">
        <f t="shared" ref="Q73:Q88" si="2">IF($F73&lt;&gt;"Numérico","",IF($P73="","Sin dato",IF(AND(OR(NOT(ISNUMBER($I73)),$P73&gt;=$I73),OR(NOT(ISNUMBER($J73)),$P73&lt;=$J73)),"Dentro de rango","Fuera de rango")))</f>
        <v>Sin dato</v>
      </c>
      <c r="R73" s="12"/>
      <c r="S73" s="13"/>
    </row>
    <row r="74" spans="1:19" ht="24" x14ac:dyDescent="0.25">
      <c r="A74" s="10" t="s">
        <v>474</v>
      </c>
      <c r="B74" s="10" t="s">
        <v>468</v>
      </c>
      <c r="C74" s="10" t="s">
        <v>469</v>
      </c>
      <c r="D74" s="11" t="s">
        <v>475</v>
      </c>
      <c r="E74" s="11" t="s">
        <v>476</v>
      </c>
      <c r="F74" s="10" t="s">
        <v>112</v>
      </c>
      <c r="G74" s="10"/>
      <c r="H74" s="11" t="s">
        <v>477</v>
      </c>
      <c r="I74" s="10"/>
      <c r="J74" s="10"/>
      <c r="K74" s="10" t="s">
        <v>114</v>
      </c>
      <c r="L74" s="10" t="s">
        <v>114</v>
      </c>
      <c r="M74" s="11"/>
      <c r="N74" s="11" t="s">
        <v>115</v>
      </c>
      <c r="O74" s="12" t="s">
        <v>116</v>
      </c>
      <c r="P74" s="12"/>
      <c r="Q74" s="10" t="str">
        <f t="shared" si="2"/>
        <v/>
      </c>
      <c r="R74" s="12"/>
      <c r="S74" s="13"/>
    </row>
    <row r="75" spans="1:19" ht="36" x14ac:dyDescent="0.25">
      <c r="A75" s="10" t="s">
        <v>478</v>
      </c>
      <c r="B75" s="10" t="s">
        <v>468</v>
      </c>
      <c r="C75" s="10" t="s">
        <v>479</v>
      </c>
      <c r="D75" s="11" t="s">
        <v>480</v>
      </c>
      <c r="E75" s="11" t="s">
        <v>481</v>
      </c>
      <c r="F75" s="10" t="s">
        <v>140</v>
      </c>
      <c r="G75" s="10" t="s">
        <v>186</v>
      </c>
      <c r="H75" s="11" t="s">
        <v>482</v>
      </c>
      <c r="I75" s="10">
        <v>50</v>
      </c>
      <c r="J75" s="10">
        <v>115</v>
      </c>
      <c r="K75" s="10" t="s">
        <v>114</v>
      </c>
      <c r="L75" s="10" t="s">
        <v>122</v>
      </c>
      <c r="M75" s="11"/>
      <c r="N75" s="11" t="s">
        <v>483</v>
      </c>
      <c r="O75" s="12" t="s">
        <v>116</v>
      </c>
      <c r="P75" s="12"/>
      <c r="Q75" s="10" t="str">
        <f t="shared" si="2"/>
        <v>Sin dato</v>
      </c>
      <c r="R75" s="12"/>
      <c r="S75" s="13"/>
    </row>
    <row r="76" spans="1:19" ht="24" x14ac:dyDescent="0.25">
      <c r="A76" s="10" t="s">
        <v>484</v>
      </c>
      <c r="B76" s="10" t="s">
        <v>468</v>
      </c>
      <c r="C76" s="10" t="s">
        <v>479</v>
      </c>
      <c r="D76" s="11" t="s">
        <v>485</v>
      </c>
      <c r="E76" s="11" t="s">
        <v>486</v>
      </c>
      <c r="F76" s="10" t="s">
        <v>140</v>
      </c>
      <c r="G76" s="10" t="s">
        <v>487</v>
      </c>
      <c r="H76" s="11" t="s">
        <v>488</v>
      </c>
      <c r="I76" s="10">
        <v>0</v>
      </c>
      <c r="J76" s="10">
        <v>2</v>
      </c>
      <c r="K76" s="10" t="s">
        <v>114</v>
      </c>
      <c r="L76" s="10" t="s">
        <v>122</v>
      </c>
      <c r="M76" s="11"/>
      <c r="N76" s="11" t="s">
        <v>489</v>
      </c>
      <c r="O76" s="12" t="s">
        <v>116</v>
      </c>
      <c r="P76" s="12"/>
      <c r="Q76" s="10" t="str">
        <f t="shared" si="2"/>
        <v>Sin dato</v>
      </c>
      <c r="R76" s="12"/>
      <c r="S76" s="13"/>
    </row>
    <row r="77" spans="1:19" ht="24" x14ac:dyDescent="0.25">
      <c r="A77" s="10" t="s">
        <v>490</v>
      </c>
      <c r="B77" s="10" t="s">
        <v>468</v>
      </c>
      <c r="C77" s="10" t="s">
        <v>491</v>
      </c>
      <c r="D77" s="11" t="s">
        <v>492</v>
      </c>
      <c r="E77" s="11" t="s">
        <v>493</v>
      </c>
      <c r="F77" s="10" t="s">
        <v>140</v>
      </c>
      <c r="G77" s="10" t="s">
        <v>396</v>
      </c>
      <c r="H77" s="11" t="s">
        <v>494</v>
      </c>
      <c r="I77" s="10">
        <v>23.5</v>
      </c>
      <c r="J77" s="10">
        <v>24.5</v>
      </c>
      <c r="K77" s="10" t="s">
        <v>114</v>
      </c>
      <c r="L77" s="10" t="s">
        <v>122</v>
      </c>
      <c r="M77" s="11"/>
      <c r="N77" s="11" t="s">
        <v>489</v>
      </c>
      <c r="O77" s="12" t="s">
        <v>116</v>
      </c>
      <c r="P77" s="12"/>
      <c r="Q77" s="10" t="str">
        <f t="shared" si="2"/>
        <v>Sin dato</v>
      </c>
      <c r="R77" s="12"/>
      <c r="S77" s="13"/>
    </row>
    <row r="78" spans="1:19" ht="24" x14ac:dyDescent="0.25">
      <c r="A78" s="10" t="s">
        <v>495</v>
      </c>
      <c r="B78" s="10" t="s">
        <v>468</v>
      </c>
      <c r="C78" s="10" t="s">
        <v>491</v>
      </c>
      <c r="D78" s="11" t="s">
        <v>496</v>
      </c>
      <c r="E78" s="11" t="s">
        <v>497</v>
      </c>
      <c r="F78" s="10" t="s">
        <v>140</v>
      </c>
      <c r="G78" s="10" t="s">
        <v>396</v>
      </c>
      <c r="H78" s="11" t="s">
        <v>498</v>
      </c>
      <c r="I78" s="10">
        <v>4.5</v>
      </c>
      <c r="J78" s="10">
        <v>5.5</v>
      </c>
      <c r="K78" s="10" t="s">
        <v>114</v>
      </c>
      <c r="L78" s="10" t="s">
        <v>122</v>
      </c>
      <c r="M78" s="11"/>
      <c r="N78" s="11" t="s">
        <v>489</v>
      </c>
      <c r="O78" s="12" t="s">
        <v>116</v>
      </c>
      <c r="P78" s="12"/>
      <c r="Q78" s="10" t="str">
        <f t="shared" si="2"/>
        <v>Sin dato</v>
      </c>
      <c r="R78" s="12"/>
      <c r="S78" s="13"/>
    </row>
    <row r="79" spans="1:19" ht="24" x14ac:dyDescent="0.25">
      <c r="A79" s="10" t="s">
        <v>499</v>
      </c>
      <c r="B79" s="10" t="s">
        <v>500</v>
      </c>
      <c r="C79" s="10" t="s">
        <v>501</v>
      </c>
      <c r="D79" s="11" t="s">
        <v>502</v>
      </c>
      <c r="E79" s="11" t="s">
        <v>503</v>
      </c>
      <c r="F79" s="10" t="s">
        <v>112</v>
      </c>
      <c r="G79" s="10"/>
      <c r="H79" s="11" t="s">
        <v>504</v>
      </c>
      <c r="I79" s="10"/>
      <c r="J79" s="10"/>
      <c r="K79" s="10" t="s">
        <v>114</v>
      </c>
      <c r="L79" s="10" t="s">
        <v>114</v>
      </c>
      <c r="M79" s="11"/>
      <c r="N79" s="11" t="s">
        <v>505</v>
      </c>
      <c r="O79" s="12" t="s">
        <v>116</v>
      </c>
      <c r="P79" s="12"/>
      <c r="Q79" s="10" t="str">
        <f t="shared" si="2"/>
        <v/>
      </c>
      <c r="R79" s="12"/>
      <c r="S79" s="13"/>
    </row>
    <row r="80" spans="1:19" ht="24" x14ac:dyDescent="0.25">
      <c r="A80" s="10" t="s">
        <v>506</v>
      </c>
      <c r="B80" s="10" t="s">
        <v>500</v>
      </c>
      <c r="C80" s="10" t="s">
        <v>501</v>
      </c>
      <c r="D80" s="11" t="s">
        <v>507</v>
      </c>
      <c r="E80" s="11" t="s">
        <v>508</v>
      </c>
      <c r="F80" s="10" t="s">
        <v>164</v>
      </c>
      <c r="G80" s="10"/>
      <c r="H80" s="11" t="s">
        <v>509</v>
      </c>
      <c r="I80" s="10"/>
      <c r="J80" s="10"/>
      <c r="K80" s="10" t="s">
        <v>114</v>
      </c>
      <c r="L80" s="10" t="s">
        <v>114</v>
      </c>
      <c r="M80" s="11" t="s">
        <v>510</v>
      </c>
      <c r="N80" s="11" t="s">
        <v>214</v>
      </c>
      <c r="O80" s="12" t="s">
        <v>116</v>
      </c>
      <c r="P80" s="12"/>
      <c r="Q80" s="10" t="str">
        <f t="shared" si="2"/>
        <v/>
      </c>
      <c r="R80" s="12"/>
      <c r="S80" s="13"/>
    </row>
    <row r="81" spans="1:19" ht="24" x14ac:dyDescent="0.25">
      <c r="A81" s="10" t="s">
        <v>511</v>
      </c>
      <c r="B81" s="10" t="s">
        <v>500</v>
      </c>
      <c r="C81" s="10" t="s">
        <v>501</v>
      </c>
      <c r="D81" s="11" t="s">
        <v>512</v>
      </c>
      <c r="E81" s="11" t="s">
        <v>513</v>
      </c>
      <c r="F81" s="10" t="s">
        <v>164</v>
      </c>
      <c r="G81" s="10"/>
      <c r="H81" s="11" t="s">
        <v>514</v>
      </c>
      <c r="I81" s="10"/>
      <c r="J81" s="10"/>
      <c r="K81" s="10" t="s">
        <v>114</v>
      </c>
      <c r="L81" s="10" t="s">
        <v>114</v>
      </c>
      <c r="M81" s="11" t="s">
        <v>515</v>
      </c>
      <c r="N81" s="11" t="s">
        <v>214</v>
      </c>
      <c r="O81" s="12" t="s">
        <v>116</v>
      </c>
      <c r="P81" s="12"/>
      <c r="Q81" s="10" t="str">
        <f t="shared" si="2"/>
        <v/>
      </c>
      <c r="R81" s="12"/>
      <c r="S81" s="13"/>
    </row>
    <row r="82" spans="1:19" ht="24" x14ac:dyDescent="0.25">
      <c r="A82" s="10" t="s">
        <v>516</v>
      </c>
      <c r="B82" s="10" t="s">
        <v>500</v>
      </c>
      <c r="C82" s="10" t="s">
        <v>517</v>
      </c>
      <c r="D82" s="11" t="s">
        <v>518</v>
      </c>
      <c r="E82" s="11" t="s">
        <v>519</v>
      </c>
      <c r="F82" s="10" t="s">
        <v>112</v>
      </c>
      <c r="G82" s="10"/>
      <c r="H82" s="11" t="s">
        <v>520</v>
      </c>
      <c r="I82" s="10"/>
      <c r="J82" s="10"/>
      <c r="K82" s="10" t="s">
        <v>114</v>
      </c>
      <c r="L82" s="10" t="s">
        <v>114</v>
      </c>
      <c r="M82" s="11" t="s">
        <v>521</v>
      </c>
      <c r="N82" s="11" t="s">
        <v>233</v>
      </c>
      <c r="O82" s="12" t="s">
        <v>116</v>
      </c>
      <c r="P82" s="12"/>
      <c r="Q82" s="10" t="str">
        <f t="shared" si="2"/>
        <v/>
      </c>
      <c r="R82" s="12"/>
      <c r="S82" s="13"/>
    </row>
    <row r="83" spans="1:19" ht="24" x14ac:dyDescent="0.25">
      <c r="A83" s="10" t="s">
        <v>522</v>
      </c>
      <c r="B83" s="10" t="s">
        <v>500</v>
      </c>
      <c r="C83" s="10" t="s">
        <v>523</v>
      </c>
      <c r="D83" s="11" t="s">
        <v>524</v>
      </c>
      <c r="E83" s="11" t="s">
        <v>525</v>
      </c>
      <c r="F83" s="10" t="s">
        <v>112</v>
      </c>
      <c r="G83" s="10"/>
      <c r="H83" s="11" t="s">
        <v>526</v>
      </c>
      <c r="I83" s="10"/>
      <c r="J83" s="10"/>
      <c r="K83" s="10" t="s">
        <v>114</v>
      </c>
      <c r="L83" s="10" t="s">
        <v>114</v>
      </c>
      <c r="M83" s="11"/>
      <c r="N83" s="11" t="s">
        <v>115</v>
      </c>
      <c r="O83" s="12" t="s">
        <v>116</v>
      </c>
      <c r="P83" s="12"/>
      <c r="Q83" s="10" t="str">
        <f t="shared" si="2"/>
        <v/>
      </c>
      <c r="R83" s="12"/>
      <c r="S83" s="13"/>
    </row>
    <row r="84" spans="1:19" ht="36" x14ac:dyDescent="0.25">
      <c r="A84" s="10" t="s">
        <v>527</v>
      </c>
      <c r="B84" s="10" t="s">
        <v>500</v>
      </c>
      <c r="C84" s="10" t="s">
        <v>523</v>
      </c>
      <c r="D84" s="11" t="s">
        <v>528</v>
      </c>
      <c r="E84" s="11" t="s">
        <v>529</v>
      </c>
      <c r="F84" s="10" t="s">
        <v>140</v>
      </c>
      <c r="G84" s="10" t="s">
        <v>530</v>
      </c>
      <c r="H84" s="11" t="s">
        <v>531</v>
      </c>
      <c r="I84" s="10">
        <v>150</v>
      </c>
      <c r="J84" s="10"/>
      <c r="K84" s="10" t="s">
        <v>114</v>
      </c>
      <c r="L84" s="10" t="s">
        <v>122</v>
      </c>
      <c r="M84" s="11"/>
      <c r="N84" s="11" t="s">
        <v>115</v>
      </c>
      <c r="O84" s="12" t="s">
        <v>116</v>
      </c>
      <c r="P84" s="12"/>
      <c r="Q84" s="10" t="str">
        <f t="shared" si="2"/>
        <v>Sin dato</v>
      </c>
      <c r="R84" s="12"/>
      <c r="S84" s="13"/>
    </row>
    <row r="85" spans="1:19" ht="24" x14ac:dyDescent="0.25">
      <c r="A85" s="10" t="s">
        <v>532</v>
      </c>
      <c r="B85" s="10" t="s">
        <v>500</v>
      </c>
      <c r="C85" s="10" t="s">
        <v>533</v>
      </c>
      <c r="D85" s="11" t="s">
        <v>534</v>
      </c>
      <c r="E85" s="11" t="s">
        <v>535</v>
      </c>
      <c r="F85" s="10" t="s">
        <v>140</v>
      </c>
      <c r="G85" s="10" t="s">
        <v>472</v>
      </c>
      <c r="H85" s="11" t="s">
        <v>536</v>
      </c>
      <c r="I85" s="10">
        <v>5</v>
      </c>
      <c r="J85" s="10">
        <v>40</v>
      </c>
      <c r="K85" s="10" t="s">
        <v>114</v>
      </c>
      <c r="L85" s="10" t="s">
        <v>122</v>
      </c>
      <c r="M85" s="11"/>
      <c r="N85" s="11" t="s">
        <v>115</v>
      </c>
      <c r="O85" s="12" t="s">
        <v>116</v>
      </c>
      <c r="P85" s="12"/>
      <c r="Q85" s="10" t="str">
        <f t="shared" si="2"/>
        <v>Sin dato</v>
      </c>
      <c r="R85" s="12"/>
      <c r="S85" s="13"/>
    </row>
    <row r="86" spans="1:19" ht="24" x14ac:dyDescent="0.25">
      <c r="A86" s="10" t="s">
        <v>537</v>
      </c>
      <c r="B86" s="10" t="s">
        <v>500</v>
      </c>
      <c r="C86" s="10" t="s">
        <v>533</v>
      </c>
      <c r="D86" s="11" t="s">
        <v>538</v>
      </c>
      <c r="E86" s="11" t="s">
        <v>539</v>
      </c>
      <c r="F86" s="10" t="s">
        <v>140</v>
      </c>
      <c r="G86" s="10" t="s">
        <v>540</v>
      </c>
      <c r="H86" s="11" t="s">
        <v>541</v>
      </c>
      <c r="I86" s="10">
        <v>0</v>
      </c>
      <c r="J86" s="10">
        <v>80</v>
      </c>
      <c r="K86" s="10" t="s">
        <v>114</v>
      </c>
      <c r="L86" s="10" t="s">
        <v>122</v>
      </c>
      <c r="M86" s="11"/>
      <c r="N86" s="11" t="s">
        <v>115</v>
      </c>
      <c r="O86" s="12" t="s">
        <v>116</v>
      </c>
      <c r="P86" s="12"/>
      <c r="Q86" s="10" t="str">
        <f t="shared" si="2"/>
        <v>Sin dato</v>
      </c>
      <c r="R86" s="12"/>
      <c r="S86" s="13"/>
    </row>
    <row r="87" spans="1:19" ht="24" x14ac:dyDescent="0.25">
      <c r="A87" s="10" t="s">
        <v>542</v>
      </c>
      <c r="B87" s="10" t="s">
        <v>500</v>
      </c>
      <c r="C87" s="10" t="s">
        <v>533</v>
      </c>
      <c r="D87" s="11" t="s">
        <v>543</v>
      </c>
      <c r="E87" s="11" t="s">
        <v>544</v>
      </c>
      <c r="F87" s="10" t="s">
        <v>140</v>
      </c>
      <c r="G87" s="10" t="s">
        <v>540</v>
      </c>
      <c r="H87" s="11" t="s">
        <v>545</v>
      </c>
      <c r="I87" s="10">
        <v>0</v>
      </c>
      <c r="J87" s="10">
        <v>50</v>
      </c>
      <c r="K87" s="10" t="s">
        <v>114</v>
      </c>
      <c r="L87" s="10" t="s">
        <v>122</v>
      </c>
      <c r="M87" s="11"/>
      <c r="N87" s="11" t="s">
        <v>115</v>
      </c>
      <c r="O87" s="12" t="s">
        <v>116</v>
      </c>
      <c r="P87" s="12"/>
      <c r="Q87" s="10" t="str">
        <f t="shared" si="2"/>
        <v>Sin dato</v>
      </c>
      <c r="R87" s="12"/>
      <c r="S87" s="13"/>
    </row>
    <row r="88" spans="1:19" ht="24" x14ac:dyDescent="0.25">
      <c r="A88" s="10" t="s">
        <v>546</v>
      </c>
      <c r="B88" s="10" t="s">
        <v>500</v>
      </c>
      <c r="C88" s="10" t="s">
        <v>547</v>
      </c>
      <c r="D88" s="11" t="s">
        <v>548</v>
      </c>
      <c r="E88" s="11" t="s">
        <v>549</v>
      </c>
      <c r="F88" s="10" t="s">
        <v>140</v>
      </c>
      <c r="G88" s="10" t="s">
        <v>396</v>
      </c>
      <c r="H88" s="11" t="s">
        <v>550</v>
      </c>
      <c r="I88" s="10">
        <v>198</v>
      </c>
      <c r="J88" s="10">
        <v>264</v>
      </c>
      <c r="K88" s="10" t="s">
        <v>114</v>
      </c>
      <c r="L88" s="10" t="s">
        <v>122</v>
      </c>
      <c r="M88" s="11"/>
      <c r="N88" s="11" t="s">
        <v>115</v>
      </c>
      <c r="O88" s="12" t="s">
        <v>116</v>
      </c>
      <c r="P88" s="12"/>
      <c r="Q88" s="10" t="str">
        <f t="shared" si="2"/>
        <v>Sin dato</v>
      </c>
      <c r="R88" s="12"/>
      <c r="S88" s="13"/>
    </row>
  </sheetData>
  <autoFilter ref="A8:S88" xr:uid="{00000000-0009-0000-0000-000001000000}"/>
  <conditionalFormatting sqref="O9:O88">
    <cfRule type="cellIs" dxfId="15" priority="1" operator="equal">
      <formula>"Conforme"</formula>
    </cfRule>
    <cfRule type="cellIs" dxfId="14" priority="2" operator="equal">
      <formula>"No conforme"</formula>
    </cfRule>
    <cfRule type="cellIs" dxfId="13" priority="3" operator="equal">
      <formula>"Requiere reemplazo"</formula>
    </cfRule>
  </conditionalFormatting>
  <conditionalFormatting sqref="Q9:Q88">
    <cfRule type="cellIs" dxfId="12" priority="4" operator="equal">
      <formula>"Fuera de rango"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100-000000000000}">
          <x14:formula1>
            <xm:f>Listas!$A$2:$A$6</xm:f>
          </x14:formula1>
          <xm:sqref>O9:O88</xm:sqref>
        </x14:dataValidation>
        <x14:dataValidation type="list" allowBlank="1" xr:uid="{00000000-0002-0000-0100-000001000000}">
          <x14:formula1>
            <xm:f>Listas!$B$2:$B$4</xm:f>
          </x14:formula1>
          <xm:sqref>R9:R88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04"/>
  <sheetViews>
    <sheetView showGridLines="0" workbookViewId="0">
      <pane xSplit="4" ySplit="8" topLeftCell="E9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9" customWidth="1"/>
    <col min="2" max="2" width="30" customWidth="1"/>
    <col min="3" max="3" width="32" customWidth="1"/>
    <col min="4" max="4" width="34" customWidth="1"/>
    <col min="5" max="5" width="46" customWidth="1"/>
    <col min="6" max="6" width="14" customWidth="1"/>
    <col min="7" max="7" width="10" customWidth="1"/>
    <col min="8" max="8" width="52" customWidth="1"/>
    <col min="9" max="10" width="10" customWidth="1"/>
    <col min="11" max="11" width="11" customWidth="1"/>
    <col min="12" max="12" width="14" customWidth="1"/>
    <col min="13" max="13" width="30" customWidth="1"/>
    <col min="14" max="14" width="34" customWidth="1"/>
    <col min="15" max="15" width="19" customWidth="1"/>
    <col min="16" max="16" width="13" customWidth="1"/>
    <col min="17" max="17" width="17" customWidth="1"/>
    <col min="18" max="18" width="12" customWidth="1"/>
    <col min="19" max="19" width="46" customWidth="1"/>
  </cols>
  <sheetData>
    <row r="1" spans="1:19" ht="18" customHeight="1" x14ac:dyDescent="0.25">
      <c r="A1" s="5" t="s">
        <v>551</v>
      </c>
    </row>
    <row r="3" spans="1:19" x14ac:dyDescent="0.25">
      <c r="A3" s="6" t="s">
        <v>78</v>
      </c>
      <c r="B3" s="7"/>
      <c r="D3" s="6" t="s">
        <v>79</v>
      </c>
      <c r="E3" s="7" t="s">
        <v>552</v>
      </c>
    </row>
    <row r="4" spans="1:19" x14ac:dyDescent="0.25">
      <c r="A4" s="6" t="s">
        <v>81</v>
      </c>
      <c r="B4" s="7"/>
      <c r="D4" s="6" t="s">
        <v>82</v>
      </c>
      <c r="E4" s="7"/>
    </row>
    <row r="5" spans="1:19" x14ac:dyDescent="0.25">
      <c r="A5" s="6" t="s">
        <v>83</v>
      </c>
      <c r="B5" s="8" t="s">
        <v>553</v>
      </c>
      <c r="D5" s="6" t="s">
        <v>85</v>
      </c>
      <c r="E5" s="7"/>
    </row>
    <row r="6" spans="1:19" x14ac:dyDescent="0.25">
      <c r="A6" s="6" t="s">
        <v>86</v>
      </c>
      <c r="B6" s="7"/>
      <c r="D6" s="6" t="s">
        <v>87</v>
      </c>
      <c r="E6" s="7"/>
    </row>
    <row r="8" spans="1:19" ht="31.5" customHeight="1" x14ac:dyDescent="0.25">
      <c r="A8" s="9" t="s">
        <v>88</v>
      </c>
      <c r="B8" s="9" t="s">
        <v>89</v>
      </c>
      <c r="C8" s="9" t="s">
        <v>90</v>
      </c>
      <c r="D8" s="9" t="s">
        <v>91</v>
      </c>
      <c r="E8" s="9" t="s">
        <v>92</v>
      </c>
      <c r="F8" s="9" t="s">
        <v>93</v>
      </c>
      <c r="G8" s="9" t="s">
        <v>94</v>
      </c>
      <c r="H8" s="9" t="s">
        <v>95</v>
      </c>
      <c r="I8" s="9" t="s">
        <v>96</v>
      </c>
      <c r="J8" s="9" t="s">
        <v>97</v>
      </c>
      <c r="K8" s="9" t="s">
        <v>98</v>
      </c>
      <c r="L8" s="9" t="s">
        <v>99</v>
      </c>
      <c r="M8" s="9" t="s">
        <v>100</v>
      </c>
      <c r="N8" s="9" t="s">
        <v>101</v>
      </c>
      <c r="O8" s="9" t="s">
        <v>102</v>
      </c>
      <c r="P8" s="9" t="s">
        <v>103</v>
      </c>
      <c r="Q8" s="9" t="s">
        <v>104</v>
      </c>
      <c r="R8" s="9" t="s">
        <v>105</v>
      </c>
      <c r="S8" s="9" t="s">
        <v>106</v>
      </c>
    </row>
    <row r="9" spans="1:19" ht="36" customHeight="1" x14ac:dyDescent="0.25">
      <c r="A9" s="10" t="s">
        <v>107</v>
      </c>
      <c r="B9" s="10" t="s">
        <v>108</v>
      </c>
      <c r="C9" s="10" t="s">
        <v>109</v>
      </c>
      <c r="D9" s="11" t="s">
        <v>554</v>
      </c>
      <c r="E9" s="11" t="s">
        <v>555</v>
      </c>
      <c r="F9" s="10" t="s">
        <v>112</v>
      </c>
      <c r="G9" s="10"/>
      <c r="H9" s="11" t="s">
        <v>556</v>
      </c>
      <c r="I9" s="10"/>
      <c r="J9" s="10"/>
      <c r="K9" s="10" t="s">
        <v>114</v>
      </c>
      <c r="L9" s="10" t="s">
        <v>114</v>
      </c>
      <c r="M9" s="11"/>
      <c r="N9" s="11" t="s">
        <v>557</v>
      </c>
      <c r="O9" s="12" t="s">
        <v>116</v>
      </c>
      <c r="P9" s="12"/>
      <c r="Q9" s="10" t="str">
        <f t="shared" ref="Q9:Q40" si="0">IF($F9&lt;&gt;"Numérico","",IF($P9="","Sin dato",IF(AND(OR(NOT(ISNUMBER($I9)),$P9&gt;=$I9),OR(NOT(ISNUMBER($J9)),$P9&lt;=$J9)),"Dentro de rango","Fuera de rango")))</f>
        <v/>
      </c>
      <c r="R9" s="12"/>
      <c r="S9" s="13"/>
    </row>
    <row r="10" spans="1:19" ht="36" customHeight="1" x14ac:dyDescent="0.25">
      <c r="A10" s="10" t="s">
        <v>129</v>
      </c>
      <c r="B10" s="10" t="s">
        <v>108</v>
      </c>
      <c r="C10" s="10" t="s">
        <v>130</v>
      </c>
      <c r="D10" s="11" t="s">
        <v>558</v>
      </c>
      <c r="E10" s="11" t="s">
        <v>559</v>
      </c>
      <c r="F10" s="10" t="s">
        <v>112</v>
      </c>
      <c r="G10" s="10"/>
      <c r="H10" s="11" t="s">
        <v>560</v>
      </c>
      <c r="I10" s="10"/>
      <c r="J10" s="10"/>
      <c r="K10" s="10" t="s">
        <v>114</v>
      </c>
      <c r="L10" s="10" t="s">
        <v>114</v>
      </c>
      <c r="M10" s="11"/>
      <c r="N10" s="11" t="s">
        <v>557</v>
      </c>
      <c r="O10" s="12" t="s">
        <v>116</v>
      </c>
      <c r="P10" s="12"/>
      <c r="Q10" s="10" t="str">
        <f t="shared" si="0"/>
        <v/>
      </c>
      <c r="R10" s="12"/>
      <c r="S10" s="13"/>
    </row>
    <row r="11" spans="1:19" ht="36" customHeight="1" x14ac:dyDescent="0.25">
      <c r="A11" s="10" t="s">
        <v>561</v>
      </c>
      <c r="B11" s="10" t="s">
        <v>108</v>
      </c>
      <c r="C11" s="10" t="s">
        <v>130</v>
      </c>
      <c r="D11" s="11" t="s">
        <v>562</v>
      </c>
      <c r="E11" s="11" t="s">
        <v>563</v>
      </c>
      <c r="F11" s="10" t="s">
        <v>120</v>
      </c>
      <c r="G11" s="10"/>
      <c r="H11" s="11" t="s">
        <v>564</v>
      </c>
      <c r="I11" s="10"/>
      <c r="J11" s="10"/>
      <c r="K11" s="10" t="s">
        <v>114</v>
      </c>
      <c r="L11" s="10" t="s">
        <v>122</v>
      </c>
      <c r="M11" s="11"/>
      <c r="N11" s="11" t="s">
        <v>557</v>
      </c>
      <c r="O11" s="12" t="s">
        <v>116</v>
      </c>
      <c r="P11" s="12"/>
      <c r="Q11" s="10" t="str">
        <f t="shared" si="0"/>
        <v/>
      </c>
      <c r="R11" s="12"/>
      <c r="S11" s="13"/>
    </row>
    <row r="12" spans="1:19" ht="36" customHeight="1" x14ac:dyDescent="0.25">
      <c r="A12" s="10" t="s">
        <v>565</v>
      </c>
      <c r="B12" s="10" t="s">
        <v>108</v>
      </c>
      <c r="C12" s="10" t="s">
        <v>130</v>
      </c>
      <c r="D12" s="11" t="s">
        <v>566</v>
      </c>
      <c r="E12" s="11" t="s">
        <v>567</v>
      </c>
      <c r="F12" s="10" t="s">
        <v>133</v>
      </c>
      <c r="G12" s="10"/>
      <c r="H12" s="11" t="s">
        <v>568</v>
      </c>
      <c r="I12" s="10"/>
      <c r="J12" s="10"/>
      <c r="K12" s="10" t="s">
        <v>114</v>
      </c>
      <c r="L12" s="10" t="s">
        <v>122</v>
      </c>
      <c r="M12" s="11"/>
      <c r="N12" s="11" t="s">
        <v>135</v>
      </c>
      <c r="O12" s="12" t="s">
        <v>116</v>
      </c>
      <c r="P12" s="12"/>
      <c r="Q12" s="10" t="str">
        <f t="shared" si="0"/>
        <v/>
      </c>
      <c r="R12" s="12"/>
      <c r="S12" s="13"/>
    </row>
    <row r="13" spans="1:19" ht="36" customHeight="1" x14ac:dyDescent="0.25">
      <c r="A13" s="10" t="s">
        <v>136</v>
      </c>
      <c r="B13" s="10" t="s">
        <v>108</v>
      </c>
      <c r="C13" s="10" t="s">
        <v>137</v>
      </c>
      <c r="D13" s="11" t="s">
        <v>569</v>
      </c>
      <c r="E13" s="11" t="s">
        <v>570</v>
      </c>
      <c r="F13" s="10" t="s">
        <v>140</v>
      </c>
      <c r="G13" s="10" t="s">
        <v>141</v>
      </c>
      <c r="H13" s="11" t="s">
        <v>571</v>
      </c>
      <c r="I13" s="10">
        <v>3</v>
      </c>
      <c r="J13" s="10">
        <v>48</v>
      </c>
      <c r="K13" s="10" t="s">
        <v>114</v>
      </c>
      <c r="L13" s="10" t="s">
        <v>122</v>
      </c>
      <c r="M13" s="11"/>
      <c r="N13" s="11" t="s">
        <v>557</v>
      </c>
      <c r="O13" s="12" t="s">
        <v>116</v>
      </c>
      <c r="P13" s="12"/>
      <c r="Q13" s="10" t="str">
        <f t="shared" si="0"/>
        <v>Sin dato</v>
      </c>
      <c r="R13" s="12"/>
      <c r="S13" s="13"/>
    </row>
    <row r="14" spans="1:19" ht="36" customHeight="1" x14ac:dyDescent="0.25">
      <c r="A14" s="10" t="s">
        <v>572</v>
      </c>
      <c r="B14" s="10" t="s">
        <v>108</v>
      </c>
      <c r="C14" s="10" t="s">
        <v>137</v>
      </c>
      <c r="D14" s="11" t="s">
        <v>573</v>
      </c>
      <c r="E14" s="11" t="s">
        <v>574</v>
      </c>
      <c r="F14" s="10" t="s">
        <v>140</v>
      </c>
      <c r="G14" s="10" t="s">
        <v>197</v>
      </c>
      <c r="H14" s="11" t="s">
        <v>575</v>
      </c>
      <c r="I14" s="10">
        <v>0</v>
      </c>
      <c r="J14" s="10">
        <v>30</v>
      </c>
      <c r="K14" s="10" t="s">
        <v>114</v>
      </c>
      <c r="L14" s="10" t="s">
        <v>122</v>
      </c>
      <c r="M14" s="11"/>
      <c r="N14" s="11" t="s">
        <v>557</v>
      </c>
      <c r="O14" s="12" t="s">
        <v>116</v>
      </c>
      <c r="P14" s="12"/>
      <c r="Q14" s="10" t="str">
        <f t="shared" si="0"/>
        <v>Sin dato</v>
      </c>
      <c r="R14" s="12"/>
      <c r="S14" s="13"/>
    </row>
    <row r="15" spans="1:19" ht="36" customHeight="1" x14ac:dyDescent="0.25">
      <c r="A15" s="10" t="s">
        <v>144</v>
      </c>
      <c r="B15" s="10" t="s">
        <v>145</v>
      </c>
      <c r="C15" s="10" t="s">
        <v>146</v>
      </c>
      <c r="D15" s="11" t="s">
        <v>576</v>
      </c>
      <c r="E15" s="11" t="s">
        <v>577</v>
      </c>
      <c r="F15" s="10" t="s">
        <v>133</v>
      </c>
      <c r="G15" s="10"/>
      <c r="H15" s="11" t="s">
        <v>578</v>
      </c>
      <c r="I15" s="10"/>
      <c r="J15" s="10"/>
      <c r="K15" s="10" t="s">
        <v>114</v>
      </c>
      <c r="L15" s="10" t="s">
        <v>122</v>
      </c>
      <c r="M15" s="11"/>
      <c r="N15" s="11" t="s">
        <v>579</v>
      </c>
      <c r="O15" s="12" t="s">
        <v>116</v>
      </c>
      <c r="P15" s="12"/>
      <c r="Q15" s="10" t="str">
        <f t="shared" si="0"/>
        <v/>
      </c>
      <c r="R15" s="12"/>
      <c r="S15" s="13"/>
    </row>
    <row r="16" spans="1:19" ht="36" customHeight="1" x14ac:dyDescent="0.25">
      <c r="A16" s="10" t="s">
        <v>151</v>
      </c>
      <c r="B16" s="10" t="s">
        <v>145</v>
      </c>
      <c r="C16" s="10" t="s">
        <v>146</v>
      </c>
      <c r="D16" s="11" t="s">
        <v>580</v>
      </c>
      <c r="E16" s="11" t="s">
        <v>581</v>
      </c>
      <c r="F16" s="10" t="s">
        <v>133</v>
      </c>
      <c r="G16" s="10"/>
      <c r="H16" s="11" t="s">
        <v>582</v>
      </c>
      <c r="I16" s="10"/>
      <c r="J16" s="10"/>
      <c r="K16" s="10" t="s">
        <v>114</v>
      </c>
      <c r="L16" s="10" t="s">
        <v>122</v>
      </c>
      <c r="M16" s="11"/>
      <c r="N16" s="11" t="s">
        <v>135</v>
      </c>
      <c r="O16" s="12" t="s">
        <v>116</v>
      </c>
      <c r="P16" s="12"/>
      <c r="Q16" s="10" t="str">
        <f t="shared" si="0"/>
        <v/>
      </c>
      <c r="R16" s="12"/>
      <c r="S16" s="13"/>
    </row>
    <row r="17" spans="1:19" ht="36" customHeight="1" x14ac:dyDescent="0.25">
      <c r="A17" s="10" t="s">
        <v>155</v>
      </c>
      <c r="B17" s="10" t="s">
        <v>145</v>
      </c>
      <c r="C17" s="10" t="s">
        <v>583</v>
      </c>
      <c r="D17" s="11" t="s">
        <v>584</v>
      </c>
      <c r="E17" s="11" t="s">
        <v>585</v>
      </c>
      <c r="F17" s="10" t="s">
        <v>164</v>
      </c>
      <c r="G17" s="10"/>
      <c r="H17" s="11" t="s">
        <v>586</v>
      </c>
      <c r="I17" s="10"/>
      <c r="J17" s="10"/>
      <c r="K17" s="10" t="s">
        <v>114</v>
      </c>
      <c r="L17" s="10" t="s">
        <v>114</v>
      </c>
      <c r="M17" s="11"/>
      <c r="N17" s="11" t="s">
        <v>587</v>
      </c>
      <c r="O17" s="12" t="s">
        <v>116</v>
      </c>
      <c r="P17" s="12"/>
      <c r="Q17" s="10" t="str">
        <f t="shared" si="0"/>
        <v/>
      </c>
      <c r="R17" s="12"/>
      <c r="S17" s="13"/>
    </row>
    <row r="18" spans="1:19" ht="36" customHeight="1" x14ac:dyDescent="0.25">
      <c r="A18" s="10" t="s">
        <v>588</v>
      </c>
      <c r="B18" s="10" t="s">
        <v>145</v>
      </c>
      <c r="C18" s="10" t="s">
        <v>583</v>
      </c>
      <c r="D18" s="11" t="s">
        <v>589</v>
      </c>
      <c r="E18" s="11" t="s">
        <v>590</v>
      </c>
      <c r="F18" s="10" t="s">
        <v>164</v>
      </c>
      <c r="G18" s="10"/>
      <c r="H18" s="11" t="s">
        <v>591</v>
      </c>
      <c r="I18" s="10"/>
      <c r="J18" s="10"/>
      <c r="K18" s="10" t="s">
        <v>114</v>
      </c>
      <c r="L18" s="10" t="s">
        <v>114</v>
      </c>
      <c r="M18" s="11"/>
      <c r="N18" s="11" t="s">
        <v>587</v>
      </c>
      <c r="O18" s="12" t="s">
        <v>116</v>
      </c>
      <c r="P18" s="12"/>
      <c r="Q18" s="10" t="str">
        <f t="shared" si="0"/>
        <v/>
      </c>
      <c r="R18" s="12"/>
      <c r="S18" s="13"/>
    </row>
    <row r="19" spans="1:19" ht="36" customHeight="1" x14ac:dyDescent="0.25">
      <c r="A19" s="10" t="s">
        <v>171</v>
      </c>
      <c r="B19" s="10" t="s">
        <v>172</v>
      </c>
      <c r="C19" s="10" t="s">
        <v>173</v>
      </c>
      <c r="D19" s="11" t="s">
        <v>592</v>
      </c>
      <c r="E19" s="11" t="s">
        <v>593</v>
      </c>
      <c r="F19" s="10" t="s">
        <v>140</v>
      </c>
      <c r="G19" s="10" t="s">
        <v>176</v>
      </c>
      <c r="H19" s="11" t="s">
        <v>594</v>
      </c>
      <c r="I19" s="10">
        <v>-3500</v>
      </c>
      <c r="J19" s="10">
        <v>3500</v>
      </c>
      <c r="K19" s="10" t="s">
        <v>114</v>
      </c>
      <c r="L19" s="10" t="s">
        <v>122</v>
      </c>
      <c r="M19" s="11"/>
      <c r="N19" s="11" t="s">
        <v>557</v>
      </c>
      <c r="O19" s="12" t="s">
        <v>116</v>
      </c>
      <c r="P19" s="12"/>
      <c r="Q19" s="10" t="str">
        <f t="shared" si="0"/>
        <v>Sin dato</v>
      </c>
      <c r="R19" s="12"/>
      <c r="S19" s="13"/>
    </row>
    <row r="20" spans="1:19" ht="36" customHeight="1" x14ac:dyDescent="0.25">
      <c r="A20" s="10" t="s">
        <v>178</v>
      </c>
      <c r="B20" s="10" t="s">
        <v>172</v>
      </c>
      <c r="C20" s="10" t="s">
        <v>173</v>
      </c>
      <c r="D20" s="11" t="s">
        <v>595</v>
      </c>
      <c r="E20" s="11" t="s">
        <v>596</v>
      </c>
      <c r="F20" s="10" t="s">
        <v>140</v>
      </c>
      <c r="G20" s="10"/>
      <c r="H20" s="11" t="s">
        <v>597</v>
      </c>
      <c r="I20" s="10">
        <v>0.5</v>
      </c>
      <c r="J20" s="10">
        <v>2</v>
      </c>
      <c r="K20" s="10" t="s">
        <v>114</v>
      </c>
      <c r="L20" s="10" t="s">
        <v>122</v>
      </c>
      <c r="M20" s="11"/>
      <c r="N20" s="11" t="s">
        <v>557</v>
      </c>
      <c r="O20" s="12" t="s">
        <v>116</v>
      </c>
      <c r="P20" s="12"/>
      <c r="Q20" s="10" t="str">
        <f t="shared" si="0"/>
        <v>Sin dato</v>
      </c>
      <c r="R20" s="12"/>
      <c r="S20" s="13"/>
    </row>
    <row r="21" spans="1:19" ht="36" customHeight="1" x14ac:dyDescent="0.25">
      <c r="A21" s="10" t="s">
        <v>598</v>
      </c>
      <c r="B21" s="10" t="s">
        <v>172</v>
      </c>
      <c r="C21" s="10" t="s">
        <v>173</v>
      </c>
      <c r="D21" s="11" t="s">
        <v>599</v>
      </c>
      <c r="E21" s="11" t="s">
        <v>600</v>
      </c>
      <c r="F21" s="10" t="s">
        <v>140</v>
      </c>
      <c r="G21" s="10" t="s">
        <v>601</v>
      </c>
      <c r="H21" s="11" t="s">
        <v>602</v>
      </c>
      <c r="I21" s="10">
        <v>1.0000000000000001E-5</v>
      </c>
      <c r="J21" s="10">
        <v>99999</v>
      </c>
      <c r="K21" s="10" t="s">
        <v>114</v>
      </c>
      <c r="L21" s="10" t="s">
        <v>122</v>
      </c>
      <c r="M21" s="11"/>
      <c r="N21" s="11" t="s">
        <v>557</v>
      </c>
      <c r="O21" s="12" t="s">
        <v>116</v>
      </c>
      <c r="P21" s="12"/>
      <c r="Q21" s="10" t="str">
        <f t="shared" si="0"/>
        <v>Sin dato</v>
      </c>
      <c r="R21" s="12"/>
      <c r="S21" s="13"/>
    </row>
    <row r="22" spans="1:19" ht="36" customHeight="1" x14ac:dyDescent="0.25">
      <c r="A22" s="10" t="s">
        <v>182</v>
      </c>
      <c r="B22" s="10" t="s">
        <v>172</v>
      </c>
      <c r="C22" s="10" t="s">
        <v>183</v>
      </c>
      <c r="D22" s="11" t="s">
        <v>603</v>
      </c>
      <c r="E22" s="11" t="s">
        <v>604</v>
      </c>
      <c r="F22" s="10" t="s">
        <v>140</v>
      </c>
      <c r="G22" s="10" t="s">
        <v>605</v>
      </c>
      <c r="H22" s="11" t="s">
        <v>606</v>
      </c>
      <c r="I22" s="10">
        <v>-500</v>
      </c>
      <c r="J22" s="10">
        <v>500</v>
      </c>
      <c r="K22" s="10" t="s">
        <v>114</v>
      </c>
      <c r="L22" s="10" t="s">
        <v>122</v>
      </c>
      <c r="M22" s="11"/>
      <c r="N22" s="11" t="s">
        <v>557</v>
      </c>
      <c r="O22" s="12" t="s">
        <v>116</v>
      </c>
      <c r="P22" s="12"/>
      <c r="Q22" s="10" t="str">
        <f t="shared" si="0"/>
        <v>Sin dato</v>
      </c>
      <c r="R22" s="12"/>
      <c r="S22" s="13"/>
    </row>
    <row r="23" spans="1:19" ht="36" customHeight="1" x14ac:dyDescent="0.25">
      <c r="A23" s="10" t="s">
        <v>193</v>
      </c>
      <c r="B23" s="10" t="s">
        <v>172</v>
      </c>
      <c r="C23" s="10" t="s">
        <v>194</v>
      </c>
      <c r="D23" s="11" t="s">
        <v>607</v>
      </c>
      <c r="E23" s="11" t="s">
        <v>608</v>
      </c>
      <c r="F23" s="10" t="s">
        <v>140</v>
      </c>
      <c r="G23" s="10" t="s">
        <v>197</v>
      </c>
      <c r="H23" s="11" t="s">
        <v>609</v>
      </c>
      <c r="I23" s="10">
        <v>20</v>
      </c>
      <c r="J23" s="10">
        <v>999</v>
      </c>
      <c r="K23" s="10" t="s">
        <v>114</v>
      </c>
      <c r="L23" s="10" t="s">
        <v>122</v>
      </c>
      <c r="M23" s="11"/>
      <c r="N23" s="11" t="s">
        <v>557</v>
      </c>
      <c r="O23" s="12" t="s">
        <v>116</v>
      </c>
      <c r="P23" s="12"/>
      <c r="Q23" s="10" t="str">
        <f t="shared" si="0"/>
        <v>Sin dato</v>
      </c>
      <c r="R23" s="12"/>
      <c r="S23" s="13"/>
    </row>
    <row r="24" spans="1:19" ht="36" customHeight="1" x14ac:dyDescent="0.25">
      <c r="A24" s="10" t="s">
        <v>199</v>
      </c>
      <c r="B24" s="10" t="s">
        <v>172</v>
      </c>
      <c r="C24" s="10" t="s">
        <v>194</v>
      </c>
      <c r="D24" s="11" t="s">
        <v>610</v>
      </c>
      <c r="E24" s="11" t="s">
        <v>611</v>
      </c>
      <c r="F24" s="10" t="s">
        <v>140</v>
      </c>
      <c r="G24" s="10" t="s">
        <v>197</v>
      </c>
      <c r="H24" s="11" t="s">
        <v>612</v>
      </c>
      <c r="I24" s="10">
        <v>0</v>
      </c>
      <c r="J24" s="10">
        <v>999</v>
      </c>
      <c r="K24" s="10" t="s">
        <v>114</v>
      </c>
      <c r="L24" s="10" t="s">
        <v>122</v>
      </c>
      <c r="M24" s="11"/>
      <c r="N24" s="11" t="s">
        <v>557</v>
      </c>
      <c r="O24" s="12" t="s">
        <v>116</v>
      </c>
      <c r="P24" s="12"/>
      <c r="Q24" s="10" t="str">
        <f t="shared" si="0"/>
        <v>Sin dato</v>
      </c>
      <c r="R24" s="12"/>
      <c r="S24" s="13"/>
    </row>
    <row r="25" spans="1:19" ht="36" customHeight="1" x14ac:dyDescent="0.25">
      <c r="A25" s="10" t="s">
        <v>203</v>
      </c>
      <c r="B25" s="10" t="s">
        <v>172</v>
      </c>
      <c r="C25" s="10" t="s">
        <v>194</v>
      </c>
      <c r="D25" s="11" t="s">
        <v>613</v>
      </c>
      <c r="E25" s="11" t="s">
        <v>614</v>
      </c>
      <c r="F25" s="10" t="s">
        <v>120</v>
      </c>
      <c r="G25" s="10"/>
      <c r="H25" s="11" t="s">
        <v>615</v>
      </c>
      <c r="I25" s="10"/>
      <c r="J25" s="10"/>
      <c r="K25" s="10" t="s">
        <v>114</v>
      </c>
      <c r="L25" s="10" t="s">
        <v>122</v>
      </c>
      <c r="M25" s="11"/>
      <c r="N25" s="11" t="s">
        <v>557</v>
      </c>
      <c r="O25" s="12" t="s">
        <v>116</v>
      </c>
      <c r="P25" s="12"/>
      <c r="Q25" s="10" t="str">
        <f t="shared" si="0"/>
        <v/>
      </c>
      <c r="R25" s="12"/>
      <c r="S25" s="13"/>
    </row>
    <row r="26" spans="1:19" ht="36" customHeight="1" x14ac:dyDescent="0.25">
      <c r="A26" s="10" t="s">
        <v>616</v>
      </c>
      <c r="B26" s="10" t="s">
        <v>172</v>
      </c>
      <c r="C26" s="10" t="s">
        <v>617</v>
      </c>
      <c r="D26" s="11" t="s">
        <v>618</v>
      </c>
      <c r="E26" s="11" t="s">
        <v>619</v>
      </c>
      <c r="F26" s="10" t="s">
        <v>140</v>
      </c>
      <c r="G26" s="10" t="s">
        <v>620</v>
      </c>
      <c r="H26" s="11" t="s">
        <v>621</v>
      </c>
      <c r="I26" s="10">
        <v>-1</v>
      </c>
      <c r="J26" s="10">
        <v>1</v>
      </c>
      <c r="K26" s="10" t="s">
        <v>114</v>
      </c>
      <c r="L26" s="10" t="s">
        <v>122</v>
      </c>
      <c r="M26" s="11"/>
      <c r="N26" s="11" t="s">
        <v>557</v>
      </c>
      <c r="O26" s="12" t="s">
        <v>116</v>
      </c>
      <c r="P26" s="12"/>
      <c r="Q26" s="10" t="str">
        <f t="shared" si="0"/>
        <v>Sin dato</v>
      </c>
      <c r="R26" s="12"/>
      <c r="S26" s="13"/>
    </row>
    <row r="27" spans="1:19" ht="36" customHeight="1" x14ac:dyDescent="0.25">
      <c r="A27" s="10" t="s">
        <v>622</v>
      </c>
      <c r="B27" s="10" t="s">
        <v>172</v>
      </c>
      <c r="C27" s="10" t="s">
        <v>617</v>
      </c>
      <c r="D27" s="11" t="s">
        <v>623</v>
      </c>
      <c r="E27" s="11" t="s">
        <v>624</v>
      </c>
      <c r="F27" s="10" t="s">
        <v>140</v>
      </c>
      <c r="G27" s="10" t="s">
        <v>625</v>
      </c>
      <c r="H27" s="11" t="s">
        <v>626</v>
      </c>
      <c r="I27" s="10">
        <v>-1</v>
      </c>
      <c r="J27" s="10">
        <v>1</v>
      </c>
      <c r="K27" s="10" t="s">
        <v>114</v>
      </c>
      <c r="L27" s="10" t="s">
        <v>122</v>
      </c>
      <c r="M27" s="11"/>
      <c r="N27" s="11" t="s">
        <v>557</v>
      </c>
      <c r="O27" s="12" t="s">
        <v>116</v>
      </c>
      <c r="P27" s="12"/>
      <c r="Q27" s="10" t="str">
        <f t="shared" si="0"/>
        <v>Sin dato</v>
      </c>
      <c r="R27" s="12"/>
      <c r="S27" s="13"/>
    </row>
    <row r="28" spans="1:19" ht="36" customHeight="1" x14ac:dyDescent="0.25">
      <c r="A28" s="10" t="s">
        <v>627</v>
      </c>
      <c r="B28" s="10" t="s">
        <v>172</v>
      </c>
      <c r="C28" s="10" t="s">
        <v>617</v>
      </c>
      <c r="D28" s="11" t="s">
        <v>628</v>
      </c>
      <c r="E28" s="11" t="s">
        <v>629</v>
      </c>
      <c r="F28" s="10" t="s">
        <v>140</v>
      </c>
      <c r="G28" s="10" t="s">
        <v>630</v>
      </c>
      <c r="H28" s="11" t="s">
        <v>631</v>
      </c>
      <c r="I28" s="10">
        <v>-1</v>
      </c>
      <c r="J28" s="10">
        <v>1</v>
      </c>
      <c r="K28" s="10" t="s">
        <v>114</v>
      </c>
      <c r="L28" s="10" t="s">
        <v>122</v>
      </c>
      <c r="M28" s="11"/>
      <c r="N28" s="11" t="s">
        <v>557</v>
      </c>
      <c r="O28" s="12" t="s">
        <v>116</v>
      </c>
      <c r="P28" s="12"/>
      <c r="Q28" s="10" t="str">
        <f t="shared" si="0"/>
        <v>Sin dato</v>
      </c>
      <c r="R28" s="12"/>
      <c r="S28" s="13"/>
    </row>
    <row r="29" spans="1:19" ht="36" customHeight="1" x14ac:dyDescent="0.25">
      <c r="A29" s="10" t="s">
        <v>632</v>
      </c>
      <c r="B29" s="10" t="s">
        <v>172</v>
      </c>
      <c r="C29" s="10" t="s">
        <v>617</v>
      </c>
      <c r="D29" s="11" t="s">
        <v>633</v>
      </c>
      <c r="E29" s="11" t="s">
        <v>634</v>
      </c>
      <c r="F29" s="10" t="s">
        <v>140</v>
      </c>
      <c r="G29" s="10" t="s">
        <v>630</v>
      </c>
      <c r="H29" s="11" t="s">
        <v>635</v>
      </c>
      <c r="I29" s="10">
        <v>-2</v>
      </c>
      <c r="J29" s="10">
        <v>2</v>
      </c>
      <c r="K29" s="10" t="s">
        <v>114</v>
      </c>
      <c r="L29" s="10" t="s">
        <v>122</v>
      </c>
      <c r="M29" s="11"/>
      <c r="N29" s="11" t="s">
        <v>557</v>
      </c>
      <c r="O29" s="12" t="s">
        <v>116</v>
      </c>
      <c r="P29" s="12"/>
      <c r="Q29" s="10" t="str">
        <f t="shared" si="0"/>
        <v>Sin dato</v>
      </c>
      <c r="R29" s="12"/>
      <c r="S29" s="13"/>
    </row>
    <row r="30" spans="1:19" ht="36" customHeight="1" x14ac:dyDescent="0.25">
      <c r="A30" s="10" t="s">
        <v>636</v>
      </c>
      <c r="B30" s="10" t="s">
        <v>172</v>
      </c>
      <c r="C30" s="10" t="s">
        <v>637</v>
      </c>
      <c r="D30" s="11" t="s">
        <v>638</v>
      </c>
      <c r="E30" s="11" t="s">
        <v>639</v>
      </c>
      <c r="F30" s="10" t="s">
        <v>140</v>
      </c>
      <c r="G30" s="10" t="s">
        <v>630</v>
      </c>
      <c r="H30" s="11" t="s">
        <v>640</v>
      </c>
      <c r="I30" s="10">
        <v>-1</v>
      </c>
      <c r="J30" s="10">
        <v>1</v>
      </c>
      <c r="K30" s="10" t="s">
        <v>114</v>
      </c>
      <c r="L30" s="10" t="s">
        <v>122</v>
      </c>
      <c r="M30" s="11"/>
      <c r="N30" s="11" t="s">
        <v>557</v>
      </c>
      <c r="O30" s="12" t="s">
        <v>116</v>
      </c>
      <c r="P30" s="12"/>
      <c r="Q30" s="10" t="str">
        <f t="shared" si="0"/>
        <v>Sin dato</v>
      </c>
      <c r="R30" s="12"/>
      <c r="S30" s="13"/>
    </row>
    <row r="31" spans="1:19" ht="36" customHeight="1" x14ac:dyDescent="0.25">
      <c r="A31" s="10" t="s">
        <v>641</v>
      </c>
      <c r="B31" s="10" t="s">
        <v>172</v>
      </c>
      <c r="C31" s="10" t="s">
        <v>637</v>
      </c>
      <c r="D31" s="11" t="s">
        <v>642</v>
      </c>
      <c r="E31" s="11" t="s">
        <v>643</v>
      </c>
      <c r="F31" s="10" t="s">
        <v>140</v>
      </c>
      <c r="G31" s="10" t="s">
        <v>630</v>
      </c>
      <c r="H31" s="11" t="s">
        <v>644</v>
      </c>
      <c r="I31" s="10">
        <v>-2</v>
      </c>
      <c r="J31" s="10">
        <v>2</v>
      </c>
      <c r="K31" s="10" t="s">
        <v>114</v>
      </c>
      <c r="L31" s="10" t="s">
        <v>122</v>
      </c>
      <c r="M31" s="11"/>
      <c r="N31" s="11" t="s">
        <v>557</v>
      </c>
      <c r="O31" s="12" t="s">
        <v>116</v>
      </c>
      <c r="P31" s="12"/>
      <c r="Q31" s="10" t="str">
        <f t="shared" si="0"/>
        <v>Sin dato</v>
      </c>
      <c r="R31" s="12"/>
      <c r="S31" s="13"/>
    </row>
    <row r="32" spans="1:19" ht="36" customHeight="1" x14ac:dyDescent="0.25">
      <c r="A32" s="10" t="s">
        <v>645</v>
      </c>
      <c r="B32" s="10" t="s">
        <v>172</v>
      </c>
      <c r="C32" s="10" t="s">
        <v>646</v>
      </c>
      <c r="D32" s="11" t="s">
        <v>647</v>
      </c>
      <c r="E32" s="11" t="s">
        <v>648</v>
      </c>
      <c r="F32" s="10" t="s">
        <v>140</v>
      </c>
      <c r="G32" s="10" t="s">
        <v>630</v>
      </c>
      <c r="H32" s="11" t="s">
        <v>649</v>
      </c>
      <c r="I32" s="10">
        <v>-2</v>
      </c>
      <c r="J32" s="10">
        <v>2</v>
      </c>
      <c r="K32" s="10" t="s">
        <v>114</v>
      </c>
      <c r="L32" s="10" t="s">
        <v>122</v>
      </c>
      <c r="M32" s="11"/>
      <c r="N32" s="11" t="s">
        <v>557</v>
      </c>
      <c r="O32" s="12" t="s">
        <v>116</v>
      </c>
      <c r="P32" s="12"/>
      <c r="Q32" s="10" t="str">
        <f t="shared" si="0"/>
        <v>Sin dato</v>
      </c>
      <c r="R32" s="12"/>
      <c r="S32" s="13"/>
    </row>
    <row r="33" spans="1:19" ht="36" customHeight="1" x14ac:dyDescent="0.25">
      <c r="A33" s="10" t="s">
        <v>207</v>
      </c>
      <c r="B33" s="10" t="s">
        <v>208</v>
      </c>
      <c r="C33" s="10" t="s">
        <v>650</v>
      </c>
      <c r="D33" s="11" t="s">
        <v>651</v>
      </c>
      <c r="E33" s="11" t="s">
        <v>652</v>
      </c>
      <c r="F33" s="10" t="s">
        <v>112</v>
      </c>
      <c r="G33" s="10"/>
      <c r="H33" s="11" t="s">
        <v>653</v>
      </c>
      <c r="I33" s="10"/>
      <c r="J33" s="10"/>
      <c r="K33" s="10" t="s">
        <v>114</v>
      </c>
      <c r="L33" s="10" t="s">
        <v>114</v>
      </c>
      <c r="M33" s="11" t="s">
        <v>239</v>
      </c>
      <c r="N33" s="11" t="s">
        <v>587</v>
      </c>
      <c r="O33" s="12" t="s">
        <v>116</v>
      </c>
      <c r="P33" s="12"/>
      <c r="Q33" s="10" t="str">
        <f t="shared" si="0"/>
        <v/>
      </c>
      <c r="R33" s="12"/>
      <c r="S33" s="13"/>
    </row>
    <row r="34" spans="1:19" ht="36" customHeight="1" x14ac:dyDescent="0.25">
      <c r="A34" s="10" t="s">
        <v>215</v>
      </c>
      <c r="B34" s="10" t="s">
        <v>208</v>
      </c>
      <c r="C34" s="10" t="s">
        <v>650</v>
      </c>
      <c r="D34" s="11" t="s">
        <v>247</v>
      </c>
      <c r="E34" s="11" t="s">
        <v>654</v>
      </c>
      <c r="F34" s="10" t="s">
        <v>112</v>
      </c>
      <c r="G34" s="10"/>
      <c r="H34" s="11" t="s">
        <v>655</v>
      </c>
      <c r="I34" s="10"/>
      <c r="J34" s="10"/>
      <c r="K34" s="10" t="s">
        <v>114</v>
      </c>
      <c r="L34" s="10" t="s">
        <v>114</v>
      </c>
      <c r="M34" s="11" t="s">
        <v>656</v>
      </c>
      <c r="N34" s="11" t="s">
        <v>587</v>
      </c>
      <c r="O34" s="12" t="s">
        <v>116</v>
      </c>
      <c r="P34" s="12"/>
      <c r="Q34" s="10" t="str">
        <f t="shared" si="0"/>
        <v/>
      </c>
      <c r="R34" s="12"/>
      <c r="S34" s="13"/>
    </row>
    <row r="35" spans="1:19" ht="36" customHeight="1" x14ac:dyDescent="0.25">
      <c r="A35" s="10" t="s">
        <v>220</v>
      </c>
      <c r="B35" s="10" t="s">
        <v>208</v>
      </c>
      <c r="C35" s="10" t="s">
        <v>650</v>
      </c>
      <c r="D35" s="11" t="s">
        <v>657</v>
      </c>
      <c r="E35" s="11" t="s">
        <v>658</v>
      </c>
      <c r="F35" s="10" t="s">
        <v>120</v>
      </c>
      <c r="G35" s="10"/>
      <c r="H35" s="11" t="s">
        <v>659</v>
      </c>
      <c r="I35" s="10"/>
      <c r="J35" s="10"/>
      <c r="K35" s="10" t="s">
        <v>114</v>
      </c>
      <c r="L35" s="10" t="s">
        <v>122</v>
      </c>
      <c r="M35" s="11"/>
      <c r="N35" s="11" t="s">
        <v>660</v>
      </c>
      <c r="O35" s="12" t="s">
        <v>116</v>
      </c>
      <c r="P35" s="12"/>
      <c r="Q35" s="10" t="str">
        <f t="shared" si="0"/>
        <v/>
      </c>
      <c r="R35" s="12"/>
      <c r="S35" s="13"/>
    </row>
    <row r="36" spans="1:19" ht="36" customHeight="1" x14ac:dyDescent="0.25">
      <c r="A36" s="10" t="s">
        <v>234</v>
      </c>
      <c r="B36" s="10" t="s">
        <v>208</v>
      </c>
      <c r="C36" s="10" t="s">
        <v>661</v>
      </c>
      <c r="D36" s="11" t="s">
        <v>662</v>
      </c>
      <c r="E36" s="11" t="s">
        <v>663</v>
      </c>
      <c r="F36" s="10" t="s">
        <v>112</v>
      </c>
      <c r="G36" s="10"/>
      <c r="H36" s="11" t="s">
        <v>664</v>
      </c>
      <c r="I36" s="10"/>
      <c r="J36" s="10"/>
      <c r="K36" s="10" t="s">
        <v>114</v>
      </c>
      <c r="L36" s="10" t="s">
        <v>114</v>
      </c>
      <c r="M36" s="11"/>
      <c r="N36" s="11" t="s">
        <v>557</v>
      </c>
      <c r="O36" s="12" t="s">
        <v>116</v>
      </c>
      <c r="P36" s="12"/>
      <c r="Q36" s="10" t="str">
        <f t="shared" si="0"/>
        <v/>
      </c>
      <c r="R36" s="12"/>
      <c r="S36" s="13"/>
    </row>
    <row r="37" spans="1:19" ht="48" customHeight="1" x14ac:dyDescent="0.25">
      <c r="A37" s="10" t="s">
        <v>241</v>
      </c>
      <c r="B37" s="10" t="s">
        <v>208</v>
      </c>
      <c r="C37" s="10" t="s">
        <v>661</v>
      </c>
      <c r="D37" s="11" t="s">
        <v>665</v>
      </c>
      <c r="E37" s="11" t="s">
        <v>666</v>
      </c>
      <c r="F37" s="10" t="s">
        <v>112</v>
      </c>
      <c r="G37" s="10"/>
      <c r="H37" s="11" t="s">
        <v>667</v>
      </c>
      <c r="I37" s="10"/>
      <c r="J37" s="10"/>
      <c r="K37" s="10" t="s">
        <v>114</v>
      </c>
      <c r="L37" s="10" t="s">
        <v>114</v>
      </c>
      <c r="M37" s="11"/>
      <c r="N37" s="11" t="s">
        <v>557</v>
      </c>
      <c r="O37" s="12" t="s">
        <v>116</v>
      </c>
      <c r="P37" s="12"/>
      <c r="Q37" s="10" t="str">
        <f t="shared" si="0"/>
        <v/>
      </c>
      <c r="R37" s="12"/>
      <c r="S37" s="13"/>
    </row>
    <row r="38" spans="1:19" ht="36" customHeight="1" x14ac:dyDescent="0.25">
      <c r="A38" s="10" t="s">
        <v>251</v>
      </c>
      <c r="B38" s="10" t="s">
        <v>208</v>
      </c>
      <c r="C38" s="10" t="s">
        <v>668</v>
      </c>
      <c r="D38" s="11" t="s">
        <v>669</v>
      </c>
      <c r="E38" s="11" t="s">
        <v>670</v>
      </c>
      <c r="F38" s="10" t="s">
        <v>164</v>
      </c>
      <c r="G38" s="10"/>
      <c r="H38" s="11" t="s">
        <v>671</v>
      </c>
      <c r="I38" s="10"/>
      <c r="J38" s="10"/>
      <c r="K38" s="10" t="s">
        <v>114</v>
      </c>
      <c r="L38" s="10" t="s">
        <v>114</v>
      </c>
      <c r="M38" s="11" t="s">
        <v>213</v>
      </c>
      <c r="N38" s="11" t="s">
        <v>579</v>
      </c>
      <c r="O38" s="12" t="s">
        <v>116</v>
      </c>
      <c r="P38" s="12"/>
      <c r="Q38" s="10" t="str">
        <f t="shared" si="0"/>
        <v/>
      </c>
      <c r="R38" s="12"/>
      <c r="S38" s="13"/>
    </row>
    <row r="39" spans="1:19" ht="36" customHeight="1" x14ac:dyDescent="0.25">
      <c r="A39" s="10" t="s">
        <v>258</v>
      </c>
      <c r="B39" s="10" t="s">
        <v>208</v>
      </c>
      <c r="C39" s="10" t="s">
        <v>668</v>
      </c>
      <c r="D39" s="11" t="s">
        <v>672</v>
      </c>
      <c r="E39" s="11" t="s">
        <v>673</v>
      </c>
      <c r="F39" s="10" t="s">
        <v>164</v>
      </c>
      <c r="G39" s="10"/>
      <c r="H39" s="11" t="s">
        <v>674</v>
      </c>
      <c r="I39" s="10"/>
      <c r="J39" s="10"/>
      <c r="K39" s="10" t="s">
        <v>114</v>
      </c>
      <c r="L39" s="10" t="s">
        <v>114</v>
      </c>
      <c r="M39" s="11" t="s">
        <v>219</v>
      </c>
      <c r="N39" s="11" t="s">
        <v>579</v>
      </c>
      <c r="O39" s="12" t="s">
        <v>116</v>
      </c>
      <c r="P39" s="12"/>
      <c r="Q39" s="10" t="str">
        <f t="shared" si="0"/>
        <v/>
      </c>
      <c r="R39" s="12"/>
      <c r="S39" s="13"/>
    </row>
    <row r="40" spans="1:19" ht="36" customHeight="1" x14ac:dyDescent="0.25">
      <c r="A40" s="10" t="s">
        <v>263</v>
      </c>
      <c r="B40" s="10" t="s">
        <v>264</v>
      </c>
      <c r="C40" s="10" t="s">
        <v>675</v>
      </c>
      <c r="D40" s="11" t="s">
        <v>676</v>
      </c>
      <c r="E40" s="11" t="s">
        <v>677</v>
      </c>
      <c r="F40" s="10" t="s">
        <v>140</v>
      </c>
      <c r="G40" s="10" t="s">
        <v>191</v>
      </c>
      <c r="H40" s="11" t="s">
        <v>678</v>
      </c>
      <c r="I40" s="10">
        <v>0.6</v>
      </c>
      <c r="J40" s="10">
        <v>1</v>
      </c>
      <c r="K40" s="10" t="s">
        <v>114</v>
      </c>
      <c r="L40" s="10" t="s">
        <v>122</v>
      </c>
      <c r="M40" s="11" t="s">
        <v>679</v>
      </c>
      <c r="N40" s="11" t="s">
        <v>557</v>
      </c>
      <c r="O40" s="12" t="s">
        <v>116</v>
      </c>
      <c r="P40" s="12"/>
      <c r="Q40" s="10" t="str">
        <f t="shared" si="0"/>
        <v>Sin dato</v>
      </c>
      <c r="R40" s="12"/>
      <c r="S40" s="13"/>
    </row>
    <row r="41" spans="1:19" ht="36" customHeight="1" x14ac:dyDescent="0.25">
      <c r="A41" s="10" t="s">
        <v>269</v>
      </c>
      <c r="B41" s="10" t="s">
        <v>264</v>
      </c>
      <c r="C41" s="10" t="s">
        <v>675</v>
      </c>
      <c r="D41" s="11" t="s">
        <v>270</v>
      </c>
      <c r="E41" s="11" t="s">
        <v>680</v>
      </c>
      <c r="F41" s="10" t="s">
        <v>140</v>
      </c>
      <c r="G41" s="10" t="s">
        <v>186</v>
      </c>
      <c r="H41" s="11" t="s">
        <v>681</v>
      </c>
      <c r="I41" s="10"/>
      <c r="J41" s="10">
        <v>65</v>
      </c>
      <c r="K41" s="10" t="s">
        <v>114</v>
      </c>
      <c r="L41" s="10" t="s">
        <v>122</v>
      </c>
      <c r="M41" s="11" t="s">
        <v>682</v>
      </c>
      <c r="N41" s="11" t="s">
        <v>557</v>
      </c>
      <c r="O41" s="12" t="s">
        <v>116</v>
      </c>
      <c r="P41" s="12"/>
      <c r="Q41" s="10" t="str">
        <f t="shared" ref="Q41:Q72" si="1">IF($F41&lt;&gt;"Numérico","",IF($P41="","Sin dato",IF(AND(OR(NOT(ISNUMBER($I41)),$P41&gt;=$I41),OR(NOT(ISNUMBER($J41)),$P41&lt;=$J41)),"Dentro de rango","Fuera de rango")))</f>
        <v>Sin dato</v>
      </c>
      <c r="R41" s="12"/>
      <c r="S41" s="13"/>
    </row>
    <row r="42" spans="1:19" ht="36" customHeight="1" x14ac:dyDescent="0.25">
      <c r="A42" s="10" t="s">
        <v>683</v>
      </c>
      <c r="B42" s="10" t="s">
        <v>264</v>
      </c>
      <c r="C42" s="10" t="s">
        <v>675</v>
      </c>
      <c r="D42" s="11" t="s">
        <v>684</v>
      </c>
      <c r="E42" s="11" t="s">
        <v>685</v>
      </c>
      <c r="F42" s="10" t="s">
        <v>112</v>
      </c>
      <c r="G42" s="10"/>
      <c r="H42" s="11" t="s">
        <v>686</v>
      </c>
      <c r="I42" s="10"/>
      <c r="J42" s="10"/>
      <c r="K42" s="10" t="s">
        <v>114</v>
      </c>
      <c r="L42" s="10" t="s">
        <v>114</v>
      </c>
      <c r="M42" s="11" t="s">
        <v>687</v>
      </c>
      <c r="N42" s="11" t="s">
        <v>688</v>
      </c>
      <c r="O42" s="12" t="s">
        <v>116</v>
      </c>
      <c r="P42" s="12"/>
      <c r="Q42" s="10" t="str">
        <f t="shared" si="1"/>
        <v/>
      </c>
      <c r="R42" s="12"/>
      <c r="S42" s="13"/>
    </row>
    <row r="43" spans="1:19" ht="36" customHeight="1" x14ac:dyDescent="0.25">
      <c r="A43" s="10" t="s">
        <v>689</v>
      </c>
      <c r="B43" s="10" t="s">
        <v>264</v>
      </c>
      <c r="C43" s="10" t="s">
        <v>675</v>
      </c>
      <c r="D43" s="11" t="s">
        <v>690</v>
      </c>
      <c r="E43" s="11" t="s">
        <v>691</v>
      </c>
      <c r="F43" s="10" t="s">
        <v>112</v>
      </c>
      <c r="G43" s="10"/>
      <c r="H43" s="11" t="s">
        <v>692</v>
      </c>
      <c r="I43" s="10"/>
      <c r="J43" s="10"/>
      <c r="K43" s="10" t="s">
        <v>114</v>
      </c>
      <c r="L43" s="10" t="s">
        <v>114</v>
      </c>
      <c r="M43" s="11" t="s">
        <v>693</v>
      </c>
      <c r="N43" s="11" t="s">
        <v>587</v>
      </c>
      <c r="O43" s="12" t="s">
        <v>116</v>
      </c>
      <c r="P43" s="12"/>
      <c r="Q43" s="10" t="str">
        <f t="shared" si="1"/>
        <v/>
      </c>
      <c r="R43" s="12"/>
      <c r="S43" s="13"/>
    </row>
    <row r="44" spans="1:19" ht="36" customHeight="1" x14ac:dyDescent="0.25">
      <c r="A44" s="10" t="s">
        <v>694</v>
      </c>
      <c r="B44" s="10" t="s">
        <v>264</v>
      </c>
      <c r="C44" s="10" t="s">
        <v>675</v>
      </c>
      <c r="D44" s="11" t="s">
        <v>695</v>
      </c>
      <c r="E44" s="11" t="s">
        <v>696</v>
      </c>
      <c r="F44" s="10" t="s">
        <v>112</v>
      </c>
      <c r="G44" s="10"/>
      <c r="H44" s="11" t="s">
        <v>697</v>
      </c>
      <c r="I44" s="10"/>
      <c r="J44" s="10"/>
      <c r="K44" s="10" t="s">
        <v>114</v>
      </c>
      <c r="L44" s="10" t="s">
        <v>114</v>
      </c>
      <c r="M44" s="11"/>
      <c r="N44" s="11" t="s">
        <v>587</v>
      </c>
      <c r="O44" s="12" t="s">
        <v>116</v>
      </c>
      <c r="P44" s="12"/>
      <c r="Q44" s="10" t="str">
        <f t="shared" si="1"/>
        <v/>
      </c>
      <c r="R44" s="12"/>
      <c r="S44" s="13"/>
    </row>
    <row r="45" spans="1:19" ht="36" customHeight="1" x14ac:dyDescent="0.25">
      <c r="A45" s="10" t="s">
        <v>273</v>
      </c>
      <c r="B45" s="10" t="s">
        <v>264</v>
      </c>
      <c r="C45" s="10" t="s">
        <v>698</v>
      </c>
      <c r="D45" s="11" t="s">
        <v>699</v>
      </c>
      <c r="E45" s="11" t="s">
        <v>700</v>
      </c>
      <c r="F45" s="10" t="s">
        <v>140</v>
      </c>
      <c r="G45" s="10" t="s">
        <v>191</v>
      </c>
      <c r="H45" s="11" t="s">
        <v>701</v>
      </c>
      <c r="I45" s="10">
        <v>2</v>
      </c>
      <c r="J45" s="10">
        <v>3</v>
      </c>
      <c r="K45" s="10" t="s">
        <v>114</v>
      </c>
      <c r="L45" s="10" t="s">
        <v>122</v>
      </c>
      <c r="M45" s="11" t="s">
        <v>702</v>
      </c>
      <c r="N45" s="11" t="s">
        <v>143</v>
      </c>
      <c r="O45" s="12" t="s">
        <v>116</v>
      </c>
      <c r="P45" s="12"/>
      <c r="Q45" s="10" t="str">
        <f t="shared" si="1"/>
        <v>Sin dato</v>
      </c>
      <c r="R45" s="12"/>
      <c r="S45" s="13"/>
    </row>
    <row r="46" spans="1:19" ht="36" customHeight="1" x14ac:dyDescent="0.25">
      <c r="A46" s="10" t="s">
        <v>289</v>
      </c>
      <c r="B46" s="10" t="s">
        <v>264</v>
      </c>
      <c r="C46" s="10" t="s">
        <v>703</v>
      </c>
      <c r="D46" s="11" t="s">
        <v>704</v>
      </c>
      <c r="E46" s="11" t="s">
        <v>705</v>
      </c>
      <c r="F46" s="10" t="s">
        <v>112</v>
      </c>
      <c r="G46" s="10"/>
      <c r="H46" s="11" t="s">
        <v>706</v>
      </c>
      <c r="I46" s="10"/>
      <c r="J46" s="10"/>
      <c r="K46" s="10" t="s">
        <v>114</v>
      </c>
      <c r="L46" s="10" t="s">
        <v>114</v>
      </c>
      <c r="M46" s="11"/>
      <c r="N46" s="11" t="s">
        <v>143</v>
      </c>
      <c r="O46" s="12" t="s">
        <v>116</v>
      </c>
      <c r="P46" s="12"/>
      <c r="Q46" s="10" t="str">
        <f t="shared" si="1"/>
        <v/>
      </c>
      <c r="R46" s="12"/>
      <c r="S46" s="13"/>
    </row>
    <row r="47" spans="1:19" ht="36" customHeight="1" x14ac:dyDescent="0.25">
      <c r="A47" s="10" t="s">
        <v>295</v>
      </c>
      <c r="B47" s="10" t="s">
        <v>264</v>
      </c>
      <c r="C47" s="10" t="s">
        <v>703</v>
      </c>
      <c r="D47" s="11" t="s">
        <v>707</v>
      </c>
      <c r="E47" s="11" t="s">
        <v>708</v>
      </c>
      <c r="F47" s="10" t="s">
        <v>112</v>
      </c>
      <c r="G47" s="10"/>
      <c r="H47" s="11" t="s">
        <v>709</v>
      </c>
      <c r="I47" s="10"/>
      <c r="J47" s="10"/>
      <c r="K47" s="10" t="s">
        <v>114</v>
      </c>
      <c r="L47" s="10" t="s">
        <v>114</v>
      </c>
      <c r="M47" s="11"/>
      <c r="N47" s="11" t="s">
        <v>143</v>
      </c>
      <c r="O47" s="12" t="s">
        <v>116</v>
      </c>
      <c r="P47" s="12"/>
      <c r="Q47" s="10" t="str">
        <f t="shared" si="1"/>
        <v/>
      </c>
      <c r="R47" s="12"/>
      <c r="S47" s="13"/>
    </row>
    <row r="48" spans="1:19" ht="36" customHeight="1" x14ac:dyDescent="0.25">
      <c r="A48" s="10" t="s">
        <v>710</v>
      </c>
      <c r="B48" s="10" t="s">
        <v>264</v>
      </c>
      <c r="C48" s="10" t="s">
        <v>703</v>
      </c>
      <c r="D48" s="11" t="s">
        <v>711</v>
      </c>
      <c r="E48" s="11" t="s">
        <v>712</v>
      </c>
      <c r="F48" s="10" t="s">
        <v>112</v>
      </c>
      <c r="G48" s="10"/>
      <c r="H48" s="11" t="s">
        <v>713</v>
      </c>
      <c r="I48" s="10"/>
      <c r="J48" s="10"/>
      <c r="K48" s="10" t="s">
        <v>114</v>
      </c>
      <c r="L48" s="10" t="s">
        <v>114</v>
      </c>
      <c r="M48" s="11"/>
      <c r="N48" s="11" t="s">
        <v>143</v>
      </c>
      <c r="O48" s="12" t="s">
        <v>116</v>
      </c>
      <c r="P48" s="12"/>
      <c r="Q48" s="10" t="str">
        <f t="shared" si="1"/>
        <v/>
      </c>
      <c r="R48" s="12"/>
      <c r="S48" s="13"/>
    </row>
    <row r="49" spans="1:19" ht="36" customHeight="1" x14ac:dyDescent="0.25">
      <c r="A49" s="10" t="s">
        <v>714</v>
      </c>
      <c r="B49" s="10" t="s">
        <v>264</v>
      </c>
      <c r="C49" s="10" t="s">
        <v>715</v>
      </c>
      <c r="D49" s="11" t="s">
        <v>716</v>
      </c>
      <c r="E49" s="11" t="s">
        <v>717</v>
      </c>
      <c r="F49" s="10" t="s">
        <v>140</v>
      </c>
      <c r="G49" s="10" t="s">
        <v>191</v>
      </c>
      <c r="H49" s="11" t="s">
        <v>718</v>
      </c>
      <c r="I49" s="10"/>
      <c r="J49" s="10">
        <v>0.8</v>
      </c>
      <c r="K49" s="10" t="s">
        <v>114</v>
      </c>
      <c r="L49" s="10" t="s">
        <v>122</v>
      </c>
      <c r="M49" s="11"/>
      <c r="N49" s="11" t="s">
        <v>557</v>
      </c>
      <c r="O49" s="12" t="s">
        <v>116</v>
      </c>
      <c r="P49" s="12"/>
      <c r="Q49" s="10" t="str">
        <f t="shared" si="1"/>
        <v>Sin dato</v>
      </c>
      <c r="R49" s="12"/>
      <c r="S49" s="13"/>
    </row>
    <row r="50" spans="1:19" ht="36" customHeight="1" x14ac:dyDescent="0.25">
      <c r="A50" s="10" t="s">
        <v>719</v>
      </c>
      <c r="B50" s="10" t="s">
        <v>264</v>
      </c>
      <c r="C50" s="10" t="s">
        <v>715</v>
      </c>
      <c r="D50" s="11" t="s">
        <v>720</v>
      </c>
      <c r="E50" s="11" t="s">
        <v>721</v>
      </c>
      <c r="F50" s="10" t="s">
        <v>140</v>
      </c>
      <c r="G50" s="10" t="s">
        <v>605</v>
      </c>
      <c r="H50" s="11" t="s">
        <v>722</v>
      </c>
      <c r="I50" s="10">
        <v>-490</v>
      </c>
      <c r="J50" s="10">
        <v>490</v>
      </c>
      <c r="K50" s="10" t="s">
        <v>114</v>
      </c>
      <c r="L50" s="10" t="s">
        <v>122</v>
      </c>
      <c r="M50" s="11"/>
      <c r="N50" s="11" t="s">
        <v>557</v>
      </c>
      <c r="O50" s="12" t="s">
        <v>116</v>
      </c>
      <c r="P50" s="12"/>
      <c r="Q50" s="10" t="str">
        <f t="shared" si="1"/>
        <v>Sin dato</v>
      </c>
      <c r="R50" s="12"/>
      <c r="S50" s="13"/>
    </row>
    <row r="51" spans="1:19" ht="36" customHeight="1" x14ac:dyDescent="0.25">
      <c r="A51" s="10" t="s">
        <v>299</v>
      </c>
      <c r="B51" s="10" t="s">
        <v>300</v>
      </c>
      <c r="C51" s="10" t="s">
        <v>723</v>
      </c>
      <c r="D51" s="11" t="s">
        <v>724</v>
      </c>
      <c r="E51" s="11" t="s">
        <v>725</v>
      </c>
      <c r="F51" s="10" t="s">
        <v>140</v>
      </c>
      <c r="G51" s="10" t="s">
        <v>304</v>
      </c>
      <c r="H51" s="11" t="s">
        <v>726</v>
      </c>
      <c r="I51" s="10">
        <v>200</v>
      </c>
      <c r="J51" s="10">
        <v>1100</v>
      </c>
      <c r="K51" s="10" t="s">
        <v>114</v>
      </c>
      <c r="L51" s="10" t="s">
        <v>122</v>
      </c>
      <c r="M51" s="11" t="s">
        <v>727</v>
      </c>
      <c r="N51" s="11" t="s">
        <v>557</v>
      </c>
      <c r="O51" s="12" t="s">
        <v>116</v>
      </c>
      <c r="P51" s="12"/>
      <c r="Q51" s="10" t="str">
        <f t="shared" si="1"/>
        <v>Sin dato</v>
      </c>
      <c r="R51" s="12"/>
      <c r="S51" s="13"/>
    </row>
    <row r="52" spans="1:19" ht="36" customHeight="1" x14ac:dyDescent="0.25">
      <c r="A52" s="10" t="s">
        <v>306</v>
      </c>
      <c r="B52" s="10" t="s">
        <v>300</v>
      </c>
      <c r="C52" s="10" t="s">
        <v>723</v>
      </c>
      <c r="D52" s="11" t="s">
        <v>728</v>
      </c>
      <c r="E52" s="11" t="s">
        <v>729</v>
      </c>
      <c r="F52" s="10" t="s">
        <v>112</v>
      </c>
      <c r="G52" s="10"/>
      <c r="H52" s="11" t="s">
        <v>730</v>
      </c>
      <c r="I52" s="10"/>
      <c r="J52" s="10"/>
      <c r="K52" s="10" t="s">
        <v>114</v>
      </c>
      <c r="L52" s="10" t="s">
        <v>114</v>
      </c>
      <c r="M52" s="11" t="s">
        <v>731</v>
      </c>
      <c r="N52" s="11" t="s">
        <v>732</v>
      </c>
      <c r="O52" s="12" t="s">
        <v>116</v>
      </c>
      <c r="P52" s="12"/>
      <c r="Q52" s="10" t="str">
        <f t="shared" si="1"/>
        <v/>
      </c>
      <c r="R52" s="12"/>
      <c r="S52" s="13"/>
    </row>
    <row r="53" spans="1:19" ht="36" customHeight="1" x14ac:dyDescent="0.25">
      <c r="A53" s="10" t="s">
        <v>733</v>
      </c>
      <c r="B53" s="10" t="s">
        <v>300</v>
      </c>
      <c r="C53" s="10" t="s">
        <v>723</v>
      </c>
      <c r="D53" s="11" t="s">
        <v>734</v>
      </c>
      <c r="E53" s="11" t="s">
        <v>735</v>
      </c>
      <c r="F53" s="10" t="s">
        <v>140</v>
      </c>
      <c r="G53" s="10" t="s">
        <v>396</v>
      </c>
      <c r="H53" s="11" t="s">
        <v>736</v>
      </c>
      <c r="I53" s="10">
        <v>945</v>
      </c>
      <c r="J53" s="10">
        <v>955</v>
      </c>
      <c r="K53" s="10" t="s">
        <v>114</v>
      </c>
      <c r="L53" s="10" t="s">
        <v>122</v>
      </c>
      <c r="M53" s="11"/>
      <c r="N53" s="11" t="s">
        <v>737</v>
      </c>
      <c r="O53" s="12" t="s">
        <v>116</v>
      </c>
      <c r="P53" s="12"/>
      <c r="Q53" s="10" t="str">
        <f t="shared" si="1"/>
        <v>Sin dato</v>
      </c>
      <c r="R53" s="12"/>
      <c r="S53" s="13"/>
    </row>
    <row r="54" spans="1:19" ht="36" customHeight="1" x14ac:dyDescent="0.25">
      <c r="A54" s="10" t="s">
        <v>738</v>
      </c>
      <c r="B54" s="10" t="s">
        <v>300</v>
      </c>
      <c r="C54" s="10" t="s">
        <v>723</v>
      </c>
      <c r="D54" s="11" t="s">
        <v>739</v>
      </c>
      <c r="E54" s="11" t="s">
        <v>740</v>
      </c>
      <c r="F54" s="10" t="s">
        <v>112</v>
      </c>
      <c r="G54" s="10"/>
      <c r="H54" s="11" t="s">
        <v>741</v>
      </c>
      <c r="I54" s="10"/>
      <c r="J54" s="10"/>
      <c r="K54" s="10" t="s">
        <v>114</v>
      </c>
      <c r="L54" s="10" t="s">
        <v>114</v>
      </c>
      <c r="M54" s="11" t="s">
        <v>731</v>
      </c>
      <c r="N54" s="11" t="s">
        <v>587</v>
      </c>
      <c r="O54" s="12" t="s">
        <v>116</v>
      </c>
      <c r="P54" s="12"/>
      <c r="Q54" s="10" t="str">
        <f t="shared" si="1"/>
        <v/>
      </c>
      <c r="R54" s="12"/>
      <c r="S54" s="13"/>
    </row>
    <row r="55" spans="1:19" ht="36" customHeight="1" x14ac:dyDescent="0.25">
      <c r="A55" s="10" t="s">
        <v>310</v>
      </c>
      <c r="B55" s="10" t="s">
        <v>300</v>
      </c>
      <c r="C55" s="10" t="s">
        <v>742</v>
      </c>
      <c r="D55" s="11" t="s">
        <v>743</v>
      </c>
      <c r="E55" s="11" t="s">
        <v>744</v>
      </c>
      <c r="F55" s="10" t="s">
        <v>112</v>
      </c>
      <c r="G55" s="10"/>
      <c r="H55" s="11" t="s">
        <v>745</v>
      </c>
      <c r="I55" s="10"/>
      <c r="J55" s="10"/>
      <c r="K55" s="10" t="s">
        <v>114</v>
      </c>
      <c r="L55" s="10" t="s">
        <v>114</v>
      </c>
      <c r="M55" s="11" t="s">
        <v>746</v>
      </c>
      <c r="N55" s="11" t="s">
        <v>579</v>
      </c>
      <c r="O55" s="12" t="s">
        <v>116</v>
      </c>
      <c r="P55" s="12"/>
      <c r="Q55" s="10" t="str">
        <f t="shared" si="1"/>
        <v/>
      </c>
      <c r="R55" s="12"/>
      <c r="S55" s="13"/>
    </row>
    <row r="56" spans="1:19" ht="48" customHeight="1" x14ac:dyDescent="0.25">
      <c r="A56" s="10" t="s">
        <v>317</v>
      </c>
      <c r="B56" s="10" t="s">
        <v>300</v>
      </c>
      <c r="C56" s="10" t="s">
        <v>742</v>
      </c>
      <c r="D56" s="11" t="s">
        <v>747</v>
      </c>
      <c r="E56" s="11" t="s">
        <v>748</v>
      </c>
      <c r="F56" s="10" t="s">
        <v>112</v>
      </c>
      <c r="G56" s="10"/>
      <c r="H56" s="11" t="s">
        <v>749</v>
      </c>
      <c r="I56" s="10"/>
      <c r="J56" s="10"/>
      <c r="K56" s="10" t="s">
        <v>114</v>
      </c>
      <c r="L56" s="10" t="s">
        <v>114</v>
      </c>
      <c r="M56" s="11" t="s">
        <v>750</v>
      </c>
      <c r="N56" s="11" t="s">
        <v>751</v>
      </c>
      <c r="O56" s="12" t="s">
        <v>116</v>
      </c>
      <c r="P56" s="12"/>
      <c r="Q56" s="10" t="str">
        <f t="shared" si="1"/>
        <v/>
      </c>
      <c r="R56" s="12"/>
      <c r="S56" s="13"/>
    </row>
    <row r="57" spans="1:19" ht="36" customHeight="1" x14ac:dyDescent="0.25">
      <c r="A57" s="10" t="s">
        <v>752</v>
      </c>
      <c r="B57" s="10" t="s">
        <v>300</v>
      </c>
      <c r="C57" s="10" t="s">
        <v>742</v>
      </c>
      <c r="D57" s="11" t="s">
        <v>753</v>
      </c>
      <c r="E57" s="11" t="s">
        <v>754</v>
      </c>
      <c r="F57" s="10" t="s">
        <v>112</v>
      </c>
      <c r="G57" s="10"/>
      <c r="H57" s="11" t="s">
        <v>755</v>
      </c>
      <c r="I57" s="10"/>
      <c r="J57" s="10"/>
      <c r="K57" s="10" t="s">
        <v>114</v>
      </c>
      <c r="L57" s="10" t="s">
        <v>114</v>
      </c>
      <c r="M57" s="11" t="s">
        <v>756</v>
      </c>
      <c r="N57" s="11" t="s">
        <v>751</v>
      </c>
      <c r="O57" s="12" t="s">
        <v>116</v>
      </c>
      <c r="P57" s="12"/>
      <c r="Q57" s="10" t="str">
        <f t="shared" si="1"/>
        <v/>
      </c>
      <c r="R57" s="12"/>
      <c r="S57" s="13"/>
    </row>
    <row r="58" spans="1:19" ht="36" customHeight="1" x14ac:dyDescent="0.25">
      <c r="A58" s="10" t="s">
        <v>757</v>
      </c>
      <c r="B58" s="10" t="s">
        <v>300</v>
      </c>
      <c r="C58" s="10" t="s">
        <v>742</v>
      </c>
      <c r="D58" s="11" t="s">
        <v>758</v>
      </c>
      <c r="E58" s="11" t="s">
        <v>759</v>
      </c>
      <c r="F58" s="10" t="s">
        <v>112</v>
      </c>
      <c r="G58" s="10"/>
      <c r="H58" s="11" t="s">
        <v>760</v>
      </c>
      <c r="I58" s="10"/>
      <c r="J58" s="10"/>
      <c r="K58" s="10" t="s">
        <v>114</v>
      </c>
      <c r="L58" s="10" t="s">
        <v>114</v>
      </c>
      <c r="M58" s="11" t="s">
        <v>761</v>
      </c>
      <c r="N58" s="11" t="s">
        <v>762</v>
      </c>
      <c r="O58" s="12" t="s">
        <v>116</v>
      </c>
      <c r="P58" s="12"/>
      <c r="Q58" s="10" t="str">
        <f t="shared" si="1"/>
        <v/>
      </c>
      <c r="R58" s="12"/>
      <c r="S58" s="13"/>
    </row>
    <row r="59" spans="1:19" ht="36" customHeight="1" x14ac:dyDescent="0.25">
      <c r="A59" s="10" t="s">
        <v>763</v>
      </c>
      <c r="B59" s="10" t="s">
        <v>300</v>
      </c>
      <c r="C59" s="10" t="s">
        <v>742</v>
      </c>
      <c r="D59" s="11" t="s">
        <v>764</v>
      </c>
      <c r="E59" s="11" t="s">
        <v>765</v>
      </c>
      <c r="F59" s="10" t="s">
        <v>112</v>
      </c>
      <c r="G59" s="10"/>
      <c r="H59" s="11" t="s">
        <v>766</v>
      </c>
      <c r="I59" s="10"/>
      <c r="J59" s="10"/>
      <c r="K59" s="10" t="s">
        <v>114</v>
      </c>
      <c r="L59" s="10" t="s">
        <v>114</v>
      </c>
      <c r="M59" s="11"/>
      <c r="N59" s="11" t="s">
        <v>767</v>
      </c>
      <c r="O59" s="12" t="s">
        <v>116</v>
      </c>
      <c r="P59" s="12"/>
      <c r="Q59" s="10" t="str">
        <f t="shared" si="1"/>
        <v/>
      </c>
      <c r="R59" s="12"/>
      <c r="S59" s="13"/>
    </row>
    <row r="60" spans="1:19" ht="36" customHeight="1" x14ac:dyDescent="0.25">
      <c r="A60" s="10" t="s">
        <v>768</v>
      </c>
      <c r="B60" s="10" t="s">
        <v>300</v>
      </c>
      <c r="C60" s="10" t="s">
        <v>742</v>
      </c>
      <c r="D60" s="11" t="s">
        <v>769</v>
      </c>
      <c r="E60" s="11" t="s">
        <v>770</v>
      </c>
      <c r="F60" s="10" t="s">
        <v>112</v>
      </c>
      <c r="G60" s="10"/>
      <c r="H60" s="11" t="s">
        <v>771</v>
      </c>
      <c r="I60" s="10"/>
      <c r="J60" s="10"/>
      <c r="K60" s="10" t="s">
        <v>114</v>
      </c>
      <c r="L60" s="10" t="s">
        <v>114</v>
      </c>
      <c r="M60" s="11" t="s">
        <v>772</v>
      </c>
      <c r="N60" s="11" t="s">
        <v>688</v>
      </c>
      <c r="O60" s="12" t="s">
        <v>116</v>
      </c>
      <c r="P60" s="12"/>
      <c r="Q60" s="10" t="str">
        <f t="shared" si="1"/>
        <v/>
      </c>
      <c r="R60" s="12"/>
      <c r="S60" s="13"/>
    </row>
    <row r="61" spans="1:19" ht="36" customHeight="1" x14ac:dyDescent="0.25">
      <c r="A61" s="10" t="s">
        <v>773</v>
      </c>
      <c r="B61" s="10" t="s">
        <v>300</v>
      </c>
      <c r="C61" s="10" t="s">
        <v>742</v>
      </c>
      <c r="D61" s="11" t="s">
        <v>774</v>
      </c>
      <c r="E61" s="11" t="s">
        <v>775</v>
      </c>
      <c r="F61" s="10" t="s">
        <v>112</v>
      </c>
      <c r="G61" s="10"/>
      <c r="H61" s="11" t="s">
        <v>776</v>
      </c>
      <c r="I61" s="10"/>
      <c r="J61" s="10"/>
      <c r="K61" s="10" t="s">
        <v>114</v>
      </c>
      <c r="L61" s="10" t="s">
        <v>114</v>
      </c>
      <c r="M61" s="11" t="s">
        <v>777</v>
      </c>
      <c r="N61" s="11" t="s">
        <v>778</v>
      </c>
      <c r="O61" s="12" t="s">
        <v>116</v>
      </c>
      <c r="P61" s="12"/>
      <c r="Q61" s="10" t="str">
        <f t="shared" si="1"/>
        <v/>
      </c>
      <c r="R61" s="12"/>
      <c r="S61" s="13"/>
    </row>
    <row r="62" spans="1:19" ht="36" customHeight="1" x14ac:dyDescent="0.25">
      <c r="A62" s="10" t="s">
        <v>321</v>
      </c>
      <c r="B62" s="10" t="s">
        <v>300</v>
      </c>
      <c r="C62" s="10" t="s">
        <v>779</v>
      </c>
      <c r="D62" s="11" t="s">
        <v>780</v>
      </c>
      <c r="E62" s="11" t="s">
        <v>781</v>
      </c>
      <c r="F62" s="10" t="s">
        <v>112</v>
      </c>
      <c r="G62" s="10"/>
      <c r="H62" s="11" t="s">
        <v>782</v>
      </c>
      <c r="I62" s="10"/>
      <c r="J62" s="10"/>
      <c r="K62" s="10" t="s">
        <v>114</v>
      </c>
      <c r="L62" s="10" t="s">
        <v>114</v>
      </c>
      <c r="M62" s="11" t="s">
        <v>783</v>
      </c>
      <c r="N62" s="11" t="s">
        <v>587</v>
      </c>
      <c r="O62" s="12" t="s">
        <v>116</v>
      </c>
      <c r="P62" s="12"/>
      <c r="Q62" s="10" t="str">
        <f t="shared" si="1"/>
        <v/>
      </c>
      <c r="R62" s="12"/>
      <c r="S62" s="13"/>
    </row>
    <row r="63" spans="1:19" ht="36" customHeight="1" x14ac:dyDescent="0.25">
      <c r="A63" s="10" t="s">
        <v>328</v>
      </c>
      <c r="B63" s="10" t="s">
        <v>300</v>
      </c>
      <c r="C63" s="10" t="s">
        <v>779</v>
      </c>
      <c r="D63" s="11" t="s">
        <v>784</v>
      </c>
      <c r="E63" s="11" t="s">
        <v>785</v>
      </c>
      <c r="F63" s="10" t="s">
        <v>112</v>
      </c>
      <c r="G63" s="10"/>
      <c r="H63" s="11" t="s">
        <v>786</v>
      </c>
      <c r="I63" s="10"/>
      <c r="J63" s="10"/>
      <c r="K63" s="10" t="s">
        <v>114</v>
      </c>
      <c r="L63" s="10" t="s">
        <v>114</v>
      </c>
      <c r="M63" s="11" t="s">
        <v>787</v>
      </c>
      <c r="N63" s="11" t="s">
        <v>587</v>
      </c>
      <c r="O63" s="12" t="s">
        <v>116</v>
      </c>
      <c r="P63" s="12"/>
      <c r="Q63" s="10" t="str">
        <f t="shared" si="1"/>
        <v/>
      </c>
      <c r="R63" s="12"/>
      <c r="S63" s="13"/>
    </row>
    <row r="64" spans="1:19" ht="36" customHeight="1" x14ac:dyDescent="0.25">
      <c r="A64" s="10" t="s">
        <v>355</v>
      </c>
      <c r="B64" s="10" t="s">
        <v>356</v>
      </c>
      <c r="C64" s="10" t="s">
        <v>357</v>
      </c>
      <c r="D64" s="11" t="s">
        <v>788</v>
      </c>
      <c r="E64" s="11" t="s">
        <v>789</v>
      </c>
      <c r="F64" s="10" t="s">
        <v>112</v>
      </c>
      <c r="G64" s="10"/>
      <c r="H64" s="11" t="s">
        <v>790</v>
      </c>
      <c r="I64" s="10"/>
      <c r="J64" s="10"/>
      <c r="K64" s="10" t="s">
        <v>114</v>
      </c>
      <c r="L64" s="10" t="s">
        <v>114</v>
      </c>
      <c r="M64" s="11" t="s">
        <v>791</v>
      </c>
      <c r="N64" s="11" t="s">
        <v>762</v>
      </c>
      <c r="O64" s="12" t="s">
        <v>116</v>
      </c>
      <c r="P64" s="12"/>
      <c r="Q64" s="10" t="str">
        <f t="shared" si="1"/>
        <v/>
      </c>
      <c r="R64" s="12"/>
      <c r="S64" s="13"/>
    </row>
    <row r="65" spans="1:19" ht="36" customHeight="1" x14ac:dyDescent="0.25">
      <c r="A65" s="10" t="s">
        <v>363</v>
      </c>
      <c r="B65" s="10" t="s">
        <v>356</v>
      </c>
      <c r="C65" s="10" t="s">
        <v>357</v>
      </c>
      <c r="D65" s="11" t="s">
        <v>792</v>
      </c>
      <c r="E65" s="11" t="s">
        <v>793</v>
      </c>
      <c r="F65" s="10" t="s">
        <v>112</v>
      </c>
      <c r="G65" s="10"/>
      <c r="H65" s="11" t="s">
        <v>794</v>
      </c>
      <c r="I65" s="10"/>
      <c r="J65" s="10"/>
      <c r="K65" s="10" t="s">
        <v>114</v>
      </c>
      <c r="L65" s="10" t="s">
        <v>114</v>
      </c>
      <c r="M65" s="11" t="s">
        <v>795</v>
      </c>
      <c r="N65" s="11" t="s">
        <v>762</v>
      </c>
      <c r="O65" s="12" t="s">
        <v>116</v>
      </c>
      <c r="P65" s="12"/>
      <c r="Q65" s="10" t="str">
        <f t="shared" si="1"/>
        <v/>
      </c>
      <c r="R65" s="12"/>
      <c r="S65" s="13"/>
    </row>
    <row r="66" spans="1:19" ht="36" customHeight="1" x14ac:dyDescent="0.25">
      <c r="A66" s="10" t="s">
        <v>368</v>
      </c>
      <c r="B66" s="10" t="s">
        <v>356</v>
      </c>
      <c r="C66" s="10" t="s">
        <v>357</v>
      </c>
      <c r="D66" s="11" t="s">
        <v>796</v>
      </c>
      <c r="E66" s="11" t="s">
        <v>797</v>
      </c>
      <c r="F66" s="10" t="s">
        <v>112</v>
      </c>
      <c r="G66" s="10"/>
      <c r="H66" s="11" t="s">
        <v>798</v>
      </c>
      <c r="I66" s="10"/>
      <c r="J66" s="10"/>
      <c r="K66" s="10" t="s">
        <v>114</v>
      </c>
      <c r="L66" s="10" t="s">
        <v>114</v>
      </c>
      <c r="M66" s="11"/>
      <c r="N66" s="11" t="s">
        <v>143</v>
      </c>
      <c r="O66" s="12" t="s">
        <v>116</v>
      </c>
      <c r="P66" s="12"/>
      <c r="Q66" s="10" t="str">
        <f t="shared" si="1"/>
        <v/>
      </c>
      <c r="R66" s="12"/>
      <c r="S66" s="13"/>
    </row>
    <row r="67" spans="1:19" ht="36" customHeight="1" x14ac:dyDescent="0.25">
      <c r="A67" s="10" t="s">
        <v>373</v>
      </c>
      <c r="B67" s="10" t="s">
        <v>356</v>
      </c>
      <c r="C67" s="10" t="s">
        <v>357</v>
      </c>
      <c r="D67" s="11" t="s">
        <v>799</v>
      </c>
      <c r="E67" s="11" t="s">
        <v>800</v>
      </c>
      <c r="F67" s="10" t="s">
        <v>112</v>
      </c>
      <c r="G67" s="10"/>
      <c r="H67" s="11" t="s">
        <v>801</v>
      </c>
      <c r="I67" s="10"/>
      <c r="J67" s="10"/>
      <c r="K67" s="10" t="s">
        <v>114</v>
      </c>
      <c r="L67" s="10" t="s">
        <v>114</v>
      </c>
      <c r="M67" s="11"/>
      <c r="N67" s="11" t="s">
        <v>143</v>
      </c>
      <c r="O67" s="12" t="s">
        <v>116</v>
      </c>
      <c r="P67" s="12"/>
      <c r="Q67" s="10" t="str">
        <f t="shared" si="1"/>
        <v/>
      </c>
      <c r="R67" s="12"/>
      <c r="S67" s="13"/>
    </row>
    <row r="68" spans="1:19" ht="36" customHeight="1" x14ac:dyDescent="0.25">
      <c r="A68" s="10" t="s">
        <v>379</v>
      </c>
      <c r="B68" s="10" t="s">
        <v>356</v>
      </c>
      <c r="C68" s="10" t="s">
        <v>357</v>
      </c>
      <c r="D68" s="11" t="s">
        <v>802</v>
      </c>
      <c r="E68" s="11" t="s">
        <v>803</v>
      </c>
      <c r="F68" s="10" t="s">
        <v>112</v>
      </c>
      <c r="G68" s="10"/>
      <c r="H68" s="11" t="s">
        <v>804</v>
      </c>
      <c r="I68" s="10"/>
      <c r="J68" s="10"/>
      <c r="K68" s="10" t="s">
        <v>114</v>
      </c>
      <c r="L68" s="10" t="s">
        <v>114</v>
      </c>
      <c r="M68" s="11"/>
      <c r="N68" s="11" t="s">
        <v>143</v>
      </c>
      <c r="O68" s="12" t="s">
        <v>116</v>
      </c>
      <c r="P68" s="12"/>
      <c r="Q68" s="10" t="str">
        <f t="shared" si="1"/>
        <v/>
      </c>
      <c r="R68" s="12"/>
      <c r="S68" s="13"/>
    </row>
    <row r="69" spans="1:19" ht="36" customHeight="1" x14ac:dyDescent="0.25">
      <c r="A69" s="10" t="s">
        <v>384</v>
      </c>
      <c r="B69" s="10" t="s">
        <v>356</v>
      </c>
      <c r="C69" s="10" t="s">
        <v>357</v>
      </c>
      <c r="D69" s="11" t="s">
        <v>805</v>
      </c>
      <c r="E69" s="11" t="s">
        <v>806</v>
      </c>
      <c r="F69" s="10" t="s">
        <v>112</v>
      </c>
      <c r="G69" s="10"/>
      <c r="H69" s="11" t="s">
        <v>807</v>
      </c>
      <c r="I69" s="10"/>
      <c r="J69" s="10"/>
      <c r="K69" s="10" t="s">
        <v>114</v>
      </c>
      <c r="L69" s="10" t="s">
        <v>114</v>
      </c>
      <c r="M69" s="11"/>
      <c r="N69" s="11" t="s">
        <v>143</v>
      </c>
      <c r="O69" s="12" t="s">
        <v>116</v>
      </c>
      <c r="P69" s="12"/>
      <c r="Q69" s="10" t="str">
        <f t="shared" si="1"/>
        <v/>
      </c>
      <c r="R69" s="12"/>
      <c r="S69" s="13"/>
    </row>
    <row r="70" spans="1:19" ht="36" customHeight="1" x14ac:dyDescent="0.25">
      <c r="A70" s="10" t="s">
        <v>388</v>
      </c>
      <c r="B70" s="10" t="s">
        <v>356</v>
      </c>
      <c r="C70" s="10" t="s">
        <v>357</v>
      </c>
      <c r="D70" s="11" t="s">
        <v>808</v>
      </c>
      <c r="E70" s="11" t="s">
        <v>809</v>
      </c>
      <c r="F70" s="10" t="s">
        <v>112</v>
      </c>
      <c r="G70" s="10"/>
      <c r="H70" s="11" t="s">
        <v>810</v>
      </c>
      <c r="I70" s="10"/>
      <c r="J70" s="10"/>
      <c r="K70" s="10" t="s">
        <v>114</v>
      </c>
      <c r="L70" s="10" t="s">
        <v>114</v>
      </c>
      <c r="M70" s="11"/>
      <c r="N70" s="11" t="s">
        <v>143</v>
      </c>
      <c r="O70" s="12" t="s">
        <v>116</v>
      </c>
      <c r="P70" s="12"/>
      <c r="Q70" s="10" t="str">
        <f t="shared" si="1"/>
        <v/>
      </c>
      <c r="R70" s="12"/>
      <c r="S70" s="13"/>
    </row>
    <row r="71" spans="1:19" ht="36" customHeight="1" x14ac:dyDescent="0.25">
      <c r="A71" s="10" t="s">
        <v>811</v>
      </c>
      <c r="B71" s="10" t="s">
        <v>356</v>
      </c>
      <c r="C71" s="10" t="s">
        <v>357</v>
      </c>
      <c r="D71" s="11" t="s">
        <v>812</v>
      </c>
      <c r="E71" s="11" t="s">
        <v>813</v>
      </c>
      <c r="F71" s="10" t="s">
        <v>112</v>
      </c>
      <c r="G71" s="10"/>
      <c r="H71" s="11" t="s">
        <v>814</v>
      </c>
      <c r="I71" s="10"/>
      <c r="J71" s="10"/>
      <c r="K71" s="10" t="s">
        <v>114</v>
      </c>
      <c r="L71" s="10" t="s">
        <v>114</v>
      </c>
      <c r="M71" s="11"/>
      <c r="N71" s="11" t="s">
        <v>143</v>
      </c>
      <c r="O71" s="12" t="s">
        <v>116</v>
      </c>
      <c r="P71" s="12"/>
      <c r="Q71" s="10" t="str">
        <f t="shared" si="1"/>
        <v/>
      </c>
      <c r="R71" s="12"/>
      <c r="S71" s="13"/>
    </row>
    <row r="72" spans="1:19" ht="36" customHeight="1" x14ac:dyDescent="0.25">
      <c r="A72" s="10" t="s">
        <v>815</v>
      </c>
      <c r="B72" s="10" t="s">
        <v>356</v>
      </c>
      <c r="C72" s="10" t="s">
        <v>357</v>
      </c>
      <c r="D72" s="11" t="s">
        <v>816</v>
      </c>
      <c r="E72" s="11" t="s">
        <v>817</v>
      </c>
      <c r="F72" s="10" t="s">
        <v>112</v>
      </c>
      <c r="G72" s="10"/>
      <c r="H72" s="11" t="s">
        <v>818</v>
      </c>
      <c r="I72" s="10"/>
      <c r="J72" s="10"/>
      <c r="K72" s="10" t="s">
        <v>114</v>
      </c>
      <c r="L72" s="10" t="s">
        <v>114</v>
      </c>
      <c r="M72" s="11"/>
      <c r="N72" s="11" t="s">
        <v>143</v>
      </c>
      <c r="O72" s="12" t="s">
        <v>116</v>
      </c>
      <c r="P72" s="12"/>
      <c r="Q72" s="10" t="str">
        <f t="shared" si="1"/>
        <v/>
      </c>
      <c r="R72" s="12"/>
      <c r="S72" s="13"/>
    </row>
    <row r="73" spans="1:19" ht="48" customHeight="1" x14ac:dyDescent="0.25">
      <c r="A73" s="10" t="s">
        <v>392</v>
      </c>
      <c r="B73" s="10" t="s">
        <v>356</v>
      </c>
      <c r="C73" s="10" t="s">
        <v>393</v>
      </c>
      <c r="D73" s="11" t="s">
        <v>819</v>
      </c>
      <c r="E73" s="11" t="s">
        <v>820</v>
      </c>
      <c r="F73" s="10" t="s">
        <v>140</v>
      </c>
      <c r="G73" s="10" t="s">
        <v>396</v>
      </c>
      <c r="H73" s="11" t="s">
        <v>821</v>
      </c>
      <c r="I73" s="10">
        <v>2.5</v>
      </c>
      <c r="J73" s="10">
        <v>3.3</v>
      </c>
      <c r="K73" s="10" t="s">
        <v>114</v>
      </c>
      <c r="L73" s="10" t="s">
        <v>122</v>
      </c>
      <c r="M73" s="11" t="s">
        <v>822</v>
      </c>
      <c r="N73" s="11" t="s">
        <v>557</v>
      </c>
      <c r="O73" s="12" t="s">
        <v>116</v>
      </c>
      <c r="P73" s="12"/>
      <c r="Q73" s="10" t="str">
        <f t="shared" ref="Q73:Q104" si="2">IF($F73&lt;&gt;"Numérico","",IF($P73="","Sin dato",IF(AND(OR(NOT(ISNUMBER($I73)),$P73&gt;=$I73),OR(NOT(ISNUMBER($J73)),$P73&lt;=$J73)),"Dentro de rango","Fuera de rango")))</f>
        <v>Sin dato</v>
      </c>
      <c r="R73" s="12"/>
      <c r="S73" s="13"/>
    </row>
    <row r="74" spans="1:19" ht="36" customHeight="1" x14ac:dyDescent="0.25">
      <c r="A74" s="10" t="s">
        <v>399</v>
      </c>
      <c r="B74" s="10" t="s">
        <v>356</v>
      </c>
      <c r="C74" s="10" t="s">
        <v>823</v>
      </c>
      <c r="D74" s="11" t="s">
        <v>824</v>
      </c>
      <c r="E74" s="11" t="s">
        <v>825</v>
      </c>
      <c r="F74" s="10" t="s">
        <v>112</v>
      </c>
      <c r="G74" s="10"/>
      <c r="H74" s="11" t="s">
        <v>826</v>
      </c>
      <c r="I74" s="10"/>
      <c r="J74" s="10"/>
      <c r="K74" s="10" t="s">
        <v>114</v>
      </c>
      <c r="L74" s="10" t="s">
        <v>114</v>
      </c>
      <c r="M74" s="11"/>
      <c r="N74" s="11" t="s">
        <v>143</v>
      </c>
      <c r="O74" s="12" t="s">
        <v>116</v>
      </c>
      <c r="P74" s="12"/>
      <c r="Q74" s="10" t="str">
        <f t="shared" si="2"/>
        <v/>
      </c>
      <c r="R74" s="12"/>
      <c r="S74" s="13"/>
    </row>
    <row r="75" spans="1:19" ht="36" customHeight="1" x14ac:dyDescent="0.25">
      <c r="A75" s="10" t="s">
        <v>405</v>
      </c>
      <c r="B75" s="10" t="s">
        <v>356</v>
      </c>
      <c r="C75" s="10" t="s">
        <v>823</v>
      </c>
      <c r="D75" s="11" t="s">
        <v>827</v>
      </c>
      <c r="E75" s="11" t="s">
        <v>828</v>
      </c>
      <c r="F75" s="10" t="s">
        <v>112</v>
      </c>
      <c r="G75" s="10"/>
      <c r="H75" s="11" t="s">
        <v>829</v>
      </c>
      <c r="I75" s="10"/>
      <c r="J75" s="10"/>
      <c r="K75" s="10" t="s">
        <v>114</v>
      </c>
      <c r="L75" s="10" t="s">
        <v>114</v>
      </c>
      <c r="M75" s="11"/>
      <c r="N75" s="11" t="s">
        <v>143</v>
      </c>
      <c r="O75" s="12" t="s">
        <v>116</v>
      </c>
      <c r="P75" s="12"/>
      <c r="Q75" s="10" t="str">
        <f t="shared" si="2"/>
        <v/>
      </c>
      <c r="R75" s="12"/>
      <c r="S75" s="13"/>
    </row>
    <row r="76" spans="1:19" ht="36" customHeight="1" x14ac:dyDescent="0.25">
      <c r="A76" s="10" t="s">
        <v>830</v>
      </c>
      <c r="B76" s="10" t="s">
        <v>356</v>
      </c>
      <c r="C76" s="10" t="s">
        <v>823</v>
      </c>
      <c r="D76" s="11" t="s">
        <v>831</v>
      </c>
      <c r="E76" s="11" t="s">
        <v>832</v>
      </c>
      <c r="F76" s="10" t="s">
        <v>112</v>
      </c>
      <c r="G76" s="10"/>
      <c r="H76" s="11" t="s">
        <v>833</v>
      </c>
      <c r="I76" s="10"/>
      <c r="J76" s="10"/>
      <c r="K76" s="10" t="s">
        <v>114</v>
      </c>
      <c r="L76" s="10" t="s">
        <v>114</v>
      </c>
      <c r="M76" s="11"/>
      <c r="N76" s="11" t="s">
        <v>433</v>
      </c>
      <c r="O76" s="12" t="s">
        <v>116</v>
      </c>
      <c r="P76" s="12"/>
      <c r="Q76" s="10" t="str">
        <f t="shared" si="2"/>
        <v/>
      </c>
      <c r="R76" s="12"/>
      <c r="S76" s="13"/>
    </row>
    <row r="77" spans="1:19" ht="36" customHeight="1" x14ac:dyDescent="0.25">
      <c r="A77" s="10" t="s">
        <v>834</v>
      </c>
      <c r="B77" s="10" t="s">
        <v>356</v>
      </c>
      <c r="C77" s="10" t="s">
        <v>823</v>
      </c>
      <c r="D77" s="11" t="s">
        <v>835</v>
      </c>
      <c r="E77" s="11" t="s">
        <v>836</v>
      </c>
      <c r="F77" s="10" t="s">
        <v>112</v>
      </c>
      <c r="G77" s="10"/>
      <c r="H77" s="11" t="s">
        <v>837</v>
      </c>
      <c r="I77" s="10"/>
      <c r="J77" s="10"/>
      <c r="K77" s="10" t="s">
        <v>114</v>
      </c>
      <c r="L77" s="10" t="s">
        <v>114</v>
      </c>
      <c r="M77" s="11"/>
      <c r="N77" s="11" t="s">
        <v>433</v>
      </c>
      <c r="O77" s="12" t="s">
        <v>116</v>
      </c>
      <c r="P77" s="12"/>
      <c r="Q77" s="10" t="str">
        <f t="shared" si="2"/>
        <v/>
      </c>
      <c r="R77" s="12"/>
      <c r="S77" s="13"/>
    </row>
    <row r="78" spans="1:19" ht="36" customHeight="1" x14ac:dyDescent="0.25">
      <c r="A78" s="10" t="s">
        <v>411</v>
      </c>
      <c r="B78" s="10" t="s">
        <v>356</v>
      </c>
      <c r="C78" s="10" t="s">
        <v>838</v>
      </c>
      <c r="D78" s="11" t="s">
        <v>839</v>
      </c>
      <c r="E78" s="11" t="s">
        <v>840</v>
      </c>
      <c r="F78" s="10" t="s">
        <v>112</v>
      </c>
      <c r="G78" s="10"/>
      <c r="H78" s="11" t="s">
        <v>841</v>
      </c>
      <c r="I78" s="10"/>
      <c r="J78" s="10"/>
      <c r="K78" s="10" t="s">
        <v>114</v>
      </c>
      <c r="L78" s="10" t="s">
        <v>114</v>
      </c>
      <c r="M78" s="11" t="s">
        <v>842</v>
      </c>
      <c r="N78" s="11" t="s">
        <v>843</v>
      </c>
      <c r="O78" s="12" t="s">
        <v>116</v>
      </c>
      <c r="P78" s="12"/>
      <c r="Q78" s="10" t="str">
        <f t="shared" si="2"/>
        <v/>
      </c>
      <c r="R78" s="12"/>
      <c r="S78" s="13"/>
    </row>
    <row r="79" spans="1:19" ht="36" customHeight="1" x14ac:dyDescent="0.25">
      <c r="A79" s="10" t="s">
        <v>422</v>
      </c>
      <c r="B79" s="10" t="s">
        <v>356</v>
      </c>
      <c r="C79" s="10" t="s">
        <v>844</v>
      </c>
      <c r="D79" s="11" t="s">
        <v>845</v>
      </c>
      <c r="E79" s="11" t="s">
        <v>846</v>
      </c>
      <c r="F79" s="10" t="s">
        <v>140</v>
      </c>
      <c r="G79" s="10" t="s">
        <v>396</v>
      </c>
      <c r="H79" s="11" t="s">
        <v>847</v>
      </c>
      <c r="I79" s="10">
        <v>0</v>
      </c>
      <c r="J79" s="10">
        <v>0.1</v>
      </c>
      <c r="K79" s="10" t="s">
        <v>114</v>
      </c>
      <c r="L79" s="10" t="s">
        <v>122</v>
      </c>
      <c r="M79" s="11"/>
      <c r="N79" s="11" t="s">
        <v>557</v>
      </c>
      <c r="O79" s="12" t="s">
        <v>116</v>
      </c>
      <c r="P79" s="12"/>
      <c r="Q79" s="10" t="str">
        <f t="shared" si="2"/>
        <v>Sin dato</v>
      </c>
      <c r="R79" s="12"/>
      <c r="S79" s="13"/>
    </row>
    <row r="80" spans="1:19" ht="36" customHeight="1" x14ac:dyDescent="0.25">
      <c r="A80" s="10" t="s">
        <v>428</v>
      </c>
      <c r="B80" s="10" t="s">
        <v>356</v>
      </c>
      <c r="C80" s="10" t="s">
        <v>844</v>
      </c>
      <c r="D80" s="11" t="s">
        <v>848</v>
      </c>
      <c r="E80" s="11" t="s">
        <v>849</v>
      </c>
      <c r="F80" s="10" t="s">
        <v>140</v>
      </c>
      <c r="G80" s="10" t="s">
        <v>396</v>
      </c>
      <c r="H80" s="11" t="s">
        <v>850</v>
      </c>
      <c r="I80" s="10">
        <v>0.99</v>
      </c>
      <c r="J80" s="10">
        <v>1.01</v>
      </c>
      <c r="K80" s="10" t="s">
        <v>114</v>
      </c>
      <c r="L80" s="10" t="s">
        <v>122</v>
      </c>
      <c r="M80" s="11"/>
      <c r="N80" s="11" t="s">
        <v>557</v>
      </c>
      <c r="O80" s="12" t="s">
        <v>116</v>
      </c>
      <c r="P80" s="12"/>
      <c r="Q80" s="10" t="str">
        <f t="shared" si="2"/>
        <v>Sin dato</v>
      </c>
      <c r="R80" s="12"/>
      <c r="S80" s="13"/>
    </row>
    <row r="81" spans="1:19" ht="36" customHeight="1" x14ac:dyDescent="0.25">
      <c r="A81" s="10" t="s">
        <v>851</v>
      </c>
      <c r="B81" s="10" t="s">
        <v>356</v>
      </c>
      <c r="C81" s="10" t="s">
        <v>844</v>
      </c>
      <c r="D81" s="11" t="s">
        <v>852</v>
      </c>
      <c r="E81" s="11" t="s">
        <v>853</v>
      </c>
      <c r="F81" s="10" t="s">
        <v>112</v>
      </c>
      <c r="G81" s="10"/>
      <c r="H81" s="11" t="s">
        <v>854</v>
      </c>
      <c r="I81" s="10"/>
      <c r="J81" s="10"/>
      <c r="K81" s="10" t="s">
        <v>114</v>
      </c>
      <c r="L81" s="10" t="s">
        <v>114</v>
      </c>
      <c r="M81" s="11"/>
      <c r="N81" s="11" t="s">
        <v>557</v>
      </c>
      <c r="O81" s="12" t="s">
        <v>116</v>
      </c>
      <c r="P81" s="12"/>
      <c r="Q81" s="10" t="str">
        <f t="shared" si="2"/>
        <v/>
      </c>
      <c r="R81" s="12"/>
      <c r="S81" s="13"/>
    </row>
    <row r="82" spans="1:19" ht="36" customHeight="1" x14ac:dyDescent="0.25">
      <c r="A82" s="10" t="s">
        <v>855</v>
      </c>
      <c r="B82" s="10" t="s">
        <v>356</v>
      </c>
      <c r="C82" s="10" t="s">
        <v>856</v>
      </c>
      <c r="D82" s="11" t="s">
        <v>857</v>
      </c>
      <c r="E82" s="11" t="s">
        <v>858</v>
      </c>
      <c r="F82" s="10" t="s">
        <v>112</v>
      </c>
      <c r="G82" s="10"/>
      <c r="H82" s="11" t="s">
        <v>859</v>
      </c>
      <c r="I82" s="10"/>
      <c r="J82" s="10"/>
      <c r="K82" s="10" t="s">
        <v>114</v>
      </c>
      <c r="L82" s="10" t="s">
        <v>114</v>
      </c>
      <c r="M82" s="11" t="s">
        <v>860</v>
      </c>
      <c r="N82" s="11" t="s">
        <v>433</v>
      </c>
      <c r="O82" s="12" t="s">
        <v>116</v>
      </c>
      <c r="P82" s="12"/>
      <c r="Q82" s="10" t="str">
        <f t="shared" si="2"/>
        <v/>
      </c>
      <c r="R82" s="12"/>
      <c r="S82" s="13"/>
    </row>
    <row r="83" spans="1:19" ht="36" customHeight="1" x14ac:dyDescent="0.25">
      <c r="A83" s="10" t="s">
        <v>861</v>
      </c>
      <c r="B83" s="10" t="s">
        <v>356</v>
      </c>
      <c r="C83" s="10" t="s">
        <v>856</v>
      </c>
      <c r="D83" s="11" t="s">
        <v>862</v>
      </c>
      <c r="E83" s="11" t="s">
        <v>863</v>
      </c>
      <c r="F83" s="10" t="s">
        <v>112</v>
      </c>
      <c r="G83" s="10"/>
      <c r="H83" s="11" t="s">
        <v>864</v>
      </c>
      <c r="I83" s="10"/>
      <c r="J83" s="10"/>
      <c r="K83" s="10" t="s">
        <v>114</v>
      </c>
      <c r="L83" s="10" t="s">
        <v>114</v>
      </c>
      <c r="M83" s="11"/>
      <c r="N83" s="11" t="s">
        <v>143</v>
      </c>
      <c r="O83" s="12" t="s">
        <v>116</v>
      </c>
      <c r="P83" s="12"/>
      <c r="Q83" s="10" t="str">
        <f t="shared" si="2"/>
        <v/>
      </c>
      <c r="R83" s="12"/>
      <c r="S83" s="13"/>
    </row>
    <row r="84" spans="1:19" ht="36" customHeight="1" x14ac:dyDescent="0.25">
      <c r="A84" s="10" t="s">
        <v>865</v>
      </c>
      <c r="B84" s="10" t="s">
        <v>356</v>
      </c>
      <c r="C84" s="10" t="s">
        <v>866</v>
      </c>
      <c r="D84" s="11" t="s">
        <v>867</v>
      </c>
      <c r="E84" s="11" t="s">
        <v>868</v>
      </c>
      <c r="F84" s="10" t="s">
        <v>112</v>
      </c>
      <c r="G84" s="10" t="s">
        <v>869</v>
      </c>
      <c r="H84" s="11" t="s">
        <v>870</v>
      </c>
      <c r="I84" s="10"/>
      <c r="J84" s="10"/>
      <c r="K84" s="10" t="s">
        <v>114</v>
      </c>
      <c r="L84" s="10" t="s">
        <v>114</v>
      </c>
      <c r="M84" s="11" t="s">
        <v>871</v>
      </c>
      <c r="N84" s="11" t="s">
        <v>872</v>
      </c>
      <c r="O84" s="12" t="s">
        <v>116</v>
      </c>
      <c r="P84" s="12"/>
      <c r="Q84" s="10" t="str">
        <f t="shared" si="2"/>
        <v/>
      </c>
      <c r="R84" s="12"/>
      <c r="S84" s="13"/>
    </row>
    <row r="85" spans="1:19" ht="36" customHeight="1" x14ac:dyDescent="0.25">
      <c r="A85" s="10" t="s">
        <v>434</v>
      </c>
      <c r="B85" s="10" t="s">
        <v>435</v>
      </c>
      <c r="C85" s="10" t="s">
        <v>436</v>
      </c>
      <c r="D85" s="11" t="s">
        <v>873</v>
      </c>
      <c r="E85" s="11" t="s">
        <v>874</v>
      </c>
      <c r="F85" s="10" t="s">
        <v>140</v>
      </c>
      <c r="G85" s="10" t="s">
        <v>141</v>
      </c>
      <c r="H85" s="11" t="s">
        <v>875</v>
      </c>
      <c r="I85" s="10"/>
      <c r="J85" s="10">
        <v>17520</v>
      </c>
      <c r="K85" s="10" t="s">
        <v>114</v>
      </c>
      <c r="L85" s="10" t="s">
        <v>122</v>
      </c>
      <c r="M85" s="11" t="s">
        <v>876</v>
      </c>
      <c r="N85" s="11" t="s">
        <v>587</v>
      </c>
      <c r="O85" s="12" t="s">
        <v>116</v>
      </c>
      <c r="P85" s="12"/>
      <c r="Q85" s="10" t="str">
        <f t="shared" si="2"/>
        <v>Sin dato</v>
      </c>
      <c r="R85" s="12"/>
      <c r="S85" s="13"/>
    </row>
    <row r="86" spans="1:19" ht="36" customHeight="1" x14ac:dyDescent="0.25">
      <c r="A86" s="10" t="s">
        <v>441</v>
      </c>
      <c r="B86" s="10" t="s">
        <v>435</v>
      </c>
      <c r="C86" s="10" t="s">
        <v>436</v>
      </c>
      <c r="D86" s="11" t="s">
        <v>877</v>
      </c>
      <c r="E86" s="11" t="s">
        <v>878</v>
      </c>
      <c r="F86" s="10" t="s">
        <v>140</v>
      </c>
      <c r="G86" s="10" t="s">
        <v>141</v>
      </c>
      <c r="H86" s="11" t="s">
        <v>879</v>
      </c>
      <c r="I86" s="10"/>
      <c r="J86" s="10">
        <v>17520</v>
      </c>
      <c r="K86" s="10" t="s">
        <v>114</v>
      </c>
      <c r="L86" s="10" t="s">
        <v>122</v>
      </c>
      <c r="M86" s="11" t="s">
        <v>787</v>
      </c>
      <c r="N86" s="11" t="s">
        <v>587</v>
      </c>
      <c r="O86" s="12" t="s">
        <v>116</v>
      </c>
      <c r="P86" s="12"/>
      <c r="Q86" s="10" t="str">
        <f t="shared" si="2"/>
        <v>Sin dato</v>
      </c>
      <c r="R86" s="12"/>
      <c r="S86" s="13"/>
    </row>
    <row r="87" spans="1:19" ht="36" customHeight="1" x14ac:dyDescent="0.25">
      <c r="A87" s="10" t="s">
        <v>446</v>
      </c>
      <c r="B87" s="10" t="s">
        <v>435</v>
      </c>
      <c r="C87" s="10" t="s">
        <v>436</v>
      </c>
      <c r="D87" s="11" t="s">
        <v>880</v>
      </c>
      <c r="E87" s="11" t="s">
        <v>881</v>
      </c>
      <c r="F87" s="10" t="s">
        <v>140</v>
      </c>
      <c r="G87" s="10" t="s">
        <v>141</v>
      </c>
      <c r="H87" s="11" t="s">
        <v>882</v>
      </c>
      <c r="I87" s="10"/>
      <c r="J87" s="10">
        <v>17520</v>
      </c>
      <c r="K87" s="10" t="s">
        <v>114</v>
      </c>
      <c r="L87" s="10" t="s">
        <v>122</v>
      </c>
      <c r="M87" s="11" t="s">
        <v>783</v>
      </c>
      <c r="N87" s="11" t="s">
        <v>587</v>
      </c>
      <c r="O87" s="12" t="s">
        <v>116</v>
      </c>
      <c r="P87" s="12"/>
      <c r="Q87" s="10" t="str">
        <f t="shared" si="2"/>
        <v>Sin dato</v>
      </c>
      <c r="R87" s="12"/>
      <c r="S87" s="13"/>
    </row>
    <row r="88" spans="1:19" ht="36" customHeight="1" x14ac:dyDescent="0.25">
      <c r="A88" s="10" t="s">
        <v>451</v>
      </c>
      <c r="B88" s="10" t="s">
        <v>435</v>
      </c>
      <c r="C88" s="10" t="s">
        <v>436</v>
      </c>
      <c r="D88" s="11" t="s">
        <v>883</v>
      </c>
      <c r="E88" s="11" t="s">
        <v>884</v>
      </c>
      <c r="F88" s="10" t="s">
        <v>140</v>
      </c>
      <c r="G88" s="10" t="s">
        <v>141</v>
      </c>
      <c r="H88" s="11" t="s">
        <v>885</v>
      </c>
      <c r="I88" s="10"/>
      <c r="J88" s="10">
        <v>17520</v>
      </c>
      <c r="K88" s="10" t="s">
        <v>114</v>
      </c>
      <c r="L88" s="10" t="s">
        <v>122</v>
      </c>
      <c r="M88" s="11" t="s">
        <v>886</v>
      </c>
      <c r="N88" s="11" t="s">
        <v>587</v>
      </c>
      <c r="O88" s="12" t="s">
        <v>116</v>
      </c>
      <c r="P88" s="12"/>
      <c r="Q88" s="10" t="str">
        <f t="shared" si="2"/>
        <v>Sin dato</v>
      </c>
      <c r="R88" s="12"/>
      <c r="S88" s="13"/>
    </row>
    <row r="89" spans="1:19" ht="48" customHeight="1" x14ac:dyDescent="0.25">
      <c r="A89" s="10" t="s">
        <v>456</v>
      </c>
      <c r="B89" s="10" t="s">
        <v>435</v>
      </c>
      <c r="C89" s="10" t="s">
        <v>436</v>
      </c>
      <c r="D89" s="11" t="s">
        <v>887</v>
      </c>
      <c r="E89" s="11" t="s">
        <v>888</v>
      </c>
      <c r="F89" s="10" t="s">
        <v>140</v>
      </c>
      <c r="G89" s="10" t="s">
        <v>141</v>
      </c>
      <c r="H89" s="11" t="s">
        <v>889</v>
      </c>
      <c r="I89" s="10"/>
      <c r="J89" s="10"/>
      <c r="K89" s="10" t="s">
        <v>114</v>
      </c>
      <c r="L89" s="10" t="s">
        <v>122</v>
      </c>
      <c r="M89" s="11" t="s">
        <v>731</v>
      </c>
      <c r="N89" s="11" t="s">
        <v>587</v>
      </c>
      <c r="O89" s="12" t="s">
        <v>116</v>
      </c>
      <c r="P89" s="12"/>
      <c r="Q89" s="10" t="str">
        <f t="shared" si="2"/>
        <v>Sin dato</v>
      </c>
      <c r="R89" s="12"/>
      <c r="S89" s="13"/>
    </row>
    <row r="90" spans="1:19" ht="36" customHeight="1" x14ac:dyDescent="0.25">
      <c r="A90" s="10" t="s">
        <v>467</v>
      </c>
      <c r="B90" s="10" t="s">
        <v>468</v>
      </c>
      <c r="C90" s="10" t="s">
        <v>469</v>
      </c>
      <c r="D90" s="11" t="s">
        <v>890</v>
      </c>
      <c r="E90" s="11" t="s">
        <v>891</v>
      </c>
      <c r="F90" s="10" t="s">
        <v>140</v>
      </c>
      <c r="G90" s="10" t="s">
        <v>472</v>
      </c>
      <c r="H90" s="11" t="s">
        <v>892</v>
      </c>
      <c r="I90" s="10">
        <v>26</v>
      </c>
      <c r="J90" s="10">
        <v>34</v>
      </c>
      <c r="K90" s="10" t="s">
        <v>114</v>
      </c>
      <c r="L90" s="10" t="s">
        <v>122</v>
      </c>
      <c r="M90" s="11"/>
      <c r="N90" s="11" t="s">
        <v>557</v>
      </c>
      <c r="O90" s="12" t="s">
        <v>116</v>
      </c>
      <c r="P90" s="12"/>
      <c r="Q90" s="10" t="str">
        <f t="shared" si="2"/>
        <v>Sin dato</v>
      </c>
      <c r="R90" s="12"/>
      <c r="S90" s="13"/>
    </row>
    <row r="91" spans="1:19" ht="48" customHeight="1" x14ac:dyDescent="0.25">
      <c r="A91" s="10" t="s">
        <v>478</v>
      </c>
      <c r="B91" s="10" t="s">
        <v>468</v>
      </c>
      <c r="C91" s="10" t="s">
        <v>479</v>
      </c>
      <c r="D91" s="11" t="s">
        <v>893</v>
      </c>
      <c r="E91" s="11" t="s">
        <v>894</v>
      </c>
      <c r="F91" s="10" t="s">
        <v>140</v>
      </c>
      <c r="G91" s="10" t="s">
        <v>186</v>
      </c>
      <c r="H91" s="11" t="s">
        <v>895</v>
      </c>
      <c r="I91" s="10"/>
      <c r="J91" s="10"/>
      <c r="K91" s="10" t="s">
        <v>114</v>
      </c>
      <c r="L91" s="10" t="s">
        <v>122</v>
      </c>
      <c r="M91" s="11"/>
      <c r="N91" s="11" t="s">
        <v>557</v>
      </c>
      <c r="O91" s="12" t="s">
        <v>116</v>
      </c>
      <c r="P91" s="12"/>
      <c r="Q91" s="10" t="str">
        <f t="shared" si="2"/>
        <v>Sin dato</v>
      </c>
      <c r="R91" s="12"/>
      <c r="S91" s="13"/>
    </row>
    <row r="92" spans="1:19" ht="36" customHeight="1" x14ac:dyDescent="0.25">
      <c r="A92" s="10" t="s">
        <v>484</v>
      </c>
      <c r="B92" s="10" t="s">
        <v>468</v>
      </c>
      <c r="C92" s="10" t="s">
        <v>479</v>
      </c>
      <c r="D92" s="11" t="s">
        <v>896</v>
      </c>
      <c r="E92" s="11" t="s">
        <v>897</v>
      </c>
      <c r="F92" s="10" t="s">
        <v>140</v>
      </c>
      <c r="G92" s="10" t="s">
        <v>186</v>
      </c>
      <c r="H92" s="11" t="s">
        <v>898</v>
      </c>
      <c r="I92" s="10"/>
      <c r="J92" s="10">
        <v>65</v>
      </c>
      <c r="K92" s="10" t="s">
        <v>114</v>
      </c>
      <c r="L92" s="10" t="s">
        <v>122</v>
      </c>
      <c r="M92" s="11"/>
      <c r="N92" s="11" t="s">
        <v>557</v>
      </c>
      <c r="O92" s="12" t="s">
        <v>116</v>
      </c>
      <c r="P92" s="12"/>
      <c r="Q92" s="10" t="str">
        <f t="shared" si="2"/>
        <v>Sin dato</v>
      </c>
      <c r="R92" s="12"/>
      <c r="S92" s="13"/>
    </row>
    <row r="93" spans="1:19" ht="36" customHeight="1" x14ac:dyDescent="0.25">
      <c r="A93" s="10" t="s">
        <v>490</v>
      </c>
      <c r="B93" s="10" t="s">
        <v>468</v>
      </c>
      <c r="C93" s="10" t="s">
        <v>899</v>
      </c>
      <c r="D93" s="11" t="s">
        <v>900</v>
      </c>
      <c r="E93" s="11" t="s">
        <v>901</v>
      </c>
      <c r="F93" s="10" t="s">
        <v>140</v>
      </c>
      <c r="G93" s="10" t="s">
        <v>191</v>
      </c>
      <c r="H93" s="11" t="s">
        <v>902</v>
      </c>
      <c r="I93" s="10">
        <v>0.6</v>
      </c>
      <c r="J93" s="10">
        <v>1</v>
      </c>
      <c r="K93" s="10" t="s">
        <v>114</v>
      </c>
      <c r="L93" s="10" t="s">
        <v>122</v>
      </c>
      <c r="M93" s="11"/>
      <c r="N93" s="11" t="s">
        <v>557</v>
      </c>
      <c r="O93" s="12" t="s">
        <v>116</v>
      </c>
      <c r="P93" s="12"/>
      <c r="Q93" s="10" t="str">
        <f t="shared" si="2"/>
        <v>Sin dato</v>
      </c>
      <c r="R93" s="12"/>
      <c r="S93" s="13"/>
    </row>
    <row r="94" spans="1:19" ht="36" customHeight="1" x14ac:dyDescent="0.25">
      <c r="A94" s="10" t="s">
        <v>903</v>
      </c>
      <c r="B94" s="10" t="s">
        <v>468</v>
      </c>
      <c r="C94" s="10" t="s">
        <v>904</v>
      </c>
      <c r="D94" s="11" t="s">
        <v>905</v>
      </c>
      <c r="E94" s="11" t="s">
        <v>906</v>
      </c>
      <c r="F94" s="10" t="s">
        <v>140</v>
      </c>
      <c r="G94" s="10" t="s">
        <v>396</v>
      </c>
      <c r="H94" s="11" t="s">
        <v>907</v>
      </c>
      <c r="I94" s="10">
        <v>23.5</v>
      </c>
      <c r="J94" s="10">
        <v>24.5</v>
      </c>
      <c r="K94" s="10" t="s">
        <v>114</v>
      </c>
      <c r="L94" s="10" t="s">
        <v>122</v>
      </c>
      <c r="M94" s="11"/>
      <c r="N94" s="11" t="s">
        <v>557</v>
      </c>
      <c r="O94" s="12" t="s">
        <v>116</v>
      </c>
      <c r="P94" s="12"/>
      <c r="Q94" s="10" t="str">
        <f t="shared" si="2"/>
        <v>Sin dato</v>
      </c>
      <c r="R94" s="12"/>
      <c r="S94" s="13"/>
    </row>
    <row r="95" spans="1:19" ht="36" customHeight="1" x14ac:dyDescent="0.25">
      <c r="A95" s="10" t="s">
        <v>908</v>
      </c>
      <c r="B95" s="10" t="s">
        <v>468</v>
      </c>
      <c r="C95" s="10" t="s">
        <v>904</v>
      </c>
      <c r="D95" s="11" t="s">
        <v>909</v>
      </c>
      <c r="E95" s="11" t="s">
        <v>910</v>
      </c>
      <c r="F95" s="10" t="s">
        <v>140</v>
      </c>
      <c r="G95" s="10" t="s">
        <v>396</v>
      </c>
      <c r="H95" s="11" t="s">
        <v>911</v>
      </c>
      <c r="I95" s="10">
        <v>4.5</v>
      </c>
      <c r="J95" s="10">
        <v>5.5</v>
      </c>
      <c r="K95" s="10" t="s">
        <v>114</v>
      </c>
      <c r="L95" s="10" t="s">
        <v>122</v>
      </c>
      <c r="M95" s="11"/>
      <c r="N95" s="11" t="s">
        <v>557</v>
      </c>
      <c r="O95" s="12" t="s">
        <v>116</v>
      </c>
      <c r="P95" s="12"/>
      <c r="Q95" s="10" t="str">
        <f t="shared" si="2"/>
        <v>Sin dato</v>
      </c>
      <c r="R95" s="12"/>
      <c r="S95" s="13"/>
    </row>
    <row r="96" spans="1:19" ht="36" customHeight="1" x14ac:dyDescent="0.25">
      <c r="A96" s="10" t="s">
        <v>499</v>
      </c>
      <c r="B96" s="10" t="s">
        <v>500</v>
      </c>
      <c r="C96" s="10" t="s">
        <v>912</v>
      </c>
      <c r="D96" s="11" t="s">
        <v>913</v>
      </c>
      <c r="E96" s="11" t="s">
        <v>914</v>
      </c>
      <c r="F96" s="10" t="s">
        <v>140</v>
      </c>
      <c r="G96" s="10" t="s">
        <v>472</v>
      </c>
      <c r="H96" s="11" t="s">
        <v>915</v>
      </c>
      <c r="I96" s="10">
        <v>5</v>
      </c>
      <c r="J96" s="10">
        <v>40</v>
      </c>
      <c r="K96" s="10" t="s">
        <v>114</v>
      </c>
      <c r="L96" s="10" t="s">
        <v>122</v>
      </c>
      <c r="M96" s="11"/>
      <c r="N96" s="11" t="s">
        <v>557</v>
      </c>
      <c r="O96" s="12" t="s">
        <v>116</v>
      </c>
      <c r="P96" s="12"/>
      <c r="Q96" s="10" t="str">
        <f t="shared" si="2"/>
        <v>Sin dato</v>
      </c>
      <c r="R96" s="12"/>
      <c r="S96" s="13"/>
    </row>
    <row r="97" spans="1:19" ht="36" customHeight="1" x14ac:dyDescent="0.25">
      <c r="A97" s="10" t="s">
        <v>506</v>
      </c>
      <c r="B97" s="10" t="s">
        <v>500</v>
      </c>
      <c r="C97" s="10" t="s">
        <v>912</v>
      </c>
      <c r="D97" s="11" t="s">
        <v>916</v>
      </c>
      <c r="E97" s="11" t="s">
        <v>917</v>
      </c>
      <c r="F97" s="10" t="s">
        <v>140</v>
      </c>
      <c r="G97" s="10" t="s">
        <v>487</v>
      </c>
      <c r="H97" s="11" t="s">
        <v>918</v>
      </c>
      <c r="I97" s="10"/>
      <c r="J97" s="10">
        <v>85</v>
      </c>
      <c r="K97" s="10" t="s">
        <v>114</v>
      </c>
      <c r="L97" s="10" t="s">
        <v>122</v>
      </c>
      <c r="M97" s="11"/>
      <c r="N97" s="11" t="s">
        <v>557</v>
      </c>
      <c r="O97" s="12" t="s">
        <v>116</v>
      </c>
      <c r="P97" s="12"/>
      <c r="Q97" s="10" t="str">
        <f t="shared" si="2"/>
        <v>Sin dato</v>
      </c>
      <c r="R97" s="12"/>
      <c r="S97" s="13"/>
    </row>
    <row r="98" spans="1:19" ht="36" customHeight="1" x14ac:dyDescent="0.25">
      <c r="A98" s="10" t="s">
        <v>511</v>
      </c>
      <c r="B98" s="10" t="s">
        <v>500</v>
      </c>
      <c r="C98" s="10" t="s">
        <v>912</v>
      </c>
      <c r="D98" s="11" t="s">
        <v>919</v>
      </c>
      <c r="E98" s="11" t="s">
        <v>920</v>
      </c>
      <c r="F98" s="10" t="s">
        <v>140</v>
      </c>
      <c r="G98" s="10" t="s">
        <v>921</v>
      </c>
      <c r="H98" s="11" t="s">
        <v>922</v>
      </c>
      <c r="I98" s="10"/>
      <c r="J98" s="10">
        <v>0.1</v>
      </c>
      <c r="K98" s="10" t="s">
        <v>114</v>
      </c>
      <c r="L98" s="10" t="s">
        <v>122</v>
      </c>
      <c r="M98" s="11"/>
      <c r="N98" s="11" t="s">
        <v>557</v>
      </c>
      <c r="O98" s="12" t="s">
        <v>116</v>
      </c>
      <c r="P98" s="12"/>
      <c r="Q98" s="10" t="str">
        <f t="shared" si="2"/>
        <v>Sin dato</v>
      </c>
      <c r="R98" s="12"/>
      <c r="S98" s="13"/>
    </row>
    <row r="99" spans="1:19" ht="36" customHeight="1" x14ac:dyDescent="0.25">
      <c r="A99" s="10" t="s">
        <v>516</v>
      </c>
      <c r="B99" s="10" t="s">
        <v>500</v>
      </c>
      <c r="C99" s="10" t="s">
        <v>923</v>
      </c>
      <c r="D99" s="11" t="s">
        <v>924</v>
      </c>
      <c r="E99" s="11" t="s">
        <v>925</v>
      </c>
      <c r="F99" s="10" t="s">
        <v>112</v>
      </c>
      <c r="G99" s="10"/>
      <c r="H99" s="11" t="s">
        <v>926</v>
      </c>
      <c r="I99" s="10"/>
      <c r="J99" s="10"/>
      <c r="K99" s="10" t="s">
        <v>114</v>
      </c>
      <c r="L99" s="10" t="s">
        <v>114</v>
      </c>
      <c r="M99" s="11"/>
      <c r="N99" s="11" t="s">
        <v>557</v>
      </c>
      <c r="O99" s="12" t="s">
        <v>116</v>
      </c>
      <c r="P99" s="12"/>
      <c r="Q99" s="10" t="str">
        <f t="shared" si="2"/>
        <v/>
      </c>
      <c r="R99" s="12"/>
      <c r="S99" s="13"/>
    </row>
    <row r="100" spans="1:19" ht="48" customHeight="1" x14ac:dyDescent="0.25">
      <c r="A100" s="10" t="s">
        <v>927</v>
      </c>
      <c r="B100" s="10" t="s">
        <v>500</v>
      </c>
      <c r="C100" s="10" t="s">
        <v>923</v>
      </c>
      <c r="D100" s="11" t="s">
        <v>928</v>
      </c>
      <c r="E100" s="11" t="s">
        <v>929</v>
      </c>
      <c r="F100" s="10" t="s">
        <v>140</v>
      </c>
      <c r="G100" s="10" t="s">
        <v>530</v>
      </c>
      <c r="H100" s="11" t="s">
        <v>930</v>
      </c>
      <c r="I100" s="10">
        <v>150</v>
      </c>
      <c r="J100" s="10"/>
      <c r="K100" s="10" t="s">
        <v>114</v>
      </c>
      <c r="L100" s="10" t="s">
        <v>122</v>
      </c>
      <c r="M100" s="11"/>
      <c r="N100" s="11" t="s">
        <v>557</v>
      </c>
      <c r="O100" s="12" t="s">
        <v>116</v>
      </c>
      <c r="P100" s="12"/>
      <c r="Q100" s="10" t="str">
        <f t="shared" si="2"/>
        <v>Sin dato</v>
      </c>
      <c r="R100" s="12"/>
      <c r="S100" s="13"/>
    </row>
    <row r="101" spans="1:19" ht="36" customHeight="1" x14ac:dyDescent="0.25">
      <c r="A101" s="10" t="s">
        <v>931</v>
      </c>
      <c r="B101" s="10" t="s">
        <v>500</v>
      </c>
      <c r="C101" s="10" t="s">
        <v>923</v>
      </c>
      <c r="D101" s="11" t="s">
        <v>932</v>
      </c>
      <c r="E101" s="11" t="s">
        <v>933</v>
      </c>
      <c r="F101" s="10" t="s">
        <v>120</v>
      </c>
      <c r="G101" s="10"/>
      <c r="H101" s="11" t="s">
        <v>934</v>
      </c>
      <c r="I101" s="10"/>
      <c r="J101" s="10"/>
      <c r="K101" s="10" t="s">
        <v>114</v>
      </c>
      <c r="L101" s="10" t="s">
        <v>122</v>
      </c>
      <c r="M101" s="11"/>
      <c r="N101" s="11" t="s">
        <v>557</v>
      </c>
      <c r="O101" s="12" t="s">
        <v>116</v>
      </c>
      <c r="P101" s="12"/>
      <c r="Q101" s="10" t="str">
        <f t="shared" si="2"/>
        <v/>
      </c>
      <c r="R101" s="12"/>
      <c r="S101" s="13"/>
    </row>
    <row r="102" spans="1:19" ht="36" customHeight="1" x14ac:dyDescent="0.25">
      <c r="A102" s="10" t="s">
        <v>522</v>
      </c>
      <c r="B102" s="10" t="s">
        <v>500</v>
      </c>
      <c r="C102" s="10" t="s">
        <v>935</v>
      </c>
      <c r="D102" s="11" t="s">
        <v>936</v>
      </c>
      <c r="E102" s="11" t="s">
        <v>937</v>
      </c>
      <c r="F102" s="10" t="s">
        <v>112</v>
      </c>
      <c r="G102" s="10"/>
      <c r="H102" s="11" t="s">
        <v>938</v>
      </c>
      <c r="I102" s="10"/>
      <c r="J102" s="10"/>
      <c r="K102" s="10" t="s">
        <v>114</v>
      </c>
      <c r="L102" s="10" t="s">
        <v>114</v>
      </c>
      <c r="M102" s="11" t="s">
        <v>510</v>
      </c>
      <c r="N102" s="11" t="s">
        <v>939</v>
      </c>
      <c r="O102" s="12" t="s">
        <v>116</v>
      </c>
      <c r="P102" s="12"/>
      <c r="Q102" s="10" t="str">
        <f t="shared" si="2"/>
        <v/>
      </c>
      <c r="R102" s="12"/>
      <c r="S102" s="13"/>
    </row>
    <row r="103" spans="1:19" ht="36" customHeight="1" x14ac:dyDescent="0.25">
      <c r="A103" s="10" t="s">
        <v>532</v>
      </c>
      <c r="B103" s="10" t="s">
        <v>500</v>
      </c>
      <c r="C103" s="10" t="s">
        <v>940</v>
      </c>
      <c r="D103" s="11" t="s">
        <v>941</v>
      </c>
      <c r="E103" s="11" t="s">
        <v>942</v>
      </c>
      <c r="F103" s="10" t="s">
        <v>112</v>
      </c>
      <c r="G103" s="10"/>
      <c r="H103" s="11" t="s">
        <v>943</v>
      </c>
      <c r="I103" s="10"/>
      <c r="J103" s="10"/>
      <c r="K103" s="10" t="s">
        <v>114</v>
      </c>
      <c r="L103" s="10" t="s">
        <v>114</v>
      </c>
      <c r="M103" s="11"/>
      <c r="N103" s="11" t="s">
        <v>143</v>
      </c>
      <c r="O103" s="12" t="s">
        <v>116</v>
      </c>
      <c r="P103" s="12"/>
      <c r="Q103" s="10" t="str">
        <f t="shared" si="2"/>
        <v/>
      </c>
      <c r="R103" s="12"/>
      <c r="S103" s="13"/>
    </row>
    <row r="104" spans="1:19" ht="36" customHeight="1" x14ac:dyDescent="0.25">
      <c r="A104" s="10" t="s">
        <v>537</v>
      </c>
      <c r="B104" s="10" t="s">
        <v>500</v>
      </c>
      <c r="C104" s="10" t="s">
        <v>940</v>
      </c>
      <c r="D104" s="11" t="s">
        <v>944</v>
      </c>
      <c r="E104" s="11" t="s">
        <v>945</v>
      </c>
      <c r="F104" s="10" t="s">
        <v>112</v>
      </c>
      <c r="G104" s="10"/>
      <c r="H104" s="11" t="s">
        <v>946</v>
      </c>
      <c r="I104" s="10"/>
      <c r="J104" s="10"/>
      <c r="K104" s="10" t="s">
        <v>114</v>
      </c>
      <c r="L104" s="10" t="s">
        <v>114</v>
      </c>
      <c r="M104" s="11"/>
      <c r="N104" s="11" t="s">
        <v>143</v>
      </c>
      <c r="O104" s="12" t="s">
        <v>116</v>
      </c>
      <c r="P104" s="12"/>
      <c r="Q104" s="10" t="str">
        <f t="shared" si="2"/>
        <v/>
      </c>
      <c r="R104" s="12"/>
      <c r="S104" s="13"/>
    </row>
  </sheetData>
  <autoFilter ref="A8:S104" xr:uid="{00000000-0009-0000-0000-000002000000}"/>
  <conditionalFormatting sqref="O9:O104">
    <cfRule type="cellIs" dxfId="11" priority="1" operator="equal">
      <formula>"Conforme"</formula>
    </cfRule>
    <cfRule type="cellIs" dxfId="10" priority="2" operator="equal">
      <formula>"No conforme"</formula>
    </cfRule>
    <cfRule type="cellIs" dxfId="9" priority="3" operator="equal">
      <formula>"Requiere reemplazo"</formula>
    </cfRule>
  </conditionalFormatting>
  <conditionalFormatting sqref="Q9:Q104">
    <cfRule type="cellIs" dxfId="8" priority="4" operator="equal">
      <formula>"Fuera de rango"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200-000000000000}">
          <x14:formula1>
            <xm:f>Listas!$A$2:$A$6</xm:f>
          </x14:formula1>
          <xm:sqref>O9:O104</xm:sqref>
        </x14:dataValidation>
        <x14:dataValidation type="list" allowBlank="1" xr:uid="{00000000-0002-0000-0200-000001000000}">
          <x14:formula1>
            <xm:f>Listas!$B$2:$B$4</xm:f>
          </x14:formula1>
          <xm:sqref>R9:R104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88"/>
  <sheetViews>
    <sheetView showGridLines="0" workbookViewId="0">
      <pane xSplit="4" ySplit="8" topLeftCell="E9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9" customWidth="1"/>
    <col min="2" max="2" width="30" customWidth="1"/>
    <col min="3" max="3" width="32" customWidth="1"/>
    <col min="4" max="4" width="34" customWidth="1"/>
    <col min="5" max="5" width="46" customWidth="1"/>
    <col min="6" max="6" width="14" customWidth="1"/>
    <col min="7" max="7" width="10" customWidth="1"/>
    <col min="8" max="8" width="52" customWidth="1"/>
    <col min="9" max="10" width="10" customWidth="1"/>
    <col min="11" max="11" width="11" customWidth="1"/>
    <col min="12" max="12" width="14" customWidth="1"/>
    <col min="13" max="13" width="30" customWidth="1"/>
    <col min="14" max="14" width="34" customWidth="1"/>
    <col min="15" max="15" width="19" customWidth="1"/>
    <col min="16" max="16" width="13" customWidth="1"/>
    <col min="17" max="17" width="17" customWidth="1"/>
    <col min="18" max="18" width="12" customWidth="1"/>
    <col min="19" max="19" width="46" customWidth="1"/>
  </cols>
  <sheetData>
    <row r="1" spans="1:19" ht="18" customHeight="1" x14ac:dyDescent="0.25">
      <c r="A1" s="5" t="s">
        <v>947</v>
      </c>
    </row>
    <row r="3" spans="1:19" x14ac:dyDescent="0.25">
      <c r="A3" s="6" t="s">
        <v>78</v>
      </c>
      <c r="B3" s="7"/>
      <c r="D3" s="6" t="s">
        <v>79</v>
      </c>
      <c r="E3" s="7" t="s">
        <v>948</v>
      </c>
    </row>
    <row r="4" spans="1:19" x14ac:dyDescent="0.25">
      <c r="A4" s="6" t="s">
        <v>81</v>
      </c>
      <c r="B4" s="7"/>
      <c r="D4" s="6" t="s">
        <v>82</v>
      </c>
      <c r="E4" s="7"/>
    </row>
    <row r="5" spans="1:19" x14ac:dyDescent="0.25">
      <c r="A5" s="6" t="s">
        <v>83</v>
      </c>
      <c r="B5" s="8" t="s">
        <v>949</v>
      </c>
      <c r="D5" s="6" t="s">
        <v>85</v>
      </c>
      <c r="E5" s="7"/>
    </row>
    <row r="6" spans="1:19" x14ac:dyDescent="0.25">
      <c r="A6" s="6" t="s">
        <v>86</v>
      </c>
      <c r="B6" s="7"/>
      <c r="D6" s="6" t="s">
        <v>87</v>
      </c>
      <c r="E6" s="7"/>
    </row>
    <row r="8" spans="1:19" ht="31.5" customHeight="1" x14ac:dyDescent="0.25">
      <c r="A8" s="9" t="s">
        <v>88</v>
      </c>
      <c r="B8" s="9" t="s">
        <v>89</v>
      </c>
      <c r="C8" s="9" t="s">
        <v>90</v>
      </c>
      <c r="D8" s="9" t="s">
        <v>91</v>
      </c>
      <c r="E8" s="9" t="s">
        <v>92</v>
      </c>
      <c r="F8" s="9" t="s">
        <v>93</v>
      </c>
      <c r="G8" s="9" t="s">
        <v>94</v>
      </c>
      <c r="H8" s="9" t="s">
        <v>95</v>
      </c>
      <c r="I8" s="9" t="s">
        <v>96</v>
      </c>
      <c r="J8" s="9" t="s">
        <v>97</v>
      </c>
      <c r="K8" s="9" t="s">
        <v>98</v>
      </c>
      <c r="L8" s="9" t="s">
        <v>99</v>
      </c>
      <c r="M8" s="9" t="s">
        <v>100</v>
      </c>
      <c r="N8" s="9" t="s">
        <v>101</v>
      </c>
      <c r="O8" s="9" t="s">
        <v>102</v>
      </c>
      <c r="P8" s="9" t="s">
        <v>103</v>
      </c>
      <c r="Q8" s="9" t="s">
        <v>104</v>
      </c>
      <c r="R8" s="9" t="s">
        <v>105</v>
      </c>
      <c r="S8" s="9" t="s">
        <v>106</v>
      </c>
    </row>
    <row r="9" spans="1:19" ht="36" customHeight="1" x14ac:dyDescent="0.25">
      <c r="A9" s="10" t="s">
        <v>107</v>
      </c>
      <c r="B9" s="10" t="s">
        <v>108</v>
      </c>
      <c r="C9" s="10" t="s">
        <v>109</v>
      </c>
      <c r="D9" s="11" t="s">
        <v>950</v>
      </c>
      <c r="E9" s="11" t="s">
        <v>951</v>
      </c>
      <c r="F9" s="10" t="s">
        <v>112</v>
      </c>
      <c r="G9" s="10"/>
      <c r="H9" s="11" t="s">
        <v>952</v>
      </c>
      <c r="I9" s="10"/>
      <c r="J9" s="10"/>
      <c r="K9" s="10" t="s">
        <v>114</v>
      </c>
      <c r="L9" s="10" t="s">
        <v>114</v>
      </c>
      <c r="M9" s="11"/>
      <c r="N9" s="11" t="s">
        <v>953</v>
      </c>
      <c r="O9" s="12" t="s">
        <v>116</v>
      </c>
      <c r="P9" s="12"/>
      <c r="Q9" s="10" t="str">
        <f t="shared" ref="Q9:Q40" si="0">IF($F9&lt;&gt;"Numérico","",IF($P9="","Sin dato",IF(AND(OR(NOT(ISNUMBER($I9)),$P9&gt;=$I9),OR(NOT(ISNUMBER($J9)),$P9&lt;=$J9)),"Dentro de rango","Fuera de rango")))</f>
        <v/>
      </c>
      <c r="R9" s="12"/>
      <c r="S9" s="13"/>
    </row>
    <row r="10" spans="1:19" ht="36" customHeight="1" x14ac:dyDescent="0.25">
      <c r="A10" s="10" t="s">
        <v>117</v>
      </c>
      <c r="B10" s="10" t="s">
        <v>108</v>
      </c>
      <c r="C10" s="10" t="s">
        <v>109</v>
      </c>
      <c r="D10" s="11" t="s">
        <v>954</v>
      </c>
      <c r="E10" s="11" t="s">
        <v>955</v>
      </c>
      <c r="F10" s="10" t="s">
        <v>120</v>
      </c>
      <c r="G10" s="10"/>
      <c r="H10" s="11" t="s">
        <v>956</v>
      </c>
      <c r="I10" s="10"/>
      <c r="J10" s="10"/>
      <c r="K10" s="10" t="s">
        <v>114</v>
      </c>
      <c r="L10" s="10" t="s">
        <v>122</v>
      </c>
      <c r="M10" s="11"/>
      <c r="N10" s="11" t="s">
        <v>953</v>
      </c>
      <c r="O10" s="12" t="s">
        <v>116</v>
      </c>
      <c r="P10" s="12"/>
      <c r="Q10" s="10" t="str">
        <f t="shared" si="0"/>
        <v/>
      </c>
      <c r="R10" s="12"/>
      <c r="S10" s="13"/>
    </row>
    <row r="11" spans="1:19" ht="36" customHeight="1" x14ac:dyDescent="0.25">
      <c r="A11" s="10" t="s">
        <v>123</v>
      </c>
      <c r="B11" s="10" t="s">
        <v>108</v>
      </c>
      <c r="C11" s="10" t="s">
        <v>109</v>
      </c>
      <c r="D11" s="11" t="s">
        <v>957</v>
      </c>
      <c r="E11" s="11" t="s">
        <v>958</v>
      </c>
      <c r="F11" s="10" t="s">
        <v>112</v>
      </c>
      <c r="G11" s="10"/>
      <c r="H11" s="11" t="s">
        <v>959</v>
      </c>
      <c r="I11" s="10"/>
      <c r="J11" s="10"/>
      <c r="K11" s="10" t="s">
        <v>114</v>
      </c>
      <c r="L11" s="10" t="s">
        <v>114</v>
      </c>
      <c r="M11" s="11"/>
      <c r="N11" s="11" t="s">
        <v>143</v>
      </c>
      <c r="O11" s="12" t="s">
        <v>116</v>
      </c>
      <c r="P11" s="12"/>
      <c r="Q11" s="10" t="str">
        <f t="shared" si="0"/>
        <v/>
      </c>
      <c r="R11" s="12"/>
      <c r="S11" s="13"/>
    </row>
    <row r="12" spans="1:19" ht="36" customHeight="1" x14ac:dyDescent="0.25">
      <c r="A12" s="10" t="s">
        <v>129</v>
      </c>
      <c r="B12" s="10" t="s">
        <v>108</v>
      </c>
      <c r="C12" s="10" t="s">
        <v>960</v>
      </c>
      <c r="D12" s="11" t="s">
        <v>961</v>
      </c>
      <c r="E12" s="11" t="s">
        <v>962</v>
      </c>
      <c r="F12" s="10" t="s">
        <v>120</v>
      </c>
      <c r="G12" s="10"/>
      <c r="H12" s="11" t="s">
        <v>963</v>
      </c>
      <c r="I12" s="10"/>
      <c r="J12" s="10"/>
      <c r="K12" s="10" t="s">
        <v>114</v>
      </c>
      <c r="L12" s="10" t="s">
        <v>122</v>
      </c>
      <c r="M12" s="11"/>
      <c r="N12" s="11" t="s">
        <v>953</v>
      </c>
      <c r="O12" s="12" t="s">
        <v>116</v>
      </c>
      <c r="P12" s="12"/>
      <c r="Q12" s="10" t="str">
        <f t="shared" si="0"/>
        <v/>
      </c>
      <c r="R12" s="12"/>
      <c r="S12" s="13"/>
    </row>
    <row r="13" spans="1:19" ht="36" customHeight="1" x14ac:dyDescent="0.25">
      <c r="A13" s="10" t="s">
        <v>561</v>
      </c>
      <c r="B13" s="10" t="s">
        <v>108</v>
      </c>
      <c r="C13" s="10" t="s">
        <v>960</v>
      </c>
      <c r="D13" s="11" t="s">
        <v>964</v>
      </c>
      <c r="E13" s="11" t="s">
        <v>965</v>
      </c>
      <c r="F13" s="10" t="s">
        <v>112</v>
      </c>
      <c r="G13" s="10"/>
      <c r="H13" s="11" t="s">
        <v>966</v>
      </c>
      <c r="I13" s="10"/>
      <c r="J13" s="10"/>
      <c r="K13" s="10" t="s">
        <v>114</v>
      </c>
      <c r="L13" s="10" t="s">
        <v>114</v>
      </c>
      <c r="M13" s="11" t="s">
        <v>967</v>
      </c>
      <c r="N13" s="11" t="s">
        <v>953</v>
      </c>
      <c r="O13" s="12" t="s">
        <v>116</v>
      </c>
      <c r="P13" s="12"/>
      <c r="Q13" s="10" t="str">
        <f t="shared" si="0"/>
        <v/>
      </c>
      <c r="R13" s="12"/>
      <c r="S13" s="13"/>
    </row>
    <row r="14" spans="1:19" ht="36" customHeight="1" x14ac:dyDescent="0.25">
      <c r="A14" s="10" t="s">
        <v>565</v>
      </c>
      <c r="B14" s="10" t="s">
        <v>108</v>
      </c>
      <c r="C14" s="10" t="s">
        <v>960</v>
      </c>
      <c r="D14" s="11" t="s">
        <v>968</v>
      </c>
      <c r="E14" s="11" t="s">
        <v>969</v>
      </c>
      <c r="F14" s="10" t="s">
        <v>112</v>
      </c>
      <c r="G14" s="10"/>
      <c r="H14" s="11" t="s">
        <v>970</v>
      </c>
      <c r="I14" s="10"/>
      <c r="J14" s="10"/>
      <c r="K14" s="10" t="s">
        <v>114</v>
      </c>
      <c r="L14" s="10" t="s">
        <v>114</v>
      </c>
      <c r="M14" s="11" t="s">
        <v>971</v>
      </c>
      <c r="N14" s="11" t="s">
        <v>953</v>
      </c>
      <c r="O14" s="12" t="s">
        <v>116</v>
      </c>
      <c r="P14" s="12"/>
      <c r="Q14" s="10" t="str">
        <f t="shared" si="0"/>
        <v/>
      </c>
      <c r="R14" s="12"/>
      <c r="S14" s="13"/>
    </row>
    <row r="15" spans="1:19" ht="48" customHeight="1" x14ac:dyDescent="0.25">
      <c r="A15" s="10" t="s">
        <v>136</v>
      </c>
      <c r="B15" s="10" t="s">
        <v>108</v>
      </c>
      <c r="C15" s="10" t="s">
        <v>137</v>
      </c>
      <c r="D15" s="11" t="s">
        <v>972</v>
      </c>
      <c r="E15" s="11" t="s">
        <v>973</v>
      </c>
      <c r="F15" s="10" t="s">
        <v>140</v>
      </c>
      <c r="G15" s="10" t="s">
        <v>141</v>
      </c>
      <c r="H15" s="11" t="s">
        <v>974</v>
      </c>
      <c r="I15" s="10">
        <v>3</v>
      </c>
      <c r="J15" s="10"/>
      <c r="K15" s="10" t="s">
        <v>114</v>
      </c>
      <c r="L15" s="10" t="s">
        <v>122</v>
      </c>
      <c r="M15" s="11"/>
      <c r="N15" s="11" t="s">
        <v>953</v>
      </c>
      <c r="O15" s="12" t="s">
        <v>116</v>
      </c>
      <c r="P15" s="12"/>
      <c r="Q15" s="10" t="str">
        <f t="shared" si="0"/>
        <v>Sin dato</v>
      </c>
      <c r="R15" s="12"/>
      <c r="S15" s="13"/>
    </row>
    <row r="16" spans="1:19" ht="36" customHeight="1" x14ac:dyDescent="0.25">
      <c r="A16" s="10" t="s">
        <v>144</v>
      </c>
      <c r="B16" s="10" t="s">
        <v>145</v>
      </c>
      <c r="C16" s="10" t="s">
        <v>146</v>
      </c>
      <c r="D16" s="11" t="s">
        <v>576</v>
      </c>
      <c r="E16" s="11" t="s">
        <v>975</v>
      </c>
      <c r="F16" s="10" t="s">
        <v>133</v>
      </c>
      <c r="G16" s="10"/>
      <c r="H16" s="11" t="s">
        <v>976</v>
      </c>
      <c r="I16" s="10"/>
      <c r="J16" s="10"/>
      <c r="K16" s="10" t="s">
        <v>114</v>
      </c>
      <c r="L16" s="10" t="s">
        <v>122</v>
      </c>
      <c r="M16" s="11"/>
      <c r="N16" s="11" t="s">
        <v>977</v>
      </c>
      <c r="O16" s="12" t="s">
        <v>116</v>
      </c>
      <c r="P16" s="12"/>
      <c r="Q16" s="10" t="str">
        <f t="shared" si="0"/>
        <v/>
      </c>
      <c r="R16" s="12"/>
      <c r="S16" s="13"/>
    </row>
    <row r="17" spans="1:19" ht="36" customHeight="1" x14ac:dyDescent="0.25">
      <c r="A17" s="10" t="s">
        <v>155</v>
      </c>
      <c r="B17" s="10" t="s">
        <v>145</v>
      </c>
      <c r="C17" s="10" t="s">
        <v>978</v>
      </c>
      <c r="D17" s="11" t="s">
        <v>979</v>
      </c>
      <c r="E17" s="11" t="s">
        <v>980</v>
      </c>
      <c r="F17" s="10" t="s">
        <v>133</v>
      </c>
      <c r="G17" s="10"/>
      <c r="H17" s="11" t="s">
        <v>981</v>
      </c>
      <c r="I17" s="10"/>
      <c r="J17" s="10"/>
      <c r="K17" s="10" t="s">
        <v>114</v>
      </c>
      <c r="L17" s="10" t="s">
        <v>122</v>
      </c>
      <c r="M17" s="11"/>
      <c r="N17" s="11" t="s">
        <v>143</v>
      </c>
      <c r="O17" s="12" t="s">
        <v>116</v>
      </c>
      <c r="P17" s="12"/>
      <c r="Q17" s="10" t="str">
        <f t="shared" si="0"/>
        <v/>
      </c>
      <c r="R17" s="12"/>
      <c r="S17" s="13"/>
    </row>
    <row r="18" spans="1:19" ht="36" customHeight="1" x14ac:dyDescent="0.25">
      <c r="A18" s="10" t="s">
        <v>588</v>
      </c>
      <c r="B18" s="10" t="s">
        <v>145</v>
      </c>
      <c r="C18" s="10" t="s">
        <v>978</v>
      </c>
      <c r="D18" s="11" t="s">
        <v>982</v>
      </c>
      <c r="E18" s="11" t="s">
        <v>983</v>
      </c>
      <c r="F18" s="10" t="s">
        <v>133</v>
      </c>
      <c r="G18" s="10"/>
      <c r="H18" s="11" t="s">
        <v>984</v>
      </c>
      <c r="I18" s="10"/>
      <c r="J18" s="10"/>
      <c r="K18" s="10" t="s">
        <v>114</v>
      </c>
      <c r="L18" s="10" t="s">
        <v>122</v>
      </c>
      <c r="M18" s="11"/>
      <c r="N18" s="11" t="s">
        <v>135</v>
      </c>
      <c r="O18" s="12" t="s">
        <v>116</v>
      </c>
      <c r="P18" s="12"/>
      <c r="Q18" s="10" t="str">
        <f t="shared" si="0"/>
        <v/>
      </c>
      <c r="R18" s="12"/>
      <c r="S18" s="13"/>
    </row>
    <row r="19" spans="1:19" ht="36" customHeight="1" x14ac:dyDescent="0.25">
      <c r="A19" s="10" t="s">
        <v>160</v>
      </c>
      <c r="B19" s="10" t="s">
        <v>145</v>
      </c>
      <c r="C19" s="10" t="s">
        <v>161</v>
      </c>
      <c r="D19" s="11" t="s">
        <v>589</v>
      </c>
      <c r="E19" s="11" t="s">
        <v>985</v>
      </c>
      <c r="F19" s="10" t="s">
        <v>164</v>
      </c>
      <c r="G19" s="10"/>
      <c r="H19" s="11" t="s">
        <v>986</v>
      </c>
      <c r="I19" s="10"/>
      <c r="J19" s="10"/>
      <c r="K19" s="10" t="s">
        <v>114</v>
      </c>
      <c r="L19" s="10" t="s">
        <v>114</v>
      </c>
      <c r="M19" s="11"/>
      <c r="N19" s="11" t="s">
        <v>987</v>
      </c>
      <c r="O19" s="12" t="s">
        <v>116</v>
      </c>
      <c r="P19" s="12"/>
      <c r="Q19" s="10" t="str">
        <f t="shared" si="0"/>
        <v/>
      </c>
      <c r="R19" s="12"/>
      <c r="S19" s="13"/>
    </row>
    <row r="20" spans="1:19" ht="36" customHeight="1" x14ac:dyDescent="0.25">
      <c r="A20" s="10" t="s">
        <v>167</v>
      </c>
      <c r="B20" s="10" t="s">
        <v>145</v>
      </c>
      <c r="C20" s="10" t="s">
        <v>161</v>
      </c>
      <c r="D20" s="11" t="s">
        <v>988</v>
      </c>
      <c r="E20" s="11" t="s">
        <v>989</v>
      </c>
      <c r="F20" s="10" t="s">
        <v>164</v>
      </c>
      <c r="G20" s="10"/>
      <c r="H20" s="11" t="s">
        <v>990</v>
      </c>
      <c r="I20" s="10"/>
      <c r="J20" s="10"/>
      <c r="K20" s="10" t="s">
        <v>114</v>
      </c>
      <c r="L20" s="10" t="s">
        <v>114</v>
      </c>
      <c r="M20" s="11"/>
      <c r="N20" s="11" t="s">
        <v>991</v>
      </c>
      <c r="O20" s="12" t="s">
        <v>116</v>
      </c>
      <c r="P20" s="12"/>
      <c r="Q20" s="10" t="str">
        <f t="shared" si="0"/>
        <v/>
      </c>
      <c r="R20" s="12"/>
      <c r="S20" s="13"/>
    </row>
    <row r="21" spans="1:19" ht="36" customHeight="1" x14ac:dyDescent="0.25">
      <c r="A21" s="10" t="s">
        <v>992</v>
      </c>
      <c r="B21" s="10" t="s">
        <v>145</v>
      </c>
      <c r="C21" s="10" t="s">
        <v>993</v>
      </c>
      <c r="D21" s="11" t="s">
        <v>994</v>
      </c>
      <c r="E21" s="11" t="s">
        <v>995</v>
      </c>
      <c r="F21" s="10" t="s">
        <v>112</v>
      </c>
      <c r="G21" s="10"/>
      <c r="H21" s="11" t="s">
        <v>996</v>
      </c>
      <c r="I21" s="10"/>
      <c r="J21" s="10"/>
      <c r="K21" s="10" t="s">
        <v>114</v>
      </c>
      <c r="L21" s="10" t="s">
        <v>114</v>
      </c>
      <c r="M21" s="11"/>
      <c r="N21" s="11" t="s">
        <v>953</v>
      </c>
      <c r="O21" s="12" t="s">
        <v>116</v>
      </c>
      <c r="P21" s="12"/>
      <c r="Q21" s="10" t="str">
        <f t="shared" si="0"/>
        <v/>
      </c>
      <c r="R21" s="12"/>
      <c r="S21" s="13"/>
    </row>
    <row r="22" spans="1:19" ht="36" customHeight="1" x14ac:dyDescent="0.25">
      <c r="A22" s="10" t="s">
        <v>171</v>
      </c>
      <c r="B22" s="10" t="s">
        <v>172</v>
      </c>
      <c r="C22" s="10" t="s">
        <v>173</v>
      </c>
      <c r="D22" s="11" t="s">
        <v>997</v>
      </c>
      <c r="E22" s="11" t="s">
        <v>998</v>
      </c>
      <c r="F22" s="10" t="s">
        <v>140</v>
      </c>
      <c r="G22" s="10" t="s">
        <v>176</v>
      </c>
      <c r="H22" s="11" t="s">
        <v>999</v>
      </c>
      <c r="I22" s="10">
        <v>-3500</v>
      </c>
      <c r="J22" s="10">
        <v>3500</v>
      </c>
      <c r="K22" s="10" t="s">
        <v>114</v>
      </c>
      <c r="L22" s="10" t="s">
        <v>122</v>
      </c>
      <c r="M22" s="11"/>
      <c r="N22" s="11" t="s">
        <v>953</v>
      </c>
      <c r="O22" s="12" t="s">
        <v>116</v>
      </c>
      <c r="P22" s="12"/>
      <c r="Q22" s="10" t="str">
        <f t="shared" si="0"/>
        <v>Sin dato</v>
      </c>
      <c r="R22" s="12"/>
      <c r="S22" s="13"/>
    </row>
    <row r="23" spans="1:19" ht="36" customHeight="1" x14ac:dyDescent="0.25">
      <c r="A23" s="10" t="s">
        <v>178</v>
      </c>
      <c r="B23" s="10" t="s">
        <v>172</v>
      </c>
      <c r="C23" s="10" t="s">
        <v>173</v>
      </c>
      <c r="D23" s="11" t="s">
        <v>1000</v>
      </c>
      <c r="E23" s="11" t="s">
        <v>1001</v>
      </c>
      <c r="F23" s="10" t="s">
        <v>140</v>
      </c>
      <c r="G23" s="10"/>
      <c r="H23" s="11" t="s">
        <v>1002</v>
      </c>
      <c r="I23" s="10">
        <v>0.5</v>
      </c>
      <c r="J23" s="10">
        <v>2</v>
      </c>
      <c r="K23" s="10" t="s">
        <v>114</v>
      </c>
      <c r="L23" s="10" t="s">
        <v>122</v>
      </c>
      <c r="M23" s="11"/>
      <c r="N23" s="11" t="s">
        <v>953</v>
      </c>
      <c r="O23" s="12" t="s">
        <v>116</v>
      </c>
      <c r="P23" s="12"/>
      <c r="Q23" s="10" t="str">
        <f t="shared" si="0"/>
        <v>Sin dato</v>
      </c>
      <c r="R23" s="12"/>
      <c r="S23" s="13"/>
    </row>
    <row r="24" spans="1:19" ht="36" customHeight="1" x14ac:dyDescent="0.25">
      <c r="A24" s="10" t="s">
        <v>182</v>
      </c>
      <c r="B24" s="10" t="s">
        <v>172</v>
      </c>
      <c r="C24" s="10" t="s">
        <v>1003</v>
      </c>
      <c r="D24" s="11" t="s">
        <v>1004</v>
      </c>
      <c r="E24" s="11" t="s">
        <v>1005</v>
      </c>
      <c r="F24" s="10" t="s">
        <v>140</v>
      </c>
      <c r="G24" s="10" t="s">
        <v>176</v>
      </c>
      <c r="H24" s="11" t="s">
        <v>1006</v>
      </c>
      <c r="I24" s="10">
        <v>-32768</v>
      </c>
      <c r="J24" s="10">
        <v>32767</v>
      </c>
      <c r="K24" s="10" t="s">
        <v>114</v>
      </c>
      <c r="L24" s="10" t="s">
        <v>122</v>
      </c>
      <c r="M24" s="11"/>
      <c r="N24" s="11" t="s">
        <v>143</v>
      </c>
      <c r="O24" s="12" t="s">
        <v>116</v>
      </c>
      <c r="P24" s="12"/>
      <c r="Q24" s="10" t="str">
        <f t="shared" si="0"/>
        <v>Sin dato</v>
      </c>
      <c r="R24" s="12"/>
      <c r="S24" s="13"/>
    </row>
    <row r="25" spans="1:19" ht="36" customHeight="1" x14ac:dyDescent="0.25">
      <c r="A25" s="10" t="s">
        <v>188</v>
      </c>
      <c r="B25" s="10" t="s">
        <v>172</v>
      </c>
      <c r="C25" s="10" t="s">
        <v>1003</v>
      </c>
      <c r="D25" s="11" t="s">
        <v>1007</v>
      </c>
      <c r="E25" s="11" t="s">
        <v>1008</v>
      </c>
      <c r="F25" s="10" t="s">
        <v>140</v>
      </c>
      <c r="G25" s="10"/>
      <c r="H25" s="11" t="s">
        <v>1009</v>
      </c>
      <c r="I25" s="10">
        <v>0.7</v>
      </c>
      <c r="J25" s="10">
        <v>1.3</v>
      </c>
      <c r="K25" s="10" t="s">
        <v>114</v>
      </c>
      <c r="L25" s="10" t="s">
        <v>122</v>
      </c>
      <c r="M25" s="11"/>
      <c r="N25" s="11" t="s">
        <v>143</v>
      </c>
      <c r="O25" s="12" t="s">
        <v>116</v>
      </c>
      <c r="P25" s="12"/>
      <c r="Q25" s="10" t="str">
        <f t="shared" si="0"/>
        <v>Sin dato</v>
      </c>
      <c r="R25" s="12"/>
      <c r="S25" s="13"/>
    </row>
    <row r="26" spans="1:19" ht="36" customHeight="1" x14ac:dyDescent="0.25">
      <c r="A26" s="10" t="s">
        <v>193</v>
      </c>
      <c r="B26" s="10" t="s">
        <v>172</v>
      </c>
      <c r="C26" s="10" t="s">
        <v>1010</v>
      </c>
      <c r="D26" s="11" t="s">
        <v>1011</v>
      </c>
      <c r="E26" s="11" t="s">
        <v>1012</v>
      </c>
      <c r="F26" s="10" t="s">
        <v>140</v>
      </c>
      <c r="G26" s="10" t="s">
        <v>605</v>
      </c>
      <c r="H26" s="11" t="s">
        <v>1013</v>
      </c>
      <c r="I26" s="10">
        <v>-500</v>
      </c>
      <c r="J26" s="10">
        <v>500</v>
      </c>
      <c r="K26" s="10" t="s">
        <v>114</v>
      </c>
      <c r="L26" s="10" t="s">
        <v>122</v>
      </c>
      <c r="M26" s="11"/>
      <c r="N26" s="11" t="s">
        <v>953</v>
      </c>
      <c r="O26" s="12" t="s">
        <v>116</v>
      </c>
      <c r="P26" s="12"/>
      <c r="Q26" s="10" t="str">
        <f t="shared" si="0"/>
        <v>Sin dato</v>
      </c>
      <c r="R26" s="12"/>
      <c r="S26" s="13"/>
    </row>
    <row r="27" spans="1:19" ht="48" customHeight="1" x14ac:dyDescent="0.25">
      <c r="A27" s="10" t="s">
        <v>199</v>
      </c>
      <c r="B27" s="10" t="s">
        <v>172</v>
      </c>
      <c r="C27" s="10" t="s">
        <v>1010</v>
      </c>
      <c r="D27" s="11" t="s">
        <v>1014</v>
      </c>
      <c r="E27" s="11" t="s">
        <v>1015</v>
      </c>
      <c r="F27" s="10" t="s">
        <v>112</v>
      </c>
      <c r="G27" s="10"/>
      <c r="H27" s="11" t="s">
        <v>1016</v>
      </c>
      <c r="I27" s="10"/>
      <c r="J27" s="10"/>
      <c r="K27" s="10" t="s">
        <v>114</v>
      </c>
      <c r="L27" s="10" t="s">
        <v>114</v>
      </c>
      <c r="M27" s="11"/>
      <c r="N27" s="11" t="s">
        <v>953</v>
      </c>
      <c r="O27" s="12" t="s">
        <v>116</v>
      </c>
      <c r="P27" s="12"/>
      <c r="Q27" s="10" t="str">
        <f t="shared" si="0"/>
        <v/>
      </c>
      <c r="R27" s="12"/>
      <c r="S27" s="13"/>
    </row>
    <row r="28" spans="1:19" ht="36" customHeight="1" x14ac:dyDescent="0.25">
      <c r="A28" s="10" t="s">
        <v>616</v>
      </c>
      <c r="B28" s="10" t="s">
        <v>172</v>
      </c>
      <c r="C28" s="10" t="s">
        <v>1017</v>
      </c>
      <c r="D28" s="11" t="s">
        <v>1018</v>
      </c>
      <c r="E28" s="11" t="s">
        <v>1019</v>
      </c>
      <c r="F28" s="10" t="s">
        <v>140</v>
      </c>
      <c r="G28" s="10" t="s">
        <v>1020</v>
      </c>
      <c r="H28" s="11" t="s">
        <v>1021</v>
      </c>
      <c r="I28" s="10">
        <v>-1</v>
      </c>
      <c r="J28" s="10">
        <v>1</v>
      </c>
      <c r="K28" s="10" t="s">
        <v>114</v>
      </c>
      <c r="L28" s="10" t="s">
        <v>122</v>
      </c>
      <c r="M28" s="11"/>
      <c r="N28" s="11" t="s">
        <v>953</v>
      </c>
      <c r="O28" s="12" t="s">
        <v>116</v>
      </c>
      <c r="P28" s="12"/>
      <c r="Q28" s="10" t="str">
        <f t="shared" si="0"/>
        <v>Sin dato</v>
      </c>
      <c r="R28" s="12"/>
      <c r="S28" s="13"/>
    </row>
    <row r="29" spans="1:19" ht="48" customHeight="1" x14ac:dyDescent="0.25">
      <c r="A29" s="10" t="s">
        <v>207</v>
      </c>
      <c r="B29" s="10" t="s">
        <v>208</v>
      </c>
      <c r="C29" s="10" t="s">
        <v>650</v>
      </c>
      <c r="D29" s="11" t="s">
        <v>1022</v>
      </c>
      <c r="E29" s="11" t="s">
        <v>1023</v>
      </c>
      <c r="F29" s="10" t="s">
        <v>112</v>
      </c>
      <c r="G29" s="10"/>
      <c r="H29" s="11" t="s">
        <v>1024</v>
      </c>
      <c r="I29" s="10"/>
      <c r="J29" s="10"/>
      <c r="K29" s="10" t="s">
        <v>114</v>
      </c>
      <c r="L29" s="10" t="s">
        <v>114</v>
      </c>
      <c r="M29" s="11" t="s">
        <v>1025</v>
      </c>
      <c r="N29" s="11" t="s">
        <v>991</v>
      </c>
      <c r="O29" s="12" t="s">
        <v>116</v>
      </c>
      <c r="P29" s="12"/>
      <c r="Q29" s="10" t="str">
        <f t="shared" si="0"/>
        <v/>
      </c>
      <c r="R29" s="12"/>
      <c r="S29" s="13"/>
    </row>
    <row r="30" spans="1:19" ht="36" customHeight="1" x14ac:dyDescent="0.25">
      <c r="A30" s="10" t="s">
        <v>215</v>
      </c>
      <c r="B30" s="10" t="s">
        <v>208</v>
      </c>
      <c r="C30" s="10" t="s">
        <v>650</v>
      </c>
      <c r="D30" s="11" t="s">
        <v>1026</v>
      </c>
      <c r="E30" s="11" t="s">
        <v>1027</v>
      </c>
      <c r="F30" s="10" t="s">
        <v>112</v>
      </c>
      <c r="G30" s="10"/>
      <c r="H30" s="11" t="s">
        <v>1028</v>
      </c>
      <c r="I30" s="10"/>
      <c r="J30" s="10"/>
      <c r="K30" s="10" t="s">
        <v>114</v>
      </c>
      <c r="L30" s="10" t="s">
        <v>114</v>
      </c>
      <c r="M30" s="11" t="s">
        <v>1029</v>
      </c>
      <c r="N30" s="11" t="s">
        <v>991</v>
      </c>
      <c r="O30" s="12" t="s">
        <v>116</v>
      </c>
      <c r="P30" s="12"/>
      <c r="Q30" s="10" t="str">
        <f t="shared" si="0"/>
        <v/>
      </c>
      <c r="R30" s="12"/>
      <c r="S30" s="13"/>
    </row>
    <row r="31" spans="1:19" ht="36" customHeight="1" x14ac:dyDescent="0.25">
      <c r="A31" s="10" t="s">
        <v>220</v>
      </c>
      <c r="B31" s="10" t="s">
        <v>208</v>
      </c>
      <c r="C31" s="10" t="s">
        <v>650</v>
      </c>
      <c r="D31" s="11" t="s">
        <v>1030</v>
      </c>
      <c r="E31" s="11" t="s">
        <v>1031</v>
      </c>
      <c r="F31" s="10" t="s">
        <v>112</v>
      </c>
      <c r="G31" s="10"/>
      <c r="H31" s="11" t="s">
        <v>1032</v>
      </c>
      <c r="I31" s="10"/>
      <c r="J31" s="10"/>
      <c r="K31" s="10" t="s">
        <v>114</v>
      </c>
      <c r="L31" s="10" t="s">
        <v>114</v>
      </c>
      <c r="M31" s="11"/>
      <c r="N31" s="11" t="s">
        <v>991</v>
      </c>
      <c r="O31" s="12" t="s">
        <v>116</v>
      </c>
      <c r="P31" s="12"/>
      <c r="Q31" s="10" t="str">
        <f t="shared" si="0"/>
        <v/>
      </c>
      <c r="R31" s="12"/>
      <c r="S31" s="13"/>
    </row>
    <row r="32" spans="1:19" ht="36" customHeight="1" x14ac:dyDescent="0.25">
      <c r="A32" s="10" t="s">
        <v>234</v>
      </c>
      <c r="B32" s="10" t="s">
        <v>208</v>
      </c>
      <c r="C32" s="10" t="s">
        <v>1033</v>
      </c>
      <c r="D32" s="11" t="s">
        <v>1034</v>
      </c>
      <c r="E32" s="11" t="s">
        <v>1035</v>
      </c>
      <c r="F32" s="10" t="s">
        <v>112</v>
      </c>
      <c r="G32" s="10"/>
      <c r="H32" s="11" t="s">
        <v>1036</v>
      </c>
      <c r="I32" s="10"/>
      <c r="J32" s="10"/>
      <c r="K32" s="10" t="s">
        <v>114</v>
      </c>
      <c r="L32" s="10" t="s">
        <v>114</v>
      </c>
      <c r="M32" s="11"/>
      <c r="N32" s="11" t="s">
        <v>1037</v>
      </c>
      <c r="O32" s="12" t="s">
        <v>116</v>
      </c>
      <c r="P32" s="12"/>
      <c r="Q32" s="10" t="str">
        <f t="shared" si="0"/>
        <v/>
      </c>
      <c r="R32" s="12"/>
      <c r="S32" s="13"/>
    </row>
    <row r="33" spans="1:19" ht="36" customHeight="1" x14ac:dyDescent="0.25">
      <c r="A33" s="10" t="s">
        <v>251</v>
      </c>
      <c r="B33" s="10" t="s">
        <v>208</v>
      </c>
      <c r="C33" s="10" t="s">
        <v>1038</v>
      </c>
      <c r="D33" s="11" t="s">
        <v>1039</v>
      </c>
      <c r="E33" s="11" t="s">
        <v>1040</v>
      </c>
      <c r="F33" s="10" t="s">
        <v>164</v>
      </c>
      <c r="G33" s="10"/>
      <c r="H33" s="11" t="s">
        <v>1041</v>
      </c>
      <c r="I33" s="10"/>
      <c r="J33" s="10"/>
      <c r="K33" s="10" t="s">
        <v>114</v>
      </c>
      <c r="L33" s="10" t="s">
        <v>114</v>
      </c>
      <c r="M33" s="11" t="s">
        <v>213</v>
      </c>
      <c r="N33" s="11" t="s">
        <v>977</v>
      </c>
      <c r="O33" s="12" t="s">
        <v>116</v>
      </c>
      <c r="P33" s="12"/>
      <c r="Q33" s="10" t="str">
        <f t="shared" si="0"/>
        <v/>
      </c>
      <c r="R33" s="12"/>
      <c r="S33" s="13"/>
    </row>
    <row r="34" spans="1:19" ht="36" customHeight="1" x14ac:dyDescent="0.25">
      <c r="A34" s="10" t="s">
        <v>258</v>
      </c>
      <c r="B34" s="10" t="s">
        <v>208</v>
      </c>
      <c r="C34" s="10" t="s">
        <v>1038</v>
      </c>
      <c r="D34" s="11" t="s">
        <v>1042</v>
      </c>
      <c r="E34" s="11" t="s">
        <v>1043</v>
      </c>
      <c r="F34" s="10" t="s">
        <v>112</v>
      </c>
      <c r="G34" s="10"/>
      <c r="H34" s="11" t="s">
        <v>1044</v>
      </c>
      <c r="I34" s="10"/>
      <c r="J34" s="10"/>
      <c r="K34" s="10" t="s">
        <v>114</v>
      </c>
      <c r="L34" s="10" t="s">
        <v>114</v>
      </c>
      <c r="M34" s="11" t="s">
        <v>232</v>
      </c>
      <c r="N34" s="11" t="s">
        <v>1045</v>
      </c>
      <c r="O34" s="12" t="s">
        <v>116</v>
      </c>
      <c r="P34" s="12"/>
      <c r="Q34" s="10" t="str">
        <f t="shared" si="0"/>
        <v/>
      </c>
      <c r="R34" s="12"/>
      <c r="S34" s="13"/>
    </row>
    <row r="35" spans="1:19" ht="24" customHeight="1" x14ac:dyDescent="0.25">
      <c r="A35" s="10" t="s">
        <v>1046</v>
      </c>
      <c r="B35" s="10" t="s">
        <v>208</v>
      </c>
      <c r="C35" s="10" t="s">
        <v>1038</v>
      </c>
      <c r="D35" s="11" t="s">
        <v>1047</v>
      </c>
      <c r="E35" s="11" t="s">
        <v>1048</v>
      </c>
      <c r="F35" s="10" t="s">
        <v>112</v>
      </c>
      <c r="G35" s="10"/>
      <c r="H35" s="11" t="s">
        <v>1049</v>
      </c>
      <c r="I35" s="10"/>
      <c r="J35" s="10"/>
      <c r="K35" s="10" t="s">
        <v>114</v>
      </c>
      <c r="L35" s="10" t="s">
        <v>114</v>
      </c>
      <c r="M35" s="11" t="s">
        <v>232</v>
      </c>
      <c r="N35" s="11" t="s">
        <v>1050</v>
      </c>
      <c r="O35" s="12" t="s">
        <v>116</v>
      </c>
      <c r="P35" s="12"/>
      <c r="Q35" s="10" t="str">
        <f t="shared" si="0"/>
        <v/>
      </c>
      <c r="R35" s="12"/>
      <c r="S35" s="13"/>
    </row>
    <row r="36" spans="1:19" ht="36" customHeight="1" x14ac:dyDescent="0.25">
      <c r="A36" s="10" t="s">
        <v>1051</v>
      </c>
      <c r="B36" s="10" t="s">
        <v>208</v>
      </c>
      <c r="C36" s="10" t="s">
        <v>1052</v>
      </c>
      <c r="D36" s="11" t="s">
        <v>1053</v>
      </c>
      <c r="E36" s="11" t="s">
        <v>1054</v>
      </c>
      <c r="F36" s="10" t="s">
        <v>112</v>
      </c>
      <c r="G36" s="10"/>
      <c r="H36" s="11" t="s">
        <v>1055</v>
      </c>
      <c r="I36" s="10"/>
      <c r="J36" s="10"/>
      <c r="K36" s="10" t="s">
        <v>114</v>
      </c>
      <c r="L36" s="10" t="s">
        <v>114</v>
      </c>
      <c r="M36" s="11"/>
      <c r="N36" s="11" t="s">
        <v>953</v>
      </c>
      <c r="O36" s="12" t="s">
        <v>116</v>
      </c>
      <c r="P36" s="12"/>
      <c r="Q36" s="10" t="str">
        <f t="shared" si="0"/>
        <v/>
      </c>
      <c r="R36" s="12"/>
      <c r="S36" s="13"/>
    </row>
    <row r="37" spans="1:19" ht="36" customHeight="1" x14ac:dyDescent="0.25">
      <c r="A37" s="10" t="s">
        <v>263</v>
      </c>
      <c r="B37" s="10" t="s">
        <v>264</v>
      </c>
      <c r="C37" s="10" t="s">
        <v>1056</v>
      </c>
      <c r="D37" s="11" t="s">
        <v>1057</v>
      </c>
      <c r="E37" s="11" t="s">
        <v>1058</v>
      </c>
      <c r="F37" s="10" t="s">
        <v>112</v>
      </c>
      <c r="G37" s="10"/>
      <c r="H37" s="11" t="s">
        <v>1059</v>
      </c>
      <c r="I37" s="10"/>
      <c r="J37" s="10"/>
      <c r="K37" s="10" t="s">
        <v>114</v>
      </c>
      <c r="L37" s="10" t="s">
        <v>114</v>
      </c>
      <c r="M37" s="11" t="s">
        <v>1060</v>
      </c>
      <c r="N37" s="11" t="s">
        <v>991</v>
      </c>
      <c r="O37" s="12" t="s">
        <v>116</v>
      </c>
      <c r="P37" s="12"/>
      <c r="Q37" s="10" t="str">
        <f t="shared" si="0"/>
        <v/>
      </c>
      <c r="R37" s="12"/>
      <c r="S37" s="13"/>
    </row>
    <row r="38" spans="1:19" ht="36" customHeight="1" x14ac:dyDescent="0.25">
      <c r="A38" s="10" t="s">
        <v>269</v>
      </c>
      <c r="B38" s="10" t="s">
        <v>264</v>
      </c>
      <c r="C38" s="10" t="s">
        <v>1056</v>
      </c>
      <c r="D38" s="11" t="s">
        <v>1061</v>
      </c>
      <c r="E38" s="11" t="s">
        <v>1062</v>
      </c>
      <c r="F38" s="10" t="s">
        <v>112</v>
      </c>
      <c r="G38" s="10"/>
      <c r="H38" s="11" t="s">
        <v>1063</v>
      </c>
      <c r="I38" s="10"/>
      <c r="J38" s="10"/>
      <c r="K38" s="10" t="s">
        <v>114</v>
      </c>
      <c r="L38" s="10" t="s">
        <v>114</v>
      </c>
      <c r="M38" s="11" t="s">
        <v>1060</v>
      </c>
      <c r="N38" s="11" t="s">
        <v>991</v>
      </c>
      <c r="O38" s="12" t="s">
        <v>116</v>
      </c>
      <c r="P38" s="12"/>
      <c r="Q38" s="10" t="str">
        <f t="shared" si="0"/>
        <v/>
      </c>
      <c r="R38" s="12"/>
      <c r="S38" s="13"/>
    </row>
    <row r="39" spans="1:19" ht="36" customHeight="1" x14ac:dyDescent="0.25">
      <c r="A39" s="10" t="s">
        <v>683</v>
      </c>
      <c r="B39" s="10" t="s">
        <v>264</v>
      </c>
      <c r="C39" s="10" t="s">
        <v>1056</v>
      </c>
      <c r="D39" s="11" t="s">
        <v>1064</v>
      </c>
      <c r="E39" s="11" t="s">
        <v>1065</v>
      </c>
      <c r="F39" s="10" t="s">
        <v>112</v>
      </c>
      <c r="G39" s="10"/>
      <c r="H39" s="11" t="s">
        <v>1066</v>
      </c>
      <c r="I39" s="10"/>
      <c r="J39" s="10"/>
      <c r="K39" s="10" t="s">
        <v>114</v>
      </c>
      <c r="L39" s="10" t="s">
        <v>114</v>
      </c>
      <c r="M39" s="11"/>
      <c r="N39" s="11" t="s">
        <v>1067</v>
      </c>
      <c r="O39" s="12" t="s">
        <v>116</v>
      </c>
      <c r="P39" s="12"/>
      <c r="Q39" s="10" t="str">
        <f t="shared" si="0"/>
        <v/>
      </c>
      <c r="R39" s="12"/>
      <c r="S39" s="13"/>
    </row>
    <row r="40" spans="1:19" ht="36" customHeight="1" x14ac:dyDescent="0.25">
      <c r="A40" s="10" t="s">
        <v>273</v>
      </c>
      <c r="B40" s="10" t="s">
        <v>264</v>
      </c>
      <c r="C40" s="10" t="s">
        <v>1068</v>
      </c>
      <c r="D40" s="11" t="s">
        <v>1069</v>
      </c>
      <c r="E40" s="11" t="s">
        <v>1070</v>
      </c>
      <c r="F40" s="10" t="s">
        <v>140</v>
      </c>
      <c r="G40" s="10" t="s">
        <v>186</v>
      </c>
      <c r="H40" s="11" t="s">
        <v>1071</v>
      </c>
      <c r="I40" s="10"/>
      <c r="J40" s="10">
        <v>65</v>
      </c>
      <c r="K40" s="10" t="s">
        <v>114</v>
      </c>
      <c r="L40" s="10" t="s">
        <v>122</v>
      </c>
      <c r="M40" s="11"/>
      <c r="N40" s="11" t="s">
        <v>953</v>
      </c>
      <c r="O40" s="12" t="s">
        <v>116</v>
      </c>
      <c r="P40" s="12"/>
      <c r="Q40" s="10" t="str">
        <f t="shared" si="0"/>
        <v>Sin dato</v>
      </c>
      <c r="R40" s="12"/>
      <c r="S40" s="13"/>
    </row>
    <row r="41" spans="1:19" ht="36" customHeight="1" x14ac:dyDescent="0.25">
      <c r="A41" s="10" t="s">
        <v>289</v>
      </c>
      <c r="B41" s="10" t="s">
        <v>264</v>
      </c>
      <c r="C41" s="10" t="s">
        <v>1072</v>
      </c>
      <c r="D41" s="11" t="s">
        <v>1073</v>
      </c>
      <c r="E41" s="11" t="s">
        <v>1074</v>
      </c>
      <c r="F41" s="10" t="s">
        <v>140</v>
      </c>
      <c r="G41" s="10" t="s">
        <v>191</v>
      </c>
      <c r="H41" s="11" t="s">
        <v>1075</v>
      </c>
      <c r="I41" s="10">
        <v>0.5</v>
      </c>
      <c r="J41" s="10">
        <v>0.9</v>
      </c>
      <c r="K41" s="10" t="s">
        <v>114</v>
      </c>
      <c r="L41" s="10" t="s">
        <v>122</v>
      </c>
      <c r="M41" s="11"/>
      <c r="N41" s="11" t="s">
        <v>953</v>
      </c>
      <c r="O41" s="12" t="s">
        <v>116</v>
      </c>
      <c r="P41" s="12"/>
      <c r="Q41" s="10" t="str">
        <f t="shared" ref="Q41:Q72" si="1">IF($F41&lt;&gt;"Numérico","",IF($P41="","Sin dato",IF(AND(OR(NOT(ISNUMBER($I41)),$P41&gt;=$I41),OR(NOT(ISNUMBER($J41)),$P41&lt;=$J41)),"Dentro de rango","Fuera de rango")))</f>
        <v>Sin dato</v>
      </c>
      <c r="R41" s="12"/>
      <c r="S41" s="13"/>
    </row>
    <row r="42" spans="1:19" ht="36" customHeight="1" x14ac:dyDescent="0.25">
      <c r="A42" s="10" t="s">
        <v>295</v>
      </c>
      <c r="B42" s="10" t="s">
        <v>264</v>
      </c>
      <c r="C42" s="10" t="s">
        <v>1072</v>
      </c>
      <c r="D42" s="11" t="s">
        <v>1076</v>
      </c>
      <c r="E42" s="11" t="s">
        <v>1077</v>
      </c>
      <c r="F42" s="10" t="s">
        <v>140</v>
      </c>
      <c r="G42" s="10" t="s">
        <v>191</v>
      </c>
      <c r="H42" s="11" t="s">
        <v>1078</v>
      </c>
      <c r="I42" s="10">
        <v>0.65</v>
      </c>
      <c r="J42" s="10">
        <v>0.75</v>
      </c>
      <c r="K42" s="10" t="s">
        <v>114</v>
      </c>
      <c r="L42" s="10" t="s">
        <v>122</v>
      </c>
      <c r="M42" s="11"/>
      <c r="N42" s="11" t="s">
        <v>143</v>
      </c>
      <c r="O42" s="12" t="s">
        <v>116</v>
      </c>
      <c r="P42" s="12"/>
      <c r="Q42" s="10" t="str">
        <f t="shared" si="1"/>
        <v>Sin dato</v>
      </c>
      <c r="R42" s="12"/>
      <c r="S42" s="13"/>
    </row>
    <row r="43" spans="1:19" ht="36" customHeight="1" x14ac:dyDescent="0.25">
      <c r="A43" s="10" t="s">
        <v>710</v>
      </c>
      <c r="B43" s="10" t="s">
        <v>264</v>
      </c>
      <c r="C43" s="10" t="s">
        <v>1072</v>
      </c>
      <c r="D43" s="11" t="s">
        <v>1079</v>
      </c>
      <c r="E43" s="11" t="s">
        <v>1080</v>
      </c>
      <c r="F43" s="10" t="s">
        <v>112</v>
      </c>
      <c r="G43" s="10"/>
      <c r="H43" s="11" t="s">
        <v>1081</v>
      </c>
      <c r="I43" s="10"/>
      <c r="J43" s="10"/>
      <c r="K43" s="10" t="s">
        <v>114</v>
      </c>
      <c r="L43" s="10" t="s">
        <v>114</v>
      </c>
      <c r="M43" s="11"/>
      <c r="N43" s="11" t="s">
        <v>991</v>
      </c>
      <c r="O43" s="12" t="s">
        <v>116</v>
      </c>
      <c r="P43" s="12"/>
      <c r="Q43" s="10" t="str">
        <f t="shared" si="1"/>
        <v/>
      </c>
      <c r="R43" s="12"/>
      <c r="S43" s="13"/>
    </row>
    <row r="44" spans="1:19" ht="48" customHeight="1" x14ac:dyDescent="0.25">
      <c r="A44" s="10" t="s">
        <v>299</v>
      </c>
      <c r="B44" s="10" t="s">
        <v>300</v>
      </c>
      <c r="C44" s="10" t="s">
        <v>1082</v>
      </c>
      <c r="D44" s="11" t="s">
        <v>1083</v>
      </c>
      <c r="E44" s="11" t="s">
        <v>1084</v>
      </c>
      <c r="F44" s="10" t="s">
        <v>140</v>
      </c>
      <c r="G44" s="10" t="s">
        <v>304</v>
      </c>
      <c r="H44" s="11" t="s">
        <v>1085</v>
      </c>
      <c r="I44" s="10">
        <v>200</v>
      </c>
      <c r="J44" s="10">
        <v>1200</v>
      </c>
      <c r="K44" s="10" t="s">
        <v>114</v>
      </c>
      <c r="L44" s="10" t="s">
        <v>122</v>
      </c>
      <c r="M44" s="11" t="s">
        <v>967</v>
      </c>
      <c r="N44" s="11" t="s">
        <v>953</v>
      </c>
      <c r="O44" s="12" t="s">
        <v>116</v>
      </c>
      <c r="P44" s="12"/>
      <c r="Q44" s="10" t="str">
        <f t="shared" si="1"/>
        <v>Sin dato</v>
      </c>
      <c r="R44" s="12"/>
      <c r="S44" s="13"/>
    </row>
    <row r="45" spans="1:19" ht="36" customHeight="1" x14ac:dyDescent="0.25">
      <c r="A45" s="10" t="s">
        <v>306</v>
      </c>
      <c r="B45" s="10" t="s">
        <v>300</v>
      </c>
      <c r="C45" s="10" t="s">
        <v>1082</v>
      </c>
      <c r="D45" s="11" t="s">
        <v>890</v>
      </c>
      <c r="E45" s="11" t="s">
        <v>1086</v>
      </c>
      <c r="F45" s="10" t="s">
        <v>140</v>
      </c>
      <c r="G45" s="10" t="s">
        <v>472</v>
      </c>
      <c r="H45" s="11" t="s">
        <v>1087</v>
      </c>
      <c r="I45" s="10"/>
      <c r="J45" s="10"/>
      <c r="K45" s="10" t="s">
        <v>114</v>
      </c>
      <c r="L45" s="10" t="s">
        <v>122</v>
      </c>
      <c r="M45" s="11"/>
      <c r="N45" s="11" t="s">
        <v>953</v>
      </c>
      <c r="O45" s="12" t="s">
        <v>116</v>
      </c>
      <c r="P45" s="12"/>
      <c r="Q45" s="10" t="str">
        <f t="shared" si="1"/>
        <v>Sin dato</v>
      </c>
      <c r="R45" s="12"/>
      <c r="S45" s="13"/>
    </row>
    <row r="46" spans="1:19" ht="36" customHeight="1" x14ac:dyDescent="0.25">
      <c r="A46" s="10" t="s">
        <v>733</v>
      </c>
      <c r="B46" s="10" t="s">
        <v>300</v>
      </c>
      <c r="C46" s="10" t="s">
        <v>1082</v>
      </c>
      <c r="D46" s="11" t="s">
        <v>1088</v>
      </c>
      <c r="E46" s="11" t="s">
        <v>1089</v>
      </c>
      <c r="F46" s="10" t="s">
        <v>140</v>
      </c>
      <c r="G46" s="10" t="s">
        <v>304</v>
      </c>
      <c r="H46" s="11" t="s">
        <v>1090</v>
      </c>
      <c r="I46" s="10">
        <v>-10</v>
      </c>
      <c r="J46" s="10">
        <v>10</v>
      </c>
      <c r="K46" s="10" t="s">
        <v>114</v>
      </c>
      <c r="L46" s="10" t="s">
        <v>122</v>
      </c>
      <c r="M46" s="11"/>
      <c r="N46" s="11" t="s">
        <v>991</v>
      </c>
      <c r="O46" s="12" t="s">
        <v>116</v>
      </c>
      <c r="P46" s="12"/>
      <c r="Q46" s="10" t="str">
        <f t="shared" si="1"/>
        <v>Sin dato</v>
      </c>
      <c r="R46" s="12"/>
      <c r="S46" s="13"/>
    </row>
    <row r="47" spans="1:19" ht="36" customHeight="1" x14ac:dyDescent="0.25">
      <c r="A47" s="10" t="s">
        <v>310</v>
      </c>
      <c r="B47" s="10" t="s">
        <v>300</v>
      </c>
      <c r="C47" s="10" t="s">
        <v>1091</v>
      </c>
      <c r="D47" s="11" t="s">
        <v>1092</v>
      </c>
      <c r="E47" s="11" t="s">
        <v>1093</v>
      </c>
      <c r="F47" s="10" t="s">
        <v>112</v>
      </c>
      <c r="G47" s="10"/>
      <c r="H47" s="11" t="s">
        <v>1094</v>
      </c>
      <c r="I47" s="10"/>
      <c r="J47" s="10"/>
      <c r="K47" s="10" t="s">
        <v>114</v>
      </c>
      <c r="L47" s="10" t="s">
        <v>114</v>
      </c>
      <c r="M47" s="11"/>
      <c r="N47" s="11" t="s">
        <v>991</v>
      </c>
      <c r="O47" s="12" t="s">
        <v>116</v>
      </c>
      <c r="P47" s="12"/>
      <c r="Q47" s="10" t="str">
        <f t="shared" si="1"/>
        <v/>
      </c>
      <c r="R47" s="12"/>
      <c r="S47" s="13"/>
    </row>
    <row r="48" spans="1:19" ht="48" customHeight="1" x14ac:dyDescent="0.25">
      <c r="A48" s="10" t="s">
        <v>317</v>
      </c>
      <c r="B48" s="10" t="s">
        <v>300</v>
      </c>
      <c r="C48" s="10" t="s">
        <v>1091</v>
      </c>
      <c r="D48" s="11" t="s">
        <v>1095</v>
      </c>
      <c r="E48" s="11" t="s">
        <v>1096</v>
      </c>
      <c r="F48" s="10" t="s">
        <v>112</v>
      </c>
      <c r="G48" s="10"/>
      <c r="H48" s="11" t="s">
        <v>1097</v>
      </c>
      <c r="I48" s="10"/>
      <c r="J48" s="10"/>
      <c r="K48" s="10" t="s">
        <v>114</v>
      </c>
      <c r="L48" s="10" t="s">
        <v>114</v>
      </c>
      <c r="M48" s="11"/>
      <c r="N48" s="11" t="s">
        <v>991</v>
      </c>
      <c r="O48" s="12" t="s">
        <v>116</v>
      </c>
      <c r="P48" s="12"/>
      <c r="Q48" s="10" t="str">
        <f t="shared" si="1"/>
        <v/>
      </c>
      <c r="R48" s="12"/>
      <c r="S48" s="13"/>
    </row>
    <row r="49" spans="1:19" ht="36" customHeight="1" x14ac:dyDescent="0.25">
      <c r="A49" s="10" t="s">
        <v>752</v>
      </c>
      <c r="B49" s="10" t="s">
        <v>300</v>
      </c>
      <c r="C49" s="10" t="s">
        <v>1091</v>
      </c>
      <c r="D49" s="11" t="s">
        <v>1098</v>
      </c>
      <c r="E49" s="11" t="s">
        <v>1099</v>
      </c>
      <c r="F49" s="10" t="s">
        <v>112</v>
      </c>
      <c r="G49" s="10"/>
      <c r="H49" s="11" t="s">
        <v>1100</v>
      </c>
      <c r="I49" s="10"/>
      <c r="J49" s="10"/>
      <c r="K49" s="10" t="s">
        <v>114</v>
      </c>
      <c r="L49" s="10" t="s">
        <v>114</v>
      </c>
      <c r="M49" s="11"/>
      <c r="N49" s="11" t="s">
        <v>991</v>
      </c>
      <c r="O49" s="12" t="s">
        <v>116</v>
      </c>
      <c r="P49" s="12"/>
      <c r="Q49" s="10" t="str">
        <f t="shared" si="1"/>
        <v/>
      </c>
      <c r="R49" s="12"/>
      <c r="S49" s="13"/>
    </row>
    <row r="50" spans="1:19" ht="36" customHeight="1" x14ac:dyDescent="0.25">
      <c r="A50" s="10" t="s">
        <v>321</v>
      </c>
      <c r="B50" s="10" t="s">
        <v>300</v>
      </c>
      <c r="C50" s="10" t="s">
        <v>1101</v>
      </c>
      <c r="D50" s="11" t="s">
        <v>1102</v>
      </c>
      <c r="E50" s="11" t="s">
        <v>1103</v>
      </c>
      <c r="F50" s="10" t="s">
        <v>112</v>
      </c>
      <c r="G50" s="10"/>
      <c r="H50" s="11" t="s">
        <v>1104</v>
      </c>
      <c r="I50" s="10"/>
      <c r="J50" s="10"/>
      <c r="K50" s="10" t="s">
        <v>114</v>
      </c>
      <c r="L50" s="10" t="s">
        <v>114</v>
      </c>
      <c r="M50" s="11" t="s">
        <v>1105</v>
      </c>
      <c r="N50" s="11" t="s">
        <v>991</v>
      </c>
      <c r="O50" s="12" t="s">
        <v>116</v>
      </c>
      <c r="P50" s="12"/>
      <c r="Q50" s="10" t="str">
        <f t="shared" si="1"/>
        <v/>
      </c>
      <c r="R50" s="12"/>
      <c r="S50" s="13"/>
    </row>
    <row r="51" spans="1:19" ht="36" customHeight="1" x14ac:dyDescent="0.25">
      <c r="A51" s="10" t="s">
        <v>328</v>
      </c>
      <c r="B51" s="10" t="s">
        <v>300</v>
      </c>
      <c r="C51" s="10" t="s">
        <v>1101</v>
      </c>
      <c r="D51" s="11" t="s">
        <v>1106</v>
      </c>
      <c r="E51" s="11" t="s">
        <v>1107</v>
      </c>
      <c r="F51" s="10" t="s">
        <v>112</v>
      </c>
      <c r="G51" s="10"/>
      <c r="H51" s="11" t="s">
        <v>1108</v>
      </c>
      <c r="I51" s="10"/>
      <c r="J51" s="10"/>
      <c r="K51" s="10" t="s">
        <v>114</v>
      </c>
      <c r="L51" s="10" t="s">
        <v>114</v>
      </c>
      <c r="M51" s="11"/>
      <c r="N51" s="11" t="s">
        <v>991</v>
      </c>
      <c r="O51" s="12" t="s">
        <v>116</v>
      </c>
      <c r="P51" s="12"/>
      <c r="Q51" s="10" t="str">
        <f t="shared" si="1"/>
        <v/>
      </c>
      <c r="R51" s="12"/>
      <c r="S51" s="13"/>
    </row>
    <row r="52" spans="1:19" ht="36" customHeight="1" x14ac:dyDescent="0.25">
      <c r="A52" s="10" t="s">
        <v>344</v>
      </c>
      <c r="B52" s="10" t="s">
        <v>300</v>
      </c>
      <c r="C52" s="10" t="s">
        <v>1109</v>
      </c>
      <c r="D52" s="11" t="s">
        <v>1110</v>
      </c>
      <c r="E52" s="11" t="s">
        <v>1111</v>
      </c>
      <c r="F52" s="10" t="s">
        <v>112</v>
      </c>
      <c r="G52" s="10"/>
      <c r="H52" s="11" t="s">
        <v>1112</v>
      </c>
      <c r="I52" s="10"/>
      <c r="J52" s="10"/>
      <c r="K52" s="10" t="s">
        <v>114</v>
      </c>
      <c r="L52" s="10" t="s">
        <v>114</v>
      </c>
      <c r="M52" s="11" t="s">
        <v>1113</v>
      </c>
      <c r="N52" s="11" t="s">
        <v>1050</v>
      </c>
      <c r="O52" s="12" t="s">
        <v>116</v>
      </c>
      <c r="P52" s="12"/>
      <c r="Q52" s="10" t="str">
        <f t="shared" si="1"/>
        <v/>
      </c>
      <c r="R52" s="12"/>
      <c r="S52" s="13"/>
    </row>
    <row r="53" spans="1:19" ht="36" customHeight="1" x14ac:dyDescent="0.25">
      <c r="A53" s="10" t="s">
        <v>350</v>
      </c>
      <c r="B53" s="10" t="s">
        <v>300</v>
      </c>
      <c r="C53" s="10" t="s">
        <v>1109</v>
      </c>
      <c r="D53" s="11" t="s">
        <v>1114</v>
      </c>
      <c r="E53" s="11" t="s">
        <v>1115</v>
      </c>
      <c r="F53" s="10" t="s">
        <v>112</v>
      </c>
      <c r="G53" s="10"/>
      <c r="H53" s="11" t="s">
        <v>1116</v>
      </c>
      <c r="I53" s="10"/>
      <c r="J53" s="10"/>
      <c r="K53" s="10" t="s">
        <v>114</v>
      </c>
      <c r="L53" s="10" t="s">
        <v>114</v>
      </c>
      <c r="M53" s="11" t="s">
        <v>1117</v>
      </c>
      <c r="N53" s="11" t="s">
        <v>1050</v>
      </c>
      <c r="O53" s="12" t="s">
        <v>116</v>
      </c>
      <c r="P53" s="12"/>
      <c r="Q53" s="10" t="str">
        <f t="shared" si="1"/>
        <v/>
      </c>
      <c r="R53" s="12"/>
      <c r="S53" s="13"/>
    </row>
    <row r="54" spans="1:19" ht="36" customHeight="1" x14ac:dyDescent="0.25">
      <c r="A54" s="10" t="s">
        <v>1118</v>
      </c>
      <c r="B54" s="10" t="s">
        <v>300</v>
      </c>
      <c r="C54" s="10" t="s">
        <v>1119</v>
      </c>
      <c r="D54" s="11" t="s">
        <v>1120</v>
      </c>
      <c r="E54" s="11" t="s">
        <v>1121</v>
      </c>
      <c r="F54" s="10" t="s">
        <v>112</v>
      </c>
      <c r="G54" s="10"/>
      <c r="H54" s="11" t="s">
        <v>1122</v>
      </c>
      <c r="I54" s="10"/>
      <c r="J54" s="10"/>
      <c r="K54" s="10" t="s">
        <v>114</v>
      </c>
      <c r="L54" s="10" t="s">
        <v>114</v>
      </c>
      <c r="M54" s="11" t="s">
        <v>1123</v>
      </c>
      <c r="N54" s="11" t="s">
        <v>991</v>
      </c>
      <c r="O54" s="12" t="s">
        <v>116</v>
      </c>
      <c r="P54" s="12"/>
      <c r="Q54" s="10" t="str">
        <f t="shared" si="1"/>
        <v/>
      </c>
      <c r="R54" s="12"/>
      <c r="S54" s="13"/>
    </row>
    <row r="55" spans="1:19" ht="36" customHeight="1" x14ac:dyDescent="0.25">
      <c r="A55" s="10" t="s">
        <v>355</v>
      </c>
      <c r="B55" s="10" t="s">
        <v>356</v>
      </c>
      <c r="C55" s="10" t="s">
        <v>1124</v>
      </c>
      <c r="D55" s="11" t="s">
        <v>1125</v>
      </c>
      <c r="E55" s="11" t="s">
        <v>1126</v>
      </c>
      <c r="F55" s="10" t="s">
        <v>140</v>
      </c>
      <c r="G55" s="10" t="s">
        <v>396</v>
      </c>
      <c r="H55" s="11" t="s">
        <v>1127</v>
      </c>
      <c r="I55" s="10">
        <v>23.5</v>
      </c>
      <c r="J55" s="10">
        <v>24.5</v>
      </c>
      <c r="K55" s="10" t="s">
        <v>114</v>
      </c>
      <c r="L55" s="10" t="s">
        <v>122</v>
      </c>
      <c r="M55" s="11"/>
      <c r="N55" s="11" t="s">
        <v>953</v>
      </c>
      <c r="O55" s="12" t="s">
        <v>116</v>
      </c>
      <c r="P55" s="12"/>
      <c r="Q55" s="10" t="str">
        <f t="shared" si="1"/>
        <v>Sin dato</v>
      </c>
      <c r="R55" s="12"/>
      <c r="S55" s="13"/>
    </row>
    <row r="56" spans="1:19" ht="36" customHeight="1" x14ac:dyDescent="0.25">
      <c r="A56" s="10" t="s">
        <v>363</v>
      </c>
      <c r="B56" s="10" t="s">
        <v>356</v>
      </c>
      <c r="C56" s="10" t="s">
        <v>1124</v>
      </c>
      <c r="D56" s="11" t="s">
        <v>1128</v>
      </c>
      <c r="E56" s="11" t="s">
        <v>1129</v>
      </c>
      <c r="F56" s="10" t="s">
        <v>140</v>
      </c>
      <c r="G56" s="10" t="s">
        <v>396</v>
      </c>
      <c r="H56" s="11" t="s">
        <v>1130</v>
      </c>
      <c r="I56" s="10">
        <v>4.5</v>
      </c>
      <c r="J56" s="10">
        <v>5.5</v>
      </c>
      <c r="K56" s="10" t="s">
        <v>114</v>
      </c>
      <c r="L56" s="10" t="s">
        <v>122</v>
      </c>
      <c r="M56" s="11"/>
      <c r="N56" s="11" t="s">
        <v>953</v>
      </c>
      <c r="O56" s="12" t="s">
        <v>116</v>
      </c>
      <c r="P56" s="12"/>
      <c r="Q56" s="10" t="str">
        <f t="shared" si="1"/>
        <v>Sin dato</v>
      </c>
      <c r="R56" s="12"/>
      <c r="S56" s="13"/>
    </row>
    <row r="57" spans="1:19" ht="36" customHeight="1" x14ac:dyDescent="0.25">
      <c r="A57" s="10" t="s">
        <v>368</v>
      </c>
      <c r="B57" s="10" t="s">
        <v>356</v>
      </c>
      <c r="C57" s="10" t="s">
        <v>1124</v>
      </c>
      <c r="D57" s="11" t="s">
        <v>1131</v>
      </c>
      <c r="E57" s="11" t="s">
        <v>1132</v>
      </c>
      <c r="F57" s="10" t="s">
        <v>112</v>
      </c>
      <c r="G57" s="10"/>
      <c r="H57" s="11" t="s">
        <v>1133</v>
      </c>
      <c r="I57" s="10"/>
      <c r="J57" s="10"/>
      <c r="K57" s="10" t="s">
        <v>114</v>
      </c>
      <c r="L57" s="10" t="s">
        <v>114</v>
      </c>
      <c r="M57" s="11"/>
      <c r="N57" s="11" t="s">
        <v>143</v>
      </c>
      <c r="O57" s="12" t="s">
        <v>116</v>
      </c>
      <c r="P57" s="12"/>
      <c r="Q57" s="10" t="str">
        <f t="shared" si="1"/>
        <v/>
      </c>
      <c r="R57" s="12"/>
      <c r="S57" s="13"/>
    </row>
    <row r="58" spans="1:19" ht="36" customHeight="1" x14ac:dyDescent="0.25">
      <c r="A58" s="10" t="s">
        <v>392</v>
      </c>
      <c r="B58" s="10" t="s">
        <v>356</v>
      </c>
      <c r="C58" s="10" t="s">
        <v>1134</v>
      </c>
      <c r="D58" s="11" t="s">
        <v>1135</v>
      </c>
      <c r="E58" s="11" t="s">
        <v>1136</v>
      </c>
      <c r="F58" s="10" t="s">
        <v>112</v>
      </c>
      <c r="G58" s="10"/>
      <c r="H58" s="11" t="s">
        <v>1137</v>
      </c>
      <c r="I58" s="10"/>
      <c r="J58" s="10"/>
      <c r="K58" s="10" t="s">
        <v>114</v>
      </c>
      <c r="L58" s="10" t="s">
        <v>114</v>
      </c>
      <c r="M58" s="11" t="s">
        <v>1138</v>
      </c>
      <c r="N58" s="11" t="s">
        <v>143</v>
      </c>
      <c r="O58" s="12" t="s">
        <v>116</v>
      </c>
      <c r="P58" s="12"/>
      <c r="Q58" s="10" t="str">
        <f t="shared" si="1"/>
        <v/>
      </c>
      <c r="R58" s="12"/>
      <c r="S58" s="13"/>
    </row>
    <row r="59" spans="1:19" ht="36" customHeight="1" x14ac:dyDescent="0.25">
      <c r="A59" s="10" t="s">
        <v>1139</v>
      </c>
      <c r="B59" s="10" t="s">
        <v>356</v>
      </c>
      <c r="C59" s="10" t="s">
        <v>1134</v>
      </c>
      <c r="D59" s="11" t="s">
        <v>1140</v>
      </c>
      <c r="E59" s="11" t="s">
        <v>1141</v>
      </c>
      <c r="F59" s="10" t="s">
        <v>112</v>
      </c>
      <c r="G59" s="10"/>
      <c r="H59" s="11" t="s">
        <v>1142</v>
      </c>
      <c r="I59" s="10"/>
      <c r="J59" s="10"/>
      <c r="K59" s="10" t="s">
        <v>114</v>
      </c>
      <c r="L59" s="10" t="s">
        <v>114</v>
      </c>
      <c r="M59" s="11" t="s">
        <v>1143</v>
      </c>
      <c r="N59" s="11" t="s">
        <v>143</v>
      </c>
      <c r="O59" s="12" t="s">
        <v>116</v>
      </c>
      <c r="P59" s="12"/>
      <c r="Q59" s="10" t="str">
        <f t="shared" si="1"/>
        <v/>
      </c>
      <c r="R59" s="12"/>
      <c r="S59" s="13"/>
    </row>
    <row r="60" spans="1:19" ht="36" customHeight="1" x14ac:dyDescent="0.25">
      <c r="A60" s="10" t="s">
        <v>1144</v>
      </c>
      <c r="B60" s="10" t="s">
        <v>356</v>
      </c>
      <c r="C60" s="10" t="s">
        <v>1134</v>
      </c>
      <c r="D60" s="11" t="s">
        <v>1145</v>
      </c>
      <c r="E60" s="11" t="s">
        <v>1146</v>
      </c>
      <c r="F60" s="10" t="s">
        <v>112</v>
      </c>
      <c r="G60" s="10"/>
      <c r="H60" s="11" t="s">
        <v>1147</v>
      </c>
      <c r="I60" s="10"/>
      <c r="J60" s="10"/>
      <c r="K60" s="10" t="s">
        <v>114</v>
      </c>
      <c r="L60" s="10" t="s">
        <v>114</v>
      </c>
      <c r="M60" s="11" t="s">
        <v>1148</v>
      </c>
      <c r="N60" s="11" t="s">
        <v>143</v>
      </c>
      <c r="O60" s="12" t="s">
        <v>116</v>
      </c>
      <c r="P60" s="12"/>
      <c r="Q60" s="10" t="str">
        <f t="shared" si="1"/>
        <v/>
      </c>
      <c r="R60" s="12"/>
      <c r="S60" s="13"/>
    </row>
    <row r="61" spans="1:19" ht="36" customHeight="1" x14ac:dyDescent="0.25">
      <c r="A61" s="10" t="s">
        <v>399</v>
      </c>
      <c r="B61" s="10" t="s">
        <v>356</v>
      </c>
      <c r="C61" s="10" t="s">
        <v>1149</v>
      </c>
      <c r="D61" s="11" t="s">
        <v>1150</v>
      </c>
      <c r="E61" s="11" t="s">
        <v>1151</v>
      </c>
      <c r="F61" s="10" t="s">
        <v>112</v>
      </c>
      <c r="G61" s="10"/>
      <c r="H61" s="11" t="s">
        <v>1152</v>
      </c>
      <c r="I61" s="10"/>
      <c r="J61" s="10"/>
      <c r="K61" s="10" t="s">
        <v>114</v>
      </c>
      <c r="L61" s="10" t="s">
        <v>114</v>
      </c>
      <c r="M61" s="11" t="s">
        <v>1153</v>
      </c>
      <c r="N61" s="11" t="s">
        <v>991</v>
      </c>
      <c r="O61" s="12" t="s">
        <v>116</v>
      </c>
      <c r="P61" s="12"/>
      <c r="Q61" s="10" t="str">
        <f t="shared" si="1"/>
        <v/>
      </c>
      <c r="R61" s="12"/>
      <c r="S61" s="13"/>
    </row>
    <row r="62" spans="1:19" ht="36" customHeight="1" x14ac:dyDescent="0.25">
      <c r="A62" s="10" t="s">
        <v>411</v>
      </c>
      <c r="B62" s="10" t="s">
        <v>356</v>
      </c>
      <c r="C62" s="10" t="s">
        <v>1154</v>
      </c>
      <c r="D62" s="11" t="s">
        <v>1155</v>
      </c>
      <c r="E62" s="11" t="s">
        <v>1156</v>
      </c>
      <c r="F62" s="10" t="s">
        <v>112</v>
      </c>
      <c r="G62" s="10"/>
      <c r="H62" s="11" t="s">
        <v>1157</v>
      </c>
      <c r="I62" s="10"/>
      <c r="J62" s="10"/>
      <c r="K62" s="10" t="s">
        <v>114</v>
      </c>
      <c r="L62" s="10" t="s">
        <v>114</v>
      </c>
      <c r="M62" s="11" t="s">
        <v>1158</v>
      </c>
      <c r="N62" s="11" t="s">
        <v>991</v>
      </c>
      <c r="O62" s="12" t="s">
        <v>116</v>
      </c>
      <c r="P62" s="12"/>
      <c r="Q62" s="10" t="str">
        <f t="shared" si="1"/>
        <v/>
      </c>
      <c r="R62" s="12"/>
      <c r="S62" s="13"/>
    </row>
    <row r="63" spans="1:19" ht="36" customHeight="1" x14ac:dyDescent="0.25">
      <c r="A63" s="10" t="s">
        <v>422</v>
      </c>
      <c r="B63" s="10" t="s">
        <v>356</v>
      </c>
      <c r="C63" s="10" t="s">
        <v>1159</v>
      </c>
      <c r="D63" s="11" t="s">
        <v>1160</v>
      </c>
      <c r="E63" s="11" t="s">
        <v>1161</v>
      </c>
      <c r="F63" s="10" t="s">
        <v>120</v>
      </c>
      <c r="G63" s="10"/>
      <c r="H63" s="11" t="s">
        <v>1162</v>
      </c>
      <c r="I63" s="10"/>
      <c r="J63" s="10"/>
      <c r="K63" s="10" t="s">
        <v>114</v>
      </c>
      <c r="L63" s="10" t="s">
        <v>122</v>
      </c>
      <c r="M63" s="11" t="s">
        <v>1163</v>
      </c>
      <c r="N63" s="11" t="s">
        <v>143</v>
      </c>
      <c r="O63" s="12" t="s">
        <v>116</v>
      </c>
      <c r="P63" s="12"/>
      <c r="Q63" s="10" t="str">
        <f t="shared" si="1"/>
        <v/>
      </c>
      <c r="R63" s="12"/>
      <c r="S63" s="13"/>
    </row>
    <row r="64" spans="1:19" ht="36" customHeight="1" x14ac:dyDescent="0.25">
      <c r="A64" s="10" t="s">
        <v>428</v>
      </c>
      <c r="B64" s="10" t="s">
        <v>356</v>
      </c>
      <c r="C64" s="10" t="s">
        <v>1159</v>
      </c>
      <c r="D64" s="11" t="s">
        <v>1164</v>
      </c>
      <c r="E64" s="11" t="s">
        <v>1165</v>
      </c>
      <c r="F64" s="10" t="s">
        <v>112</v>
      </c>
      <c r="G64" s="10"/>
      <c r="H64" s="11" t="s">
        <v>1166</v>
      </c>
      <c r="I64" s="10"/>
      <c r="J64" s="10"/>
      <c r="K64" s="10" t="s">
        <v>114</v>
      </c>
      <c r="L64" s="10" t="s">
        <v>114</v>
      </c>
      <c r="M64" s="11"/>
      <c r="N64" s="11" t="s">
        <v>1167</v>
      </c>
      <c r="O64" s="12" t="s">
        <v>116</v>
      </c>
      <c r="P64" s="12"/>
      <c r="Q64" s="10" t="str">
        <f t="shared" si="1"/>
        <v/>
      </c>
      <c r="R64" s="12"/>
      <c r="S64" s="13"/>
    </row>
    <row r="65" spans="1:19" ht="36" customHeight="1" x14ac:dyDescent="0.25">
      <c r="A65" s="10" t="s">
        <v>851</v>
      </c>
      <c r="B65" s="10" t="s">
        <v>356</v>
      </c>
      <c r="C65" s="10" t="s">
        <v>1159</v>
      </c>
      <c r="D65" s="11" t="s">
        <v>1168</v>
      </c>
      <c r="E65" s="11" t="s">
        <v>1169</v>
      </c>
      <c r="F65" s="10" t="s">
        <v>112</v>
      </c>
      <c r="G65" s="10"/>
      <c r="H65" s="11" t="s">
        <v>1170</v>
      </c>
      <c r="I65" s="10"/>
      <c r="J65" s="10"/>
      <c r="K65" s="10" t="s">
        <v>114</v>
      </c>
      <c r="L65" s="10" t="s">
        <v>114</v>
      </c>
      <c r="M65" s="11"/>
      <c r="N65" s="11" t="s">
        <v>143</v>
      </c>
      <c r="O65" s="12" t="s">
        <v>116</v>
      </c>
      <c r="P65" s="12"/>
      <c r="Q65" s="10" t="str">
        <f t="shared" si="1"/>
        <v/>
      </c>
      <c r="R65" s="12"/>
      <c r="S65" s="13"/>
    </row>
    <row r="66" spans="1:19" ht="36" customHeight="1" x14ac:dyDescent="0.25">
      <c r="A66" s="10" t="s">
        <v>855</v>
      </c>
      <c r="B66" s="10" t="s">
        <v>356</v>
      </c>
      <c r="C66" s="10" t="s">
        <v>1171</v>
      </c>
      <c r="D66" s="11" t="s">
        <v>1172</v>
      </c>
      <c r="E66" s="11" t="s">
        <v>1173</v>
      </c>
      <c r="F66" s="10" t="s">
        <v>112</v>
      </c>
      <c r="G66" s="10"/>
      <c r="H66" s="11" t="s">
        <v>1174</v>
      </c>
      <c r="I66" s="10"/>
      <c r="J66" s="10"/>
      <c r="K66" s="10" t="s">
        <v>114</v>
      </c>
      <c r="L66" s="10" t="s">
        <v>114</v>
      </c>
      <c r="M66" s="11"/>
      <c r="N66" s="11" t="s">
        <v>143</v>
      </c>
      <c r="O66" s="12" t="s">
        <v>116</v>
      </c>
      <c r="P66" s="12"/>
      <c r="Q66" s="10" t="str">
        <f t="shared" si="1"/>
        <v/>
      </c>
      <c r="R66" s="12"/>
      <c r="S66" s="13"/>
    </row>
    <row r="67" spans="1:19" ht="36" customHeight="1" x14ac:dyDescent="0.25">
      <c r="A67" s="10" t="s">
        <v>861</v>
      </c>
      <c r="B67" s="10" t="s">
        <v>356</v>
      </c>
      <c r="C67" s="10" t="s">
        <v>1171</v>
      </c>
      <c r="D67" s="11" t="s">
        <v>1175</v>
      </c>
      <c r="E67" s="11" t="s">
        <v>1176</v>
      </c>
      <c r="F67" s="10" t="s">
        <v>112</v>
      </c>
      <c r="G67" s="10"/>
      <c r="H67" s="11" t="s">
        <v>1177</v>
      </c>
      <c r="I67" s="10"/>
      <c r="J67" s="10"/>
      <c r="K67" s="10" t="s">
        <v>114</v>
      </c>
      <c r="L67" s="10" t="s">
        <v>114</v>
      </c>
      <c r="M67" s="11"/>
      <c r="N67" s="11" t="s">
        <v>143</v>
      </c>
      <c r="O67" s="12" t="s">
        <v>116</v>
      </c>
      <c r="P67" s="12"/>
      <c r="Q67" s="10" t="str">
        <f t="shared" si="1"/>
        <v/>
      </c>
      <c r="R67" s="12"/>
      <c r="S67" s="13"/>
    </row>
    <row r="68" spans="1:19" ht="48" customHeight="1" x14ac:dyDescent="0.25">
      <c r="A68" s="10" t="s">
        <v>865</v>
      </c>
      <c r="B68" s="10" t="s">
        <v>356</v>
      </c>
      <c r="C68" s="10" t="s">
        <v>866</v>
      </c>
      <c r="D68" s="11" t="s">
        <v>1178</v>
      </c>
      <c r="E68" s="11" t="s">
        <v>1179</v>
      </c>
      <c r="F68" s="10" t="s">
        <v>112</v>
      </c>
      <c r="G68" s="10"/>
      <c r="H68" s="11" t="s">
        <v>1180</v>
      </c>
      <c r="I68" s="10"/>
      <c r="J68" s="10"/>
      <c r="K68" s="10" t="s">
        <v>114</v>
      </c>
      <c r="L68" s="10" t="s">
        <v>114</v>
      </c>
      <c r="M68" s="11"/>
      <c r="N68" s="11" t="s">
        <v>953</v>
      </c>
      <c r="O68" s="12" t="s">
        <v>116</v>
      </c>
      <c r="P68" s="12"/>
      <c r="Q68" s="10" t="str">
        <f t="shared" si="1"/>
        <v/>
      </c>
      <c r="R68" s="12"/>
      <c r="S68" s="13"/>
    </row>
    <row r="69" spans="1:19" ht="36" customHeight="1" x14ac:dyDescent="0.25">
      <c r="A69" s="10" t="s">
        <v>434</v>
      </c>
      <c r="B69" s="10" t="s">
        <v>435</v>
      </c>
      <c r="C69" s="10" t="s">
        <v>1181</v>
      </c>
      <c r="D69" s="11" t="s">
        <v>1182</v>
      </c>
      <c r="E69" s="11" t="s">
        <v>1183</v>
      </c>
      <c r="F69" s="10" t="s">
        <v>1184</v>
      </c>
      <c r="G69" s="10"/>
      <c r="H69" s="11" t="s">
        <v>1185</v>
      </c>
      <c r="I69" s="10"/>
      <c r="J69" s="10"/>
      <c r="K69" s="10" t="s">
        <v>114</v>
      </c>
      <c r="L69" s="10" t="s">
        <v>122</v>
      </c>
      <c r="M69" s="11" t="s">
        <v>1025</v>
      </c>
      <c r="N69" s="11" t="s">
        <v>991</v>
      </c>
      <c r="O69" s="12" t="s">
        <v>116</v>
      </c>
      <c r="P69" s="12"/>
      <c r="Q69" s="10" t="str">
        <f t="shared" si="1"/>
        <v/>
      </c>
      <c r="R69" s="12"/>
      <c r="S69" s="13"/>
    </row>
    <row r="70" spans="1:19" ht="36" customHeight="1" x14ac:dyDescent="0.25">
      <c r="A70" s="10" t="s">
        <v>441</v>
      </c>
      <c r="B70" s="10" t="s">
        <v>435</v>
      </c>
      <c r="C70" s="10" t="s">
        <v>1181</v>
      </c>
      <c r="D70" s="11" t="s">
        <v>1186</v>
      </c>
      <c r="E70" s="11" t="s">
        <v>1187</v>
      </c>
      <c r="F70" s="10" t="s">
        <v>1184</v>
      </c>
      <c r="G70" s="10"/>
      <c r="H70" s="11" t="s">
        <v>1188</v>
      </c>
      <c r="I70" s="10"/>
      <c r="J70" s="10"/>
      <c r="K70" s="10" t="s">
        <v>114</v>
      </c>
      <c r="L70" s="10" t="s">
        <v>122</v>
      </c>
      <c r="M70" s="11" t="s">
        <v>1029</v>
      </c>
      <c r="N70" s="11" t="s">
        <v>991</v>
      </c>
      <c r="O70" s="12" t="s">
        <v>116</v>
      </c>
      <c r="P70" s="12"/>
      <c r="Q70" s="10" t="str">
        <f t="shared" si="1"/>
        <v/>
      </c>
      <c r="R70" s="12"/>
      <c r="S70" s="13"/>
    </row>
    <row r="71" spans="1:19" ht="36" customHeight="1" x14ac:dyDescent="0.25">
      <c r="A71" s="10" t="s">
        <v>446</v>
      </c>
      <c r="B71" s="10" t="s">
        <v>435</v>
      </c>
      <c r="C71" s="10" t="s">
        <v>1181</v>
      </c>
      <c r="D71" s="11" t="s">
        <v>1189</v>
      </c>
      <c r="E71" s="11" t="s">
        <v>1190</v>
      </c>
      <c r="F71" s="10" t="s">
        <v>1184</v>
      </c>
      <c r="G71" s="10"/>
      <c r="H71" s="11" t="s">
        <v>1191</v>
      </c>
      <c r="I71" s="10"/>
      <c r="J71" s="10"/>
      <c r="K71" s="10" t="s">
        <v>114</v>
      </c>
      <c r="L71" s="10" t="s">
        <v>122</v>
      </c>
      <c r="M71" s="11" t="s">
        <v>1158</v>
      </c>
      <c r="N71" s="11" t="s">
        <v>991</v>
      </c>
      <c r="O71" s="12" t="s">
        <v>116</v>
      </c>
      <c r="P71" s="12"/>
      <c r="Q71" s="10" t="str">
        <f t="shared" si="1"/>
        <v/>
      </c>
      <c r="R71" s="12"/>
      <c r="S71" s="13"/>
    </row>
    <row r="72" spans="1:19" ht="36" customHeight="1" x14ac:dyDescent="0.25">
      <c r="A72" s="10" t="s">
        <v>461</v>
      </c>
      <c r="B72" s="10" t="s">
        <v>435</v>
      </c>
      <c r="C72" s="10" t="s">
        <v>1192</v>
      </c>
      <c r="D72" s="11" t="s">
        <v>1193</v>
      </c>
      <c r="E72" s="11" t="s">
        <v>1194</v>
      </c>
      <c r="F72" s="10" t="s">
        <v>140</v>
      </c>
      <c r="G72" s="10" t="s">
        <v>141</v>
      </c>
      <c r="H72" s="11" t="s">
        <v>1195</v>
      </c>
      <c r="I72" s="10"/>
      <c r="J72" s="10">
        <v>17520</v>
      </c>
      <c r="K72" s="10" t="s">
        <v>114</v>
      </c>
      <c r="L72" s="10" t="s">
        <v>122</v>
      </c>
      <c r="M72" s="11" t="s">
        <v>1060</v>
      </c>
      <c r="N72" s="11" t="s">
        <v>991</v>
      </c>
      <c r="O72" s="12" t="s">
        <v>116</v>
      </c>
      <c r="P72" s="12"/>
      <c r="Q72" s="10" t="str">
        <f t="shared" si="1"/>
        <v>Sin dato</v>
      </c>
      <c r="R72" s="12"/>
      <c r="S72" s="13"/>
    </row>
    <row r="73" spans="1:19" ht="36" customHeight="1" x14ac:dyDescent="0.25">
      <c r="A73" s="10" t="s">
        <v>1196</v>
      </c>
      <c r="B73" s="10" t="s">
        <v>435</v>
      </c>
      <c r="C73" s="10" t="s">
        <v>1192</v>
      </c>
      <c r="D73" s="11" t="s">
        <v>1197</v>
      </c>
      <c r="E73" s="11" t="s">
        <v>1198</v>
      </c>
      <c r="F73" s="10" t="s">
        <v>140</v>
      </c>
      <c r="G73" s="10" t="s">
        <v>141</v>
      </c>
      <c r="H73" s="11" t="s">
        <v>1199</v>
      </c>
      <c r="I73" s="10"/>
      <c r="J73" s="10">
        <v>17520</v>
      </c>
      <c r="K73" s="10" t="s">
        <v>114</v>
      </c>
      <c r="L73" s="10" t="s">
        <v>122</v>
      </c>
      <c r="M73" s="11" t="s">
        <v>1200</v>
      </c>
      <c r="N73" s="11" t="s">
        <v>991</v>
      </c>
      <c r="O73" s="12" t="s">
        <v>116</v>
      </c>
      <c r="P73" s="12"/>
      <c r="Q73" s="10" t="str">
        <f t="shared" ref="Q73:Q88" si="2">IF($F73&lt;&gt;"Numérico","",IF($P73="","Sin dato",IF(AND(OR(NOT(ISNUMBER($I73)),$P73&gt;=$I73),OR(NOT(ISNUMBER($J73)),$P73&lt;=$J73)),"Dentro de rango","Fuera de rango")))</f>
        <v>Sin dato</v>
      </c>
      <c r="R73" s="12"/>
      <c r="S73" s="13"/>
    </row>
    <row r="74" spans="1:19" ht="36" customHeight="1" x14ac:dyDescent="0.25">
      <c r="A74" s="10" t="s">
        <v>1201</v>
      </c>
      <c r="B74" s="10" t="s">
        <v>435</v>
      </c>
      <c r="C74" s="10" t="s">
        <v>1192</v>
      </c>
      <c r="D74" s="11" t="s">
        <v>1202</v>
      </c>
      <c r="E74" s="11" t="s">
        <v>1203</v>
      </c>
      <c r="F74" s="10" t="s">
        <v>140</v>
      </c>
      <c r="G74" s="10" t="s">
        <v>141</v>
      </c>
      <c r="H74" s="11" t="s">
        <v>1204</v>
      </c>
      <c r="I74" s="10"/>
      <c r="J74" s="10">
        <v>8760</v>
      </c>
      <c r="K74" s="10" t="s">
        <v>114</v>
      </c>
      <c r="L74" s="10" t="s">
        <v>122</v>
      </c>
      <c r="M74" s="11" t="s">
        <v>967</v>
      </c>
      <c r="N74" s="11" t="s">
        <v>991</v>
      </c>
      <c r="O74" s="12" t="s">
        <v>116</v>
      </c>
      <c r="P74" s="12"/>
      <c r="Q74" s="10" t="str">
        <f t="shared" si="2"/>
        <v>Sin dato</v>
      </c>
      <c r="R74" s="12"/>
      <c r="S74" s="13"/>
    </row>
    <row r="75" spans="1:19" ht="36" customHeight="1" x14ac:dyDescent="0.25">
      <c r="A75" s="10" t="s">
        <v>1205</v>
      </c>
      <c r="B75" s="10" t="s">
        <v>435</v>
      </c>
      <c r="C75" s="10" t="s">
        <v>1192</v>
      </c>
      <c r="D75" s="11" t="s">
        <v>1206</v>
      </c>
      <c r="E75" s="11" t="s">
        <v>1207</v>
      </c>
      <c r="F75" s="10" t="s">
        <v>140</v>
      </c>
      <c r="G75" s="10" t="s">
        <v>141</v>
      </c>
      <c r="H75" s="11" t="s">
        <v>1208</v>
      </c>
      <c r="I75" s="10"/>
      <c r="J75" s="10">
        <v>17520</v>
      </c>
      <c r="K75" s="10" t="s">
        <v>114</v>
      </c>
      <c r="L75" s="10" t="s">
        <v>122</v>
      </c>
      <c r="M75" s="11" t="s">
        <v>1209</v>
      </c>
      <c r="N75" s="11" t="s">
        <v>991</v>
      </c>
      <c r="O75" s="12" t="s">
        <v>116</v>
      </c>
      <c r="P75" s="12"/>
      <c r="Q75" s="10" t="str">
        <f t="shared" si="2"/>
        <v>Sin dato</v>
      </c>
      <c r="R75" s="12"/>
      <c r="S75" s="13"/>
    </row>
    <row r="76" spans="1:19" ht="36" customHeight="1" x14ac:dyDescent="0.25">
      <c r="A76" s="10" t="s">
        <v>1210</v>
      </c>
      <c r="B76" s="10" t="s">
        <v>435</v>
      </c>
      <c r="C76" s="10" t="s">
        <v>1192</v>
      </c>
      <c r="D76" s="11" t="s">
        <v>1211</v>
      </c>
      <c r="E76" s="11" t="s">
        <v>1212</v>
      </c>
      <c r="F76" s="10" t="s">
        <v>140</v>
      </c>
      <c r="G76" s="10" t="s">
        <v>141</v>
      </c>
      <c r="H76" s="11" t="s">
        <v>1213</v>
      </c>
      <c r="I76" s="10"/>
      <c r="J76" s="10">
        <v>17520</v>
      </c>
      <c r="K76" s="10" t="s">
        <v>114</v>
      </c>
      <c r="L76" s="10" t="s">
        <v>122</v>
      </c>
      <c r="M76" s="11" t="s">
        <v>1123</v>
      </c>
      <c r="N76" s="11" t="s">
        <v>991</v>
      </c>
      <c r="O76" s="12" t="s">
        <v>116</v>
      </c>
      <c r="P76" s="12"/>
      <c r="Q76" s="10" t="str">
        <f t="shared" si="2"/>
        <v>Sin dato</v>
      </c>
      <c r="R76" s="12"/>
      <c r="S76" s="13"/>
    </row>
    <row r="77" spans="1:19" ht="36" customHeight="1" x14ac:dyDescent="0.25">
      <c r="A77" s="10" t="s">
        <v>467</v>
      </c>
      <c r="B77" s="10" t="s">
        <v>468</v>
      </c>
      <c r="C77" s="10" t="s">
        <v>1214</v>
      </c>
      <c r="D77" s="11" t="s">
        <v>1215</v>
      </c>
      <c r="E77" s="11" t="s">
        <v>1216</v>
      </c>
      <c r="F77" s="10" t="s">
        <v>140</v>
      </c>
      <c r="G77" s="10" t="s">
        <v>186</v>
      </c>
      <c r="H77" s="11" t="s">
        <v>1217</v>
      </c>
      <c r="I77" s="10"/>
      <c r="J77" s="10"/>
      <c r="K77" s="10" t="s">
        <v>114</v>
      </c>
      <c r="L77" s="10" t="s">
        <v>122</v>
      </c>
      <c r="M77" s="11"/>
      <c r="N77" s="11" t="s">
        <v>143</v>
      </c>
      <c r="O77" s="12" t="s">
        <v>116</v>
      </c>
      <c r="P77" s="12"/>
      <c r="Q77" s="10" t="str">
        <f t="shared" si="2"/>
        <v>Sin dato</v>
      </c>
      <c r="R77" s="12"/>
      <c r="S77" s="13"/>
    </row>
    <row r="78" spans="1:19" ht="36" customHeight="1" x14ac:dyDescent="0.25">
      <c r="A78" s="10" t="s">
        <v>474</v>
      </c>
      <c r="B78" s="10" t="s">
        <v>468</v>
      </c>
      <c r="C78" s="10" t="s">
        <v>1214</v>
      </c>
      <c r="D78" s="11" t="s">
        <v>1218</v>
      </c>
      <c r="E78" s="11" t="s">
        <v>1219</v>
      </c>
      <c r="F78" s="10" t="s">
        <v>112</v>
      </c>
      <c r="G78" s="10"/>
      <c r="H78" s="11" t="s">
        <v>1220</v>
      </c>
      <c r="I78" s="10"/>
      <c r="J78" s="10"/>
      <c r="K78" s="10" t="s">
        <v>114</v>
      </c>
      <c r="L78" s="10" t="s">
        <v>114</v>
      </c>
      <c r="M78" s="11"/>
      <c r="N78" s="11" t="s">
        <v>143</v>
      </c>
      <c r="O78" s="12" t="s">
        <v>116</v>
      </c>
      <c r="P78" s="12"/>
      <c r="Q78" s="10" t="str">
        <f t="shared" si="2"/>
        <v/>
      </c>
      <c r="R78" s="12"/>
      <c r="S78" s="13"/>
    </row>
    <row r="79" spans="1:19" ht="36" customHeight="1" x14ac:dyDescent="0.25">
      <c r="A79" s="10" t="s">
        <v>478</v>
      </c>
      <c r="B79" s="10" t="s">
        <v>468</v>
      </c>
      <c r="C79" s="10" t="s">
        <v>1221</v>
      </c>
      <c r="D79" s="11" t="s">
        <v>1222</v>
      </c>
      <c r="E79" s="11" t="s">
        <v>1223</v>
      </c>
      <c r="F79" s="10" t="s">
        <v>112</v>
      </c>
      <c r="G79" s="10"/>
      <c r="H79" s="11" t="s">
        <v>1224</v>
      </c>
      <c r="I79" s="10"/>
      <c r="J79" s="10"/>
      <c r="K79" s="10" t="s">
        <v>114</v>
      </c>
      <c r="L79" s="10" t="s">
        <v>114</v>
      </c>
      <c r="M79" s="11"/>
      <c r="N79" s="11" t="s">
        <v>143</v>
      </c>
      <c r="O79" s="12" t="s">
        <v>116</v>
      </c>
      <c r="P79" s="12"/>
      <c r="Q79" s="10" t="str">
        <f t="shared" si="2"/>
        <v/>
      </c>
      <c r="R79" s="12"/>
      <c r="S79" s="13"/>
    </row>
    <row r="80" spans="1:19" ht="36" customHeight="1" x14ac:dyDescent="0.25">
      <c r="A80" s="10" t="s">
        <v>484</v>
      </c>
      <c r="B80" s="10" t="s">
        <v>468</v>
      </c>
      <c r="C80" s="10" t="s">
        <v>1221</v>
      </c>
      <c r="D80" s="11" t="s">
        <v>1225</v>
      </c>
      <c r="E80" s="11" t="s">
        <v>1226</v>
      </c>
      <c r="F80" s="10" t="s">
        <v>112</v>
      </c>
      <c r="G80" s="10"/>
      <c r="H80" s="11" t="s">
        <v>1227</v>
      </c>
      <c r="I80" s="10"/>
      <c r="J80" s="10"/>
      <c r="K80" s="10" t="s">
        <v>114</v>
      </c>
      <c r="L80" s="10" t="s">
        <v>114</v>
      </c>
      <c r="M80" s="11"/>
      <c r="N80" s="11" t="s">
        <v>143</v>
      </c>
      <c r="O80" s="12" t="s">
        <v>116</v>
      </c>
      <c r="P80" s="12"/>
      <c r="Q80" s="10" t="str">
        <f t="shared" si="2"/>
        <v/>
      </c>
      <c r="R80" s="12"/>
      <c r="S80" s="13"/>
    </row>
    <row r="81" spans="1:19" ht="36" customHeight="1" x14ac:dyDescent="0.25">
      <c r="A81" s="10" t="s">
        <v>490</v>
      </c>
      <c r="B81" s="10" t="s">
        <v>468</v>
      </c>
      <c r="C81" s="10" t="s">
        <v>899</v>
      </c>
      <c r="D81" s="11" t="s">
        <v>1228</v>
      </c>
      <c r="E81" s="11" t="s">
        <v>1229</v>
      </c>
      <c r="F81" s="10" t="s">
        <v>140</v>
      </c>
      <c r="G81" s="10" t="s">
        <v>191</v>
      </c>
      <c r="H81" s="11" t="s">
        <v>1230</v>
      </c>
      <c r="I81" s="10">
        <v>0.5</v>
      </c>
      <c r="J81" s="10">
        <v>0.9</v>
      </c>
      <c r="K81" s="10" t="s">
        <v>114</v>
      </c>
      <c r="L81" s="10" t="s">
        <v>122</v>
      </c>
      <c r="M81" s="11"/>
      <c r="N81" s="11" t="s">
        <v>143</v>
      </c>
      <c r="O81" s="12" t="s">
        <v>116</v>
      </c>
      <c r="P81" s="12"/>
      <c r="Q81" s="10" t="str">
        <f t="shared" si="2"/>
        <v>Sin dato</v>
      </c>
      <c r="R81" s="12"/>
      <c r="S81" s="13"/>
    </row>
    <row r="82" spans="1:19" ht="36" customHeight="1" x14ac:dyDescent="0.25">
      <c r="A82" s="10" t="s">
        <v>903</v>
      </c>
      <c r="B82" s="10" t="s">
        <v>468</v>
      </c>
      <c r="C82" s="10" t="s">
        <v>1231</v>
      </c>
      <c r="D82" s="11" t="s">
        <v>1232</v>
      </c>
      <c r="E82" s="11" t="s">
        <v>1233</v>
      </c>
      <c r="F82" s="10" t="s">
        <v>112</v>
      </c>
      <c r="G82" s="10"/>
      <c r="H82" s="11" t="s">
        <v>1234</v>
      </c>
      <c r="I82" s="10"/>
      <c r="J82" s="10"/>
      <c r="K82" s="10" t="s">
        <v>114</v>
      </c>
      <c r="L82" s="10" t="s">
        <v>114</v>
      </c>
      <c r="M82" s="11"/>
      <c r="N82" s="11" t="s">
        <v>143</v>
      </c>
      <c r="O82" s="12" t="s">
        <v>116</v>
      </c>
      <c r="P82" s="12"/>
      <c r="Q82" s="10" t="str">
        <f t="shared" si="2"/>
        <v/>
      </c>
      <c r="R82" s="12"/>
      <c r="S82" s="13"/>
    </row>
    <row r="83" spans="1:19" ht="36" customHeight="1" x14ac:dyDescent="0.25">
      <c r="A83" s="10" t="s">
        <v>499</v>
      </c>
      <c r="B83" s="10" t="s">
        <v>500</v>
      </c>
      <c r="C83" s="10" t="s">
        <v>501</v>
      </c>
      <c r="D83" s="11" t="s">
        <v>1235</v>
      </c>
      <c r="E83" s="11" t="s">
        <v>1236</v>
      </c>
      <c r="F83" s="10" t="s">
        <v>112</v>
      </c>
      <c r="G83" s="10"/>
      <c r="H83" s="11" t="s">
        <v>1237</v>
      </c>
      <c r="I83" s="10"/>
      <c r="J83" s="10"/>
      <c r="K83" s="10" t="s">
        <v>114</v>
      </c>
      <c r="L83" s="10" t="s">
        <v>114</v>
      </c>
      <c r="M83" s="11"/>
      <c r="N83" s="11" t="s">
        <v>1067</v>
      </c>
      <c r="O83" s="12" t="s">
        <v>116</v>
      </c>
      <c r="P83" s="12"/>
      <c r="Q83" s="10" t="str">
        <f t="shared" si="2"/>
        <v/>
      </c>
      <c r="R83" s="12"/>
      <c r="S83" s="13"/>
    </row>
    <row r="84" spans="1:19" ht="36" customHeight="1" x14ac:dyDescent="0.25">
      <c r="A84" s="10" t="s">
        <v>506</v>
      </c>
      <c r="B84" s="10" t="s">
        <v>500</v>
      </c>
      <c r="C84" s="10" t="s">
        <v>501</v>
      </c>
      <c r="D84" s="11" t="s">
        <v>1238</v>
      </c>
      <c r="E84" s="11" t="s">
        <v>1239</v>
      </c>
      <c r="F84" s="10" t="s">
        <v>112</v>
      </c>
      <c r="G84" s="10"/>
      <c r="H84" s="11" t="s">
        <v>1240</v>
      </c>
      <c r="I84" s="10"/>
      <c r="J84" s="10"/>
      <c r="K84" s="10" t="s">
        <v>114</v>
      </c>
      <c r="L84" s="10" t="s">
        <v>114</v>
      </c>
      <c r="M84" s="11"/>
      <c r="N84" s="11" t="s">
        <v>991</v>
      </c>
      <c r="O84" s="12" t="s">
        <v>116</v>
      </c>
      <c r="P84" s="12"/>
      <c r="Q84" s="10" t="str">
        <f t="shared" si="2"/>
        <v/>
      </c>
      <c r="R84" s="12"/>
      <c r="S84" s="13"/>
    </row>
    <row r="85" spans="1:19" ht="36" customHeight="1" x14ac:dyDescent="0.25">
      <c r="A85" s="10" t="s">
        <v>516</v>
      </c>
      <c r="B85" s="10" t="s">
        <v>500</v>
      </c>
      <c r="C85" s="10" t="s">
        <v>1241</v>
      </c>
      <c r="D85" s="11" t="s">
        <v>1242</v>
      </c>
      <c r="E85" s="11" t="s">
        <v>1243</v>
      </c>
      <c r="F85" s="10" t="s">
        <v>140</v>
      </c>
      <c r="G85" s="10" t="s">
        <v>530</v>
      </c>
      <c r="H85" s="11" t="s">
        <v>1244</v>
      </c>
      <c r="I85" s="10">
        <v>222</v>
      </c>
      <c r="J85" s="10"/>
      <c r="K85" s="10" t="s">
        <v>114</v>
      </c>
      <c r="L85" s="10" t="s">
        <v>122</v>
      </c>
      <c r="M85" s="11"/>
      <c r="N85" s="11" t="s">
        <v>953</v>
      </c>
      <c r="O85" s="12" t="s">
        <v>116</v>
      </c>
      <c r="P85" s="12"/>
      <c r="Q85" s="10" t="str">
        <f t="shared" si="2"/>
        <v>Sin dato</v>
      </c>
      <c r="R85" s="12"/>
      <c r="S85" s="13"/>
    </row>
    <row r="86" spans="1:19" ht="36" customHeight="1" x14ac:dyDescent="0.25">
      <c r="A86" s="10" t="s">
        <v>927</v>
      </c>
      <c r="B86" s="10" t="s">
        <v>500</v>
      </c>
      <c r="C86" s="10" t="s">
        <v>1241</v>
      </c>
      <c r="D86" s="11" t="s">
        <v>1245</v>
      </c>
      <c r="E86" s="11" t="s">
        <v>1246</v>
      </c>
      <c r="F86" s="10" t="s">
        <v>164</v>
      </c>
      <c r="G86" s="10"/>
      <c r="H86" s="11" t="s">
        <v>1247</v>
      </c>
      <c r="I86" s="10"/>
      <c r="J86" s="10"/>
      <c r="K86" s="10" t="s">
        <v>114</v>
      </c>
      <c r="L86" s="10" t="s">
        <v>114</v>
      </c>
      <c r="M86" s="11"/>
      <c r="N86" s="11" t="s">
        <v>953</v>
      </c>
      <c r="O86" s="12" t="s">
        <v>116</v>
      </c>
      <c r="P86" s="12"/>
      <c r="Q86" s="10" t="str">
        <f t="shared" si="2"/>
        <v/>
      </c>
      <c r="R86" s="12"/>
      <c r="S86" s="13"/>
    </row>
    <row r="87" spans="1:19" ht="36" customHeight="1" x14ac:dyDescent="0.25">
      <c r="A87" s="10" t="s">
        <v>522</v>
      </c>
      <c r="B87" s="10" t="s">
        <v>500</v>
      </c>
      <c r="C87" s="10" t="s">
        <v>1248</v>
      </c>
      <c r="D87" s="11" t="s">
        <v>1249</v>
      </c>
      <c r="E87" s="11" t="s">
        <v>1250</v>
      </c>
      <c r="F87" s="10" t="s">
        <v>140</v>
      </c>
      <c r="G87" s="10" t="s">
        <v>472</v>
      </c>
      <c r="H87" s="11" t="s">
        <v>1251</v>
      </c>
      <c r="I87" s="10">
        <v>5</v>
      </c>
      <c r="J87" s="10">
        <v>40</v>
      </c>
      <c r="K87" s="10" t="s">
        <v>114</v>
      </c>
      <c r="L87" s="10" t="s">
        <v>122</v>
      </c>
      <c r="M87" s="11"/>
      <c r="N87" s="11" t="s">
        <v>953</v>
      </c>
      <c r="O87" s="12" t="s">
        <v>116</v>
      </c>
      <c r="P87" s="12"/>
      <c r="Q87" s="10" t="str">
        <f t="shared" si="2"/>
        <v>Sin dato</v>
      </c>
      <c r="R87" s="12"/>
      <c r="S87" s="13"/>
    </row>
    <row r="88" spans="1:19" ht="36" customHeight="1" x14ac:dyDescent="0.25">
      <c r="A88" s="10" t="s">
        <v>527</v>
      </c>
      <c r="B88" s="10" t="s">
        <v>500</v>
      </c>
      <c r="C88" s="10" t="s">
        <v>1248</v>
      </c>
      <c r="D88" s="11" t="s">
        <v>1252</v>
      </c>
      <c r="E88" s="11" t="s">
        <v>1253</v>
      </c>
      <c r="F88" s="10" t="s">
        <v>140</v>
      </c>
      <c r="G88" s="10" t="s">
        <v>487</v>
      </c>
      <c r="H88" s="11" t="s">
        <v>1254</v>
      </c>
      <c r="I88" s="10"/>
      <c r="J88" s="10">
        <v>80</v>
      </c>
      <c r="K88" s="10" t="s">
        <v>114</v>
      </c>
      <c r="L88" s="10" t="s">
        <v>122</v>
      </c>
      <c r="M88" s="11"/>
      <c r="N88" s="11" t="s">
        <v>1045</v>
      </c>
      <c r="O88" s="12" t="s">
        <v>116</v>
      </c>
      <c r="P88" s="12"/>
      <c r="Q88" s="10" t="str">
        <f t="shared" si="2"/>
        <v>Sin dato</v>
      </c>
      <c r="R88" s="12"/>
      <c r="S88" s="13"/>
    </row>
  </sheetData>
  <autoFilter ref="A8:S88" xr:uid="{00000000-0009-0000-0000-000003000000}"/>
  <conditionalFormatting sqref="O9:O88">
    <cfRule type="cellIs" dxfId="7" priority="1" operator="equal">
      <formula>"Conforme"</formula>
    </cfRule>
    <cfRule type="cellIs" dxfId="6" priority="2" operator="equal">
      <formula>"No conforme"</formula>
    </cfRule>
    <cfRule type="cellIs" dxfId="5" priority="3" operator="equal">
      <formula>"Requiere reemplazo"</formula>
    </cfRule>
  </conditionalFormatting>
  <conditionalFormatting sqref="Q9:Q88">
    <cfRule type="cellIs" dxfId="4" priority="4" operator="equal">
      <formula>"Fuera de rango"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300-000000000000}">
          <x14:formula1>
            <xm:f>Listas!$A$2:$A$6</xm:f>
          </x14:formula1>
          <xm:sqref>O9:O88</xm:sqref>
        </x14:dataValidation>
        <x14:dataValidation type="list" allowBlank="1" xr:uid="{00000000-0002-0000-0300-000001000000}">
          <x14:formula1>
            <xm:f>Listas!$B$2:$B$4</xm:f>
          </x14:formula1>
          <xm:sqref>R9:R88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84"/>
  <sheetViews>
    <sheetView showGridLines="0" workbookViewId="0">
      <pane xSplit="4" ySplit="8" topLeftCell="E9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9" customWidth="1"/>
    <col min="2" max="2" width="30" customWidth="1"/>
    <col min="3" max="3" width="32" customWidth="1"/>
    <col min="4" max="4" width="34" customWidth="1"/>
    <col min="5" max="5" width="46" customWidth="1"/>
    <col min="6" max="6" width="14" customWidth="1"/>
    <col min="7" max="7" width="10" customWidth="1"/>
    <col min="8" max="8" width="52" customWidth="1"/>
    <col min="9" max="10" width="10" customWidth="1"/>
    <col min="11" max="11" width="11" customWidth="1"/>
    <col min="12" max="12" width="14" customWidth="1"/>
    <col min="13" max="13" width="30" customWidth="1"/>
    <col min="14" max="14" width="34" customWidth="1"/>
    <col min="15" max="15" width="19" customWidth="1"/>
    <col min="16" max="16" width="13" customWidth="1"/>
    <col min="17" max="17" width="17" customWidth="1"/>
    <col min="18" max="18" width="12" customWidth="1"/>
    <col min="19" max="19" width="46" customWidth="1"/>
  </cols>
  <sheetData>
    <row r="1" spans="1:19" ht="18" customHeight="1" x14ac:dyDescent="0.25">
      <c r="A1" s="5" t="s">
        <v>1255</v>
      </c>
    </row>
    <row r="3" spans="1:19" x14ac:dyDescent="0.25">
      <c r="A3" s="6" t="s">
        <v>78</v>
      </c>
      <c r="B3" s="7"/>
      <c r="D3" s="6" t="s">
        <v>79</v>
      </c>
      <c r="E3" s="7" t="s">
        <v>1256</v>
      </c>
    </row>
    <row r="4" spans="1:19" x14ac:dyDescent="0.25">
      <c r="A4" s="6" t="s">
        <v>81</v>
      </c>
      <c r="B4" s="7"/>
      <c r="D4" s="6" t="s">
        <v>82</v>
      </c>
      <c r="E4" s="7"/>
    </row>
    <row r="5" spans="1:19" x14ac:dyDescent="0.25">
      <c r="A5" s="6" t="s">
        <v>83</v>
      </c>
      <c r="B5" s="8" t="s">
        <v>1257</v>
      </c>
      <c r="D5" s="6" t="s">
        <v>85</v>
      </c>
      <c r="E5" s="7"/>
    </row>
    <row r="6" spans="1:19" x14ac:dyDescent="0.25">
      <c r="A6" s="6" t="s">
        <v>86</v>
      </c>
      <c r="B6" s="7"/>
      <c r="D6" s="6" t="s">
        <v>87</v>
      </c>
      <c r="E6" s="7"/>
    </row>
    <row r="8" spans="1:19" ht="31.5" customHeight="1" x14ac:dyDescent="0.25">
      <c r="A8" s="9" t="s">
        <v>88</v>
      </c>
      <c r="B8" s="9" t="s">
        <v>89</v>
      </c>
      <c r="C8" s="9" t="s">
        <v>90</v>
      </c>
      <c r="D8" s="9" t="s">
        <v>91</v>
      </c>
      <c r="E8" s="9" t="s">
        <v>92</v>
      </c>
      <c r="F8" s="9" t="s">
        <v>93</v>
      </c>
      <c r="G8" s="9" t="s">
        <v>94</v>
      </c>
      <c r="H8" s="9" t="s">
        <v>95</v>
      </c>
      <c r="I8" s="9" t="s">
        <v>96</v>
      </c>
      <c r="J8" s="9" t="s">
        <v>97</v>
      </c>
      <c r="K8" s="9" t="s">
        <v>98</v>
      </c>
      <c r="L8" s="9" t="s">
        <v>99</v>
      </c>
      <c r="M8" s="9" t="s">
        <v>100</v>
      </c>
      <c r="N8" s="9" t="s">
        <v>101</v>
      </c>
      <c r="O8" s="9" t="s">
        <v>102</v>
      </c>
      <c r="P8" s="9" t="s">
        <v>103</v>
      </c>
      <c r="Q8" s="9" t="s">
        <v>104</v>
      </c>
      <c r="R8" s="9" t="s">
        <v>105</v>
      </c>
      <c r="S8" s="9" t="s">
        <v>106</v>
      </c>
    </row>
    <row r="9" spans="1:19" ht="36" customHeight="1" x14ac:dyDescent="0.25">
      <c r="A9" s="10" t="s">
        <v>107</v>
      </c>
      <c r="B9" s="10" t="s">
        <v>108</v>
      </c>
      <c r="C9" s="10" t="s">
        <v>109</v>
      </c>
      <c r="D9" s="11" t="s">
        <v>1258</v>
      </c>
      <c r="E9" s="11" t="s">
        <v>1259</v>
      </c>
      <c r="F9" s="10" t="s">
        <v>112</v>
      </c>
      <c r="G9" s="10"/>
      <c r="H9" s="11" t="s">
        <v>1260</v>
      </c>
      <c r="I9" s="10"/>
      <c r="J9" s="10"/>
      <c r="K9" s="10" t="s">
        <v>114</v>
      </c>
      <c r="L9" s="10" t="s">
        <v>114</v>
      </c>
      <c r="M9" s="11"/>
      <c r="N9" s="11" t="s">
        <v>1261</v>
      </c>
      <c r="O9" s="12" t="s">
        <v>116</v>
      </c>
      <c r="P9" s="12"/>
      <c r="Q9" s="10" t="str">
        <f t="shared" ref="Q9:Q40" si="0">IF($F9&lt;&gt;"Numérico","",IF($P9="","Sin dato",IF(AND(OR(NOT(ISNUMBER($I9)),$P9&gt;=$I9),OR(NOT(ISNUMBER($J9)),$P9&lt;=$J9)),"Dentro de rango","Fuera de rango")))</f>
        <v/>
      </c>
      <c r="R9" s="12"/>
      <c r="S9" s="13"/>
    </row>
    <row r="10" spans="1:19" ht="36" customHeight="1" x14ac:dyDescent="0.25">
      <c r="A10" s="10" t="s">
        <v>117</v>
      </c>
      <c r="B10" s="10" t="s">
        <v>108</v>
      </c>
      <c r="C10" s="10" t="s">
        <v>109</v>
      </c>
      <c r="D10" s="11" t="s">
        <v>1262</v>
      </c>
      <c r="E10" s="11" t="s">
        <v>1263</v>
      </c>
      <c r="F10" s="10" t="s">
        <v>120</v>
      </c>
      <c r="G10" s="10"/>
      <c r="H10" s="11" t="s">
        <v>1264</v>
      </c>
      <c r="I10" s="10"/>
      <c r="J10" s="10"/>
      <c r="K10" s="10" t="s">
        <v>114</v>
      </c>
      <c r="L10" s="10" t="s">
        <v>122</v>
      </c>
      <c r="M10" s="11" t="s">
        <v>1265</v>
      </c>
      <c r="N10" s="11" t="s">
        <v>1266</v>
      </c>
      <c r="O10" s="12" t="s">
        <v>116</v>
      </c>
      <c r="P10" s="12"/>
      <c r="Q10" s="10" t="str">
        <f t="shared" si="0"/>
        <v/>
      </c>
      <c r="R10" s="12"/>
      <c r="S10" s="13"/>
    </row>
    <row r="11" spans="1:19" ht="36" customHeight="1" x14ac:dyDescent="0.25">
      <c r="A11" s="10" t="s">
        <v>123</v>
      </c>
      <c r="B11" s="10" t="s">
        <v>108</v>
      </c>
      <c r="C11" s="10" t="s">
        <v>109</v>
      </c>
      <c r="D11" s="11" t="s">
        <v>1267</v>
      </c>
      <c r="E11" s="11" t="s">
        <v>1268</v>
      </c>
      <c r="F11" s="10" t="s">
        <v>112</v>
      </c>
      <c r="G11" s="10"/>
      <c r="H11" s="11" t="s">
        <v>1269</v>
      </c>
      <c r="I11" s="10"/>
      <c r="J11" s="10"/>
      <c r="K11" s="10" t="s">
        <v>114</v>
      </c>
      <c r="L11" s="10" t="s">
        <v>114</v>
      </c>
      <c r="M11" s="11" t="s">
        <v>1270</v>
      </c>
      <c r="N11" s="11" t="s">
        <v>1271</v>
      </c>
      <c r="O11" s="12" t="s">
        <v>116</v>
      </c>
      <c r="P11" s="12"/>
      <c r="Q11" s="10" t="str">
        <f t="shared" si="0"/>
        <v/>
      </c>
      <c r="R11" s="12"/>
      <c r="S11" s="13"/>
    </row>
    <row r="12" spans="1:19" ht="48" customHeight="1" x14ac:dyDescent="0.25">
      <c r="A12" s="10" t="s">
        <v>129</v>
      </c>
      <c r="B12" s="10" t="s">
        <v>108</v>
      </c>
      <c r="C12" s="10" t="s">
        <v>960</v>
      </c>
      <c r="D12" s="11" t="s">
        <v>1272</v>
      </c>
      <c r="E12" s="11" t="s">
        <v>1273</v>
      </c>
      <c r="F12" s="10" t="s">
        <v>164</v>
      </c>
      <c r="G12" s="10"/>
      <c r="H12" s="11" t="s">
        <v>1274</v>
      </c>
      <c r="I12" s="10"/>
      <c r="J12" s="10"/>
      <c r="K12" s="10" t="s">
        <v>114</v>
      </c>
      <c r="L12" s="10" t="s">
        <v>114</v>
      </c>
      <c r="M12" s="11"/>
      <c r="N12" s="11" t="s">
        <v>1261</v>
      </c>
      <c r="O12" s="12" t="s">
        <v>116</v>
      </c>
      <c r="P12" s="12"/>
      <c r="Q12" s="10" t="str">
        <f t="shared" si="0"/>
        <v/>
      </c>
      <c r="R12" s="12"/>
      <c r="S12" s="13"/>
    </row>
    <row r="13" spans="1:19" ht="36" customHeight="1" x14ac:dyDescent="0.25">
      <c r="A13" s="10" t="s">
        <v>136</v>
      </c>
      <c r="B13" s="10" t="s">
        <v>108</v>
      </c>
      <c r="C13" s="10" t="s">
        <v>137</v>
      </c>
      <c r="D13" s="11" t="s">
        <v>1275</v>
      </c>
      <c r="E13" s="11" t="s">
        <v>1276</v>
      </c>
      <c r="F13" s="10" t="s">
        <v>140</v>
      </c>
      <c r="G13" s="10" t="s">
        <v>141</v>
      </c>
      <c r="H13" s="11" t="s">
        <v>1277</v>
      </c>
      <c r="I13" s="10">
        <v>3</v>
      </c>
      <c r="J13" s="10">
        <v>48</v>
      </c>
      <c r="K13" s="10" t="s">
        <v>114</v>
      </c>
      <c r="L13" s="10" t="s">
        <v>122</v>
      </c>
      <c r="M13" s="11"/>
      <c r="N13" s="11" t="s">
        <v>143</v>
      </c>
      <c r="O13" s="12" t="s">
        <v>116</v>
      </c>
      <c r="P13" s="12"/>
      <c r="Q13" s="10" t="str">
        <f t="shared" si="0"/>
        <v>Sin dato</v>
      </c>
      <c r="R13" s="12"/>
      <c r="S13" s="13"/>
    </row>
    <row r="14" spans="1:19" ht="36" customHeight="1" x14ac:dyDescent="0.25">
      <c r="A14" s="10" t="s">
        <v>144</v>
      </c>
      <c r="B14" s="10" t="s">
        <v>145</v>
      </c>
      <c r="C14" s="10" t="s">
        <v>146</v>
      </c>
      <c r="D14" s="11" t="s">
        <v>1278</v>
      </c>
      <c r="E14" s="11" t="s">
        <v>1279</v>
      </c>
      <c r="F14" s="10" t="s">
        <v>133</v>
      </c>
      <c r="G14" s="10"/>
      <c r="H14" s="11" t="s">
        <v>1280</v>
      </c>
      <c r="I14" s="10"/>
      <c r="J14" s="10"/>
      <c r="K14" s="10" t="s">
        <v>114</v>
      </c>
      <c r="L14" s="10" t="s">
        <v>122</v>
      </c>
      <c r="M14" s="11"/>
      <c r="N14" s="11" t="s">
        <v>1281</v>
      </c>
      <c r="O14" s="12" t="s">
        <v>116</v>
      </c>
      <c r="P14" s="12"/>
      <c r="Q14" s="10" t="str">
        <f t="shared" si="0"/>
        <v/>
      </c>
      <c r="R14" s="12"/>
      <c r="S14" s="13"/>
    </row>
    <row r="15" spans="1:19" ht="36" customHeight="1" x14ac:dyDescent="0.25">
      <c r="A15" s="10" t="s">
        <v>151</v>
      </c>
      <c r="B15" s="10" t="s">
        <v>145</v>
      </c>
      <c r="C15" s="10" t="s">
        <v>146</v>
      </c>
      <c r="D15" s="11" t="s">
        <v>1282</v>
      </c>
      <c r="E15" s="11" t="s">
        <v>1283</v>
      </c>
      <c r="F15" s="10" t="s">
        <v>164</v>
      </c>
      <c r="G15" s="10"/>
      <c r="H15" s="11" t="s">
        <v>1284</v>
      </c>
      <c r="I15" s="10"/>
      <c r="J15" s="10"/>
      <c r="K15" s="10" t="s">
        <v>114</v>
      </c>
      <c r="L15" s="10" t="s">
        <v>114</v>
      </c>
      <c r="M15" s="11"/>
      <c r="N15" s="11" t="s">
        <v>1285</v>
      </c>
      <c r="O15" s="12" t="s">
        <v>116</v>
      </c>
      <c r="P15" s="12"/>
      <c r="Q15" s="10" t="str">
        <f t="shared" si="0"/>
        <v/>
      </c>
      <c r="R15" s="12"/>
      <c r="S15" s="13"/>
    </row>
    <row r="16" spans="1:19" ht="36" customHeight="1" x14ac:dyDescent="0.25">
      <c r="A16" s="10" t="s">
        <v>1286</v>
      </c>
      <c r="B16" s="10" t="s">
        <v>145</v>
      </c>
      <c r="C16" s="10" t="s">
        <v>146</v>
      </c>
      <c r="D16" s="11" t="s">
        <v>1287</v>
      </c>
      <c r="E16" s="11" t="s">
        <v>1288</v>
      </c>
      <c r="F16" s="10" t="s">
        <v>164</v>
      </c>
      <c r="G16" s="10"/>
      <c r="H16" s="11" t="s">
        <v>1289</v>
      </c>
      <c r="I16" s="10"/>
      <c r="J16" s="10"/>
      <c r="K16" s="10" t="s">
        <v>114</v>
      </c>
      <c r="L16" s="10" t="s">
        <v>114</v>
      </c>
      <c r="M16" s="11" t="s">
        <v>1290</v>
      </c>
      <c r="N16" s="11" t="s">
        <v>1291</v>
      </c>
      <c r="O16" s="12" t="s">
        <v>116</v>
      </c>
      <c r="P16" s="12"/>
      <c r="Q16" s="10" t="str">
        <f t="shared" si="0"/>
        <v/>
      </c>
      <c r="R16" s="12"/>
      <c r="S16" s="13"/>
    </row>
    <row r="17" spans="1:19" ht="36" customHeight="1" x14ac:dyDescent="0.25">
      <c r="A17" s="10" t="s">
        <v>155</v>
      </c>
      <c r="B17" s="10" t="s">
        <v>145</v>
      </c>
      <c r="C17" s="10" t="s">
        <v>978</v>
      </c>
      <c r="D17" s="11" t="s">
        <v>1292</v>
      </c>
      <c r="E17" s="11" t="s">
        <v>1293</v>
      </c>
      <c r="F17" s="10" t="s">
        <v>133</v>
      </c>
      <c r="G17" s="10"/>
      <c r="H17" s="11" t="s">
        <v>1294</v>
      </c>
      <c r="I17" s="10"/>
      <c r="J17" s="10"/>
      <c r="K17" s="10" t="s">
        <v>114</v>
      </c>
      <c r="L17" s="10" t="s">
        <v>122</v>
      </c>
      <c r="M17" s="11"/>
      <c r="N17" s="11" t="s">
        <v>135</v>
      </c>
      <c r="O17" s="12" t="s">
        <v>116</v>
      </c>
      <c r="P17" s="12"/>
      <c r="Q17" s="10" t="str">
        <f t="shared" si="0"/>
        <v/>
      </c>
      <c r="R17" s="12"/>
      <c r="S17" s="13"/>
    </row>
    <row r="18" spans="1:19" ht="48" customHeight="1" x14ac:dyDescent="0.25">
      <c r="A18" s="10" t="s">
        <v>171</v>
      </c>
      <c r="B18" s="10" t="s">
        <v>172</v>
      </c>
      <c r="C18" s="10" t="s">
        <v>173</v>
      </c>
      <c r="D18" s="11" t="s">
        <v>174</v>
      </c>
      <c r="E18" s="11" t="s">
        <v>1295</v>
      </c>
      <c r="F18" s="10" t="s">
        <v>140</v>
      </c>
      <c r="G18" s="10" t="s">
        <v>176</v>
      </c>
      <c r="H18" s="11" t="s">
        <v>1296</v>
      </c>
      <c r="I18" s="10">
        <v>-3500</v>
      </c>
      <c r="J18" s="10">
        <v>3500</v>
      </c>
      <c r="K18" s="10" t="s">
        <v>114</v>
      </c>
      <c r="L18" s="10" t="s">
        <v>122</v>
      </c>
      <c r="M18" s="11"/>
      <c r="N18" s="11" t="s">
        <v>1261</v>
      </c>
      <c r="O18" s="12" t="s">
        <v>116</v>
      </c>
      <c r="P18" s="12"/>
      <c r="Q18" s="10" t="str">
        <f t="shared" si="0"/>
        <v>Sin dato</v>
      </c>
      <c r="R18" s="12"/>
      <c r="S18" s="13"/>
    </row>
    <row r="19" spans="1:19" ht="36" customHeight="1" x14ac:dyDescent="0.25">
      <c r="A19" s="10" t="s">
        <v>178</v>
      </c>
      <c r="B19" s="10" t="s">
        <v>172</v>
      </c>
      <c r="C19" s="10" t="s">
        <v>173</v>
      </c>
      <c r="D19" s="11" t="s">
        <v>1297</v>
      </c>
      <c r="E19" s="11" t="s">
        <v>1298</v>
      </c>
      <c r="F19" s="10" t="s">
        <v>140</v>
      </c>
      <c r="G19" s="10" t="s">
        <v>176</v>
      </c>
      <c r="H19" s="11" t="s">
        <v>1299</v>
      </c>
      <c r="I19" s="10">
        <v>-7000</v>
      </c>
      <c r="J19" s="10">
        <v>7000</v>
      </c>
      <c r="K19" s="10" t="s">
        <v>114</v>
      </c>
      <c r="L19" s="10" t="s">
        <v>122</v>
      </c>
      <c r="M19" s="11"/>
      <c r="N19" s="11" t="s">
        <v>143</v>
      </c>
      <c r="O19" s="12" t="s">
        <v>116</v>
      </c>
      <c r="P19" s="12"/>
      <c r="Q19" s="10" t="str">
        <f t="shared" si="0"/>
        <v>Sin dato</v>
      </c>
      <c r="R19" s="12"/>
      <c r="S19" s="13"/>
    </row>
    <row r="20" spans="1:19" ht="36" customHeight="1" x14ac:dyDescent="0.25">
      <c r="A20" s="10" t="s">
        <v>598</v>
      </c>
      <c r="B20" s="10" t="s">
        <v>172</v>
      </c>
      <c r="C20" s="10" t="s">
        <v>173</v>
      </c>
      <c r="D20" s="11" t="s">
        <v>179</v>
      </c>
      <c r="E20" s="11" t="s">
        <v>1300</v>
      </c>
      <c r="F20" s="10" t="s">
        <v>140</v>
      </c>
      <c r="G20" s="10"/>
      <c r="H20" s="11" t="s">
        <v>1301</v>
      </c>
      <c r="I20" s="10">
        <v>0.5</v>
      </c>
      <c r="J20" s="10">
        <v>2</v>
      </c>
      <c r="K20" s="10" t="s">
        <v>114</v>
      </c>
      <c r="L20" s="10" t="s">
        <v>122</v>
      </c>
      <c r="M20" s="11"/>
      <c r="N20" s="11" t="s">
        <v>1261</v>
      </c>
      <c r="O20" s="12" t="s">
        <v>116</v>
      </c>
      <c r="P20" s="12"/>
      <c r="Q20" s="10" t="str">
        <f t="shared" si="0"/>
        <v>Sin dato</v>
      </c>
      <c r="R20" s="12"/>
      <c r="S20" s="13"/>
    </row>
    <row r="21" spans="1:19" ht="36" customHeight="1" x14ac:dyDescent="0.25">
      <c r="A21" s="10" t="s">
        <v>1302</v>
      </c>
      <c r="B21" s="10" t="s">
        <v>172</v>
      </c>
      <c r="C21" s="10" t="s">
        <v>173</v>
      </c>
      <c r="D21" s="11" t="s">
        <v>1303</v>
      </c>
      <c r="E21" s="11" t="s">
        <v>1304</v>
      </c>
      <c r="F21" s="10" t="s">
        <v>140</v>
      </c>
      <c r="G21" s="10" t="s">
        <v>601</v>
      </c>
      <c r="H21" s="11" t="s">
        <v>1305</v>
      </c>
      <c r="I21" s="10">
        <v>1.0000000000000001E-5</v>
      </c>
      <c r="J21" s="10">
        <v>99999</v>
      </c>
      <c r="K21" s="10" t="s">
        <v>114</v>
      </c>
      <c r="L21" s="10" t="s">
        <v>122</v>
      </c>
      <c r="M21" s="11"/>
      <c r="N21" s="11" t="s">
        <v>1261</v>
      </c>
      <c r="O21" s="12" t="s">
        <v>116</v>
      </c>
      <c r="P21" s="12"/>
      <c r="Q21" s="10" t="str">
        <f t="shared" si="0"/>
        <v>Sin dato</v>
      </c>
      <c r="R21" s="12"/>
      <c r="S21" s="13"/>
    </row>
    <row r="22" spans="1:19" ht="36" customHeight="1" x14ac:dyDescent="0.25">
      <c r="A22" s="10" t="s">
        <v>182</v>
      </c>
      <c r="B22" s="10" t="s">
        <v>172</v>
      </c>
      <c r="C22" s="10" t="s">
        <v>183</v>
      </c>
      <c r="D22" s="11" t="s">
        <v>1306</v>
      </c>
      <c r="E22" s="11" t="s">
        <v>1307</v>
      </c>
      <c r="F22" s="10" t="s">
        <v>140</v>
      </c>
      <c r="G22" s="10" t="s">
        <v>186</v>
      </c>
      <c r="H22" s="11" t="s">
        <v>1308</v>
      </c>
      <c r="I22" s="10">
        <v>0</v>
      </c>
      <c r="J22" s="10">
        <v>0.5</v>
      </c>
      <c r="K22" s="10" t="s">
        <v>114</v>
      </c>
      <c r="L22" s="10" t="s">
        <v>122</v>
      </c>
      <c r="M22" s="11"/>
      <c r="N22" s="11" t="s">
        <v>1261</v>
      </c>
      <c r="O22" s="12" t="s">
        <v>116</v>
      </c>
      <c r="P22" s="12"/>
      <c r="Q22" s="10" t="str">
        <f t="shared" si="0"/>
        <v>Sin dato</v>
      </c>
      <c r="R22" s="12"/>
      <c r="S22" s="13"/>
    </row>
    <row r="23" spans="1:19" ht="36" customHeight="1" x14ac:dyDescent="0.25">
      <c r="A23" s="10" t="s">
        <v>188</v>
      </c>
      <c r="B23" s="10" t="s">
        <v>172</v>
      </c>
      <c r="C23" s="10" t="s">
        <v>183</v>
      </c>
      <c r="D23" s="11" t="s">
        <v>1309</v>
      </c>
      <c r="E23" s="11" t="s">
        <v>1310</v>
      </c>
      <c r="F23" s="10" t="s">
        <v>140</v>
      </c>
      <c r="G23" s="10" t="s">
        <v>605</v>
      </c>
      <c r="H23" s="11" t="s">
        <v>1311</v>
      </c>
      <c r="I23" s="10">
        <v>-980</v>
      </c>
      <c r="J23" s="10">
        <v>980</v>
      </c>
      <c r="K23" s="10" t="s">
        <v>114</v>
      </c>
      <c r="L23" s="10" t="s">
        <v>122</v>
      </c>
      <c r="M23" s="11"/>
      <c r="N23" s="11" t="s">
        <v>1261</v>
      </c>
      <c r="O23" s="12" t="s">
        <v>116</v>
      </c>
      <c r="P23" s="12"/>
      <c r="Q23" s="10" t="str">
        <f t="shared" si="0"/>
        <v>Sin dato</v>
      </c>
      <c r="R23" s="12"/>
      <c r="S23" s="13"/>
    </row>
    <row r="24" spans="1:19" ht="36" customHeight="1" x14ac:dyDescent="0.25">
      <c r="A24" s="10" t="s">
        <v>1312</v>
      </c>
      <c r="B24" s="10" t="s">
        <v>172</v>
      </c>
      <c r="C24" s="10" t="s">
        <v>183</v>
      </c>
      <c r="D24" s="11" t="s">
        <v>1313</v>
      </c>
      <c r="E24" s="11" t="s">
        <v>1314</v>
      </c>
      <c r="F24" s="10" t="s">
        <v>140</v>
      </c>
      <c r="G24" s="10" t="s">
        <v>605</v>
      </c>
      <c r="H24" s="11" t="s">
        <v>1315</v>
      </c>
      <c r="I24" s="10">
        <v>-980</v>
      </c>
      <c r="J24" s="10">
        <v>980</v>
      </c>
      <c r="K24" s="10" t="s">
        <v>114</v>
      </c>
      <c r="L24" s="10" t="s">
        <v>122</v>
      </c>
      <c r="M24" s="11"/>
      <c r="N24" s="11" t="s">
        <v>1261</v>
      </c>
      <c r="O24" s="12" t="s">
        <v>116</v>
      </c>
      <c r="P24" s="12"/>
      <c r="Q24" s="10" t="str">
        <f t="shared" si="0"/>
        <v>Sin dato</v>
      </c>
      <c r="R24" s="12"/>
      <c r="S24" s="13"/>
    </row>
    <row r="25" spans="1:19" ht="36" customHeight="1" x14ac:dyDescent="0.25">
      <c r="A25" s="10" t="s">
        <v>193</v>
      </c>
      <c r="B25" s="10" t="s">
        <v>172</v>
      </c>
      <c r="C25" s="10" t="s">
        <v>1316</v>
      </c>
      <c r="D25" s="11" t="s">
        <v>1317</v>
      </c>
      <c r="E25" s="11" t="s">
        <v>1318</v>
      </c>
      <c r="F25" s="10" t="s">
        <v>140</v>
      </c>
      <c r="G25" s="10" t="s">
        <v>487</v>
      </c>
      <c r="H25" s="11" t="s">
        <v>1319</v>
      </c>
      <c r="I25" s="10">
        <v>96</v>
      </c>
      <c r="J25" s="10">
        <v>100</v>
      </c>
      <c r="K25" s="10" t="s">
        <v>114</v>
      </c>
      <c r="L25" s="10" t="s">
        <v>122</v>
      </c>
      <c r="M25" s="11" t="s">
        <v>1320</v>
      </c>
      <c r="N25" s="11" t="s">
        <v>1321</v>
      </c>
      <c r="O25" s="12" t="s">
        <v>116</v>
      </c>
      <c r="P25" s="12"/>
      <c r="Q25" s="10" t="str">
        <f t="shared" si="0"/>
        <v>Sin dato</v>
      </c>
      <c r="R25" s="12"/>
      <c r="S25" s="13"/>
    </row>
    <row r="26" spans="1:19" ht="36" customHeight="1" x14ac:dyDescent="0.25">
      <c r="A26" s="10" t="s">
        <v>616</v>
      </c>
      <c r="B26" s="10" t="s">
        <v>172</v>
      </c>
      <c r="C26" s="10" t="s">
        <v>1322</v>
      </c>
      <c r="D26" s="11" t="s">
        <v>1323</v>
      </c>
      <c r="E26" s="11" t="s">
        <v>1324</v>
      </c>
      <c r="F26" s="10" t="s">
        <v>140</v>
      </c>
      <c r="G26" s="10" t="s">
        <v>630</v>
      </c>
      <c r="H26" s="11" t="s">
        <v>1325</v>
      </c>
      <c r="I26" s="10">
        <v>-1</v>
      </c>
      <c r="J26" s="10">
        <v>1</v>
      </c>
      <c r="K26" s="10" t="s">
        <v>114</v>
      </c>
      <c r="L26" s="10" t="s">
        <v>122</v>
      </c>
      <c r="M26" s="11"/>
      <c r="N26" s="11" t="s">
        <v>1261</v>
      </c>
      <c r="O26" s="12" t="s">
        <v>116</v>
      </c>
      <c r="P26" s="12"/>
      <c r="Q26" s="10" t="str">
        <f t="shared" si="0"/>
        <v>Sin dato</v>
      </c>
      <c r="R26" s="12"/>
      <c r="S26" s="13"/>
    </row>
    <row r="27" spans="1:19" ht="36" customHeight="1" x14ac:dyDescent="0.25">
      <c r="A27" s="10" t="s">
        <v>622</v>
      </c>
      <c r="B27" s="10" t="s">
        <v>172</v>
      </c>
      <c r="C27" s="10" t="s">
        <v>1322</v>
      </c>
      <c r="D27" s="11" t="s">
        <v>1326</v>
      </c>
      <c r="E27" s="11" t="s">
        <v>1327</v>
      </c>
      <c r="F27" s="10" t="s">
        <v>140</v>
      </c>
      <c r="G27" s="10" t="s">
        <v>630</v>
      </c>
      <c r="H27" s="11" t="s">
        <v>1328</v>
      </c>
      <c r="I27" s="10">
        <v>-2</v>
      </c>
      <c r="J27" s="10">
        <v>2</v>
      </c>
      <c r="K27" s="10" t="s">
        <v>114</v>
      </c>
      <c r="L27" s="10" t="s">
        <v>122</v>
      </c>
      <c r="M27" s="11"/>
      <c r="N27" s="11" t="s">
        <v>1261</v>
      </c>
      <c r="O27" s="12" t="s">
        <v>116</v>
      </c>
      <c r="P27" s="12"/>
      <c r="Q27" s="10" t="str">
        <f t="shared" si="0"/>
        <v>Sin dato</v>
      </c>
      <c r="R27" s="12"/>
      <c r="S27" s="13"/>
    </row>
    <row r="28" spans="1:19" ht="36" customHeight="1" x14ac:dyDescent="0.25">
      <c r="A28" s="10" t="s">
        <v>627</v>
      </c>
      <c r="B28" s="10" t="s">
        <v>172</v>
      </c>
      <c r="C28" s="10" t="s">
        <v>1322</v>
      </c>
      <c r="D28" s="11" t="s">
        <v>1329</v>
      </c>
      <c r="E28" s="11" t="s">
        <v>1330</v>
      </c>
      <c r="F28" s="10" t="s">
        <v>140</v>
      </c>
      <c r="G28" s="10" t="s">
        <v>630</v>
      </c>
      <c r="H28" s="11" t="s">
        <v>1331</v>
      </c>
      <c r="I28" s="10">
        <v>-1</v>
      </c>
      <c r="J28" s="10">
        <v>1</v>
      </c>
      <c r="K28" s="10" t="s">
        <v>114</v>
      </c>
      <c r="L28" s="10" t="s">
        <v>122</v>
      </c>
      <c r="M28" s="11"/>
      <c r="N28" s="11" t="s">
        <v>1261</v>
      </c>
      <c r="O28" s="12" t="s">
        <v>116</v>
      </c>
      <c r="P28" s="12"/>
      <c r="Q28" s="10" t="str">
        <f t="shared" si="0"/>
        <v>Sin dato</v>
      </c>
      <c r="R28" s="12"/>
      <c r="S28" s="13"/>
    </row>
    <row r="29" spans="1:19" ht="36" customHeight="1" x14ac:dyDescent="0.25">
      <c r="A29" s="10" t="s">
        <v>632</v>
      </c>
      <c r="B29" s="10" t="s">
        <v>172</v>
      </c>
      <c r="C29" s="10" t="s">
        <v>1322</v>
      </c>
      <c r="D29" s="11" t="s">
        <v>1332</v>
      </c>
      <c r="E29" s="11" t="s">
        <v>1333</v>
      </c>
      <c r="F29" s="10" t="s">
        <v>140</v>
      </c>
      <c r="G29" s="10" t="s">
        <v>630</v>
      </c>
      <c r="H29" s="11" t="s">
        <v>1334</v>
      </c>
      <c r="I29" s="10">
        <v>-2</v>
      </c>
      <c r="J29" s="10">
        <v>2</v>
      </c>
      <c r="K29" s="10" t="s">
        <v>114</v>
      </c>
      <c r="L29" s="10" t="s">
        <v>122</v>
      </c>
      <c r="M29" s="11"/>
      <c r="N29" s="11" t="s">
        <v>1261</v>
      </c>
      <c r="O29" s="12" t="s">
        <v>116</v>
      </c>
      <c r="P29" s="12"/>
      <c r="Q29" s="10" t="str">
        <f t="shared" si="0"/>
        <v>Sin dato</v>
      </c>
      <c r="R29" s="12"/>
      <c r="S29" s="13"/>
    </row>
    <row r="30" spans="1:19" ht="36" customHeight="1" x14ac:dyDescent="0.25">
      <c r="A30" s="10" t="s">
        <v>1335</v>
      </c>
      <c r="B30" s="10" t="s">
        <v>172</v>
      </c>
      <c r="C30" s="10" t="s">
        <v>1322</v>
      </c>
      <c r="D30" s="11" t="s">
        <v>1336</v>
      </c>
      <c r="E30" s="11" t="s">
        <v>1337</v>
      </c>
      <c r="F30" s="10" t="s">
        <v>140</v>
      </c>
      <c r="G30" s="10" t="s">
        <v>1338</v>
      </c>
      <c r="H30" s="11" t="s">
        <v>1339</v>
      </c>
      <c r="I30" s="10">
        <v>0</v>
      </c>
      <c r="J30" s="10">
        <v>120</v>
      </c>
      <c r="K30" s="10" t="s">
        <v>114</v>
      </c>
      <c r="L30" s="10" t="s">
        <v>122</v>
      </c>
      <c r="M30" s="11"/>
      <c r="N30" s="11" t="s">
        <v>1261</v>
      </c>
      <c r="O30" s="12" t="s">
        <v>116</v>
      </c>
      <c r="P30" s="12"/>
      <c r="Q30" s="10" t="str">
        <f t="shared" si="0"/>
        <v>Sin dato</v>
      </c>
      <c r="R30" s="12"/>
      <c r="S30" s="13"/>
    </row>
    <row r="31" spans="1:19" ht="36" customHeight="1" x14ac:dyDescent="0.25">
      <c r="A31" s="10" t="s">
        <v>1340</v>
      </c>
      <c r="B31" s="10" t="s">
        <v>172</v>
      </c>
      <c r="C31" s="10" t="s">
        <v>1322</v>
      </c>
      <c r="D31" s="11" t="s">
        <v>1341</v>
      </c>
      <c r="E31" s="11" t="s">
        <v>1342</v>
      </c>
      <c r="F31" s="10" t="s">
        <v>140</v>
      </c>
      <c r="G31" s="10" t="s">
        <v>630</v>
      </c>
      <c r="H31" s="11" t="s">
        <v>1343</v>
      </c>
      <c r="I31" s="10">
        <v>-1</v>
      </c>
      <c r="J31" s="10">
        <v>1</v>
      </c>
      <c r="K31" s="10" t="s">
        <v>114</v>
      </c>
      <c r="L31" s="10" t="s">
        <v>122</v>
      </c>
      <c r="M31" s="11"/>
      <c r="N31" s="11" t="s">
        <v>1261</v>
      </c>
      <c r="O31" s="12" t="s">
        <v>116</v>
      </c>
      <c r="P31" s="12"/>
      <c r="Q31" s="10" t="str">
        <f t="shared" si="0"/>
        <v>Sin dato</v>
      </c>
      <c r="R31" s="12"/>
      <c r="S31" s="13"/>
    </row>
    <row r="32" spans="1:19" ht="36" customHeight="1" x14ac:dyDescent="0.25">
      <c r="A32" s="10" t="s">
        <v>1344</v>
      </c>
      <c r="B32" s="10" t="s">
        <v>172</v>
      </c>
      <c r="C32" s="10" t="s">
        <v>1322</v>
      </c>
      <c r="D32" s="11" t="s">
        <v>1345</v>
      </c>
      <c r="E32" s="11" t="s">
        <v>1346</v>
      </c>
      <c r="F32" s="10" t="s">
        <v>140</v>
      </c>
      <c r="G32" s="10" t="s">
        <v>630</v>
      </c>
      <c r="H32" s="11" t="s">
        <v>1347</v>
      </c>
      <c r="I32" s="10">
        <v>-1</v>
      </c>
      <c r="J32" s="10">
        <v>1</v>
      </c>
      <c r="K32" s="10" t="s">
        <v>114</v>
      </c>
      <c r="L32" s="10" t="s">
        <v>122</v>
      </c>
      <c r="M32" s="11"/>
      <c r="N32" s="11" t="s">
        <v>1261</v>
      </c>
      <c r="O32" s="12" t="s">
        <v>116</v>
      </c>
      <c r="P32" s="12"/>
      <c r="Q32" s="10" t="str">
        <f t="shared" si="0"/>
        <v>Sin dato</v>
      </c>
      <c r="R32" s="12"/>
      <c r="S32" s="13"/>
    </row>
    <row r="33" spans="1:19" ht="36" customHeight="1" x14ac:dyDescent="0.25">
      <c r="A33" s="10" t="s">
        <v>207</v>
      </c>
      <c r="B33" s="10" t="s">
        <v>208</v>
      </c>
      <c r="C33" s="10" t="s">
        <v>650</v>
      </c>
      <c r="D33" s="11" t="s">
        <v>1348</v>
      </c>
      <c r="E33" s="11" t="s">
        <v>1349</v>
      </c>
      <c r="F33" s="10" t="s">
        <v>112</v>
      </c>
      <c r="G33" s="10"/>
      <c r="H33" s="11" t="s">
        <v>1350</v>
      </c>
      <c r="I33" s="10"/>
      <c r="J33" s="10"/>
      <c r="K33" s="10" t="s">
        <v>114</v>
      </c>
      <c r="L33" s="10" t="s">
        <v>114</v>
      </c>
      <c r="M33" s="11" t="s">
        <v>1351</v>
      </c>
      <c r="N33" s="11" t="s">
        <v>1352</v>
      </c>
      <c r="O33" s="12" t="s">
        <v>116</v>
      </c>
      <c r="P33" s="12"/>
      <c r="Q33" s="10" t="str">
        <f t="shared" si="0"/>
        <v/>
      </c>
      <c r="R33" s="12"/>
      <c r="S33" s="13"/>
    </row>
    <row r="34" spans="1:19" ht="36" customHeight="1" x14ac:dyDescent="0.25">
      <c r="A34" s="10" t="s">
        <v>215</v>
      </c>
      <c r="B34" s="10" t="s">
        <v>208</v>
      </c>
      <c r="C34" s="10" t="s">
        <v>650</v>
      </c>
      <c r="D34" s="11" t="s">
        <v>1353</v>
      </c>
      <c r="E34" s="11" t="s">
        <v>1354</v>
      </c>
      <c r="F34" s="10" t="s">
        <v>112</v>
      </c>
      <c r="G34" s="10"/>
      <c r="H34" s="11" t="s">
        <v>1355</v>
      </c>
      <c r="I34" s="10"/>
      <c r="J34" s="10"/>
      <c r="K34" s="10" t="s">
        <v>114</v>
      </c>
      <c r="L34" s="10" t="s">
        <v>114</v>
      </c>
      <c r="M34" s="11" t="s">
        <v>245</v>
      </c>
      <c r="N34" s="11" t="s">
        <v>1321</v>
      </c>
      <c r="O34" s="12" t="s">
        <v>116</v>
      </c>
      <c r="P34" s="12"/>
      <c r="Q34" s="10" t="str">
        <f t="shared" si="0"/>
        <v/>
      </c>
      <c r="R34" s="12"/>
      <c r="S34" s="13"/>
    </row>
    <row r="35" spans="1:19" ht="36" customHeight="1" x14ac:dyDescent="0.25">
      <c r="A35" s="10" t="s">
        <v>220</v>
      </c>
      <c r="B35" s="10" t="s">
        <v>208</v>
      </c>
      <c r="C35" s="10" t="s">
        <v>650</v>
      </c>
      <c r="D35" s="11" t="s">
        <v>1356</v>
      </c>
      <c r="E35" s="11" t="s">
        <v>1357</v>
      </c>
      <c r="F35" s="10" t="s">
        <v>112</v>
      </c>
      <c r="G35" s="10"/>
      <c r="H35" s="11" t="s">
        <v>1358</v>
      </c>
      <c r="I35" s="10"/>
      <c r="J35" s="10"/>
      <c r="K35" s="10" t="s">
        <v>114</v>
      </c>
      <c r="L35" s="10" t="s">
        <v>114</v>
      </c>
      <c r="M35" s="11" t="s">
        <v>1359</v>
      </c>
      <c r="N35" s="11" t="s">
        <v>1321</v>
      </c>
      <c r="O35" s="12" t="s">
        <v>116</v>
      </c>
      <c r="P35" s="12"/>
      <c r="Q35" s="10" t="str">
        <f t="shared" si="0"/>
        <v/>
      </c>
      <c r="R35" s="12"/>
      <c r="S35" s="13"/>
    </row>
    <row r="36" spans="1:19" ht="36" customHeight="1" x14ac:dyDescent="0.25">
      <c r="A36" s="10" t="s">
        <v>234</v>
      </c>
      <c r="B36" s="10" t="s">
        <v>208</v>
      </c>
      <c r="C36" s="10" t="s">
        <v>661</v>
      </c>
      <c r="D36" s="11" t="s">
        <v>1360</v>
      </c>
      <c r="E36" s="11" t="s">
        <v>1361</v>
      </c>
      <c r="F36" s="10" t="s">
        <v>112</v>
      </c>
      <c r="G36" s="10"/>
      <c r="H36" s="11" t="s">
        <v>1362</v>
      </c>
      <c r="I36" s="10"/>
      <c r="J36" s="10"/>
      <c r="K36" s="10" t="s">
        <v>114</v>
      </c>
      <c r="L36" s="10" t="s">
        <v>114</v>
      </c>
      <c r="M36" s="11" t="s">
        <v>1363</v>
      </c>
      <c r="N36" s="11" t="s">
        <v>1364</v>
      </c>
      <c r="O36" s="12" t="s">
        <v>116</v>
      </c>
      <c r="P36" s="12"/>
      <c r="Q36" s="10" t="str">
        <f t="shared" si="0"/>
        <v/>
      </c>
      <c r="R36" s="12"/>
      <c r="S36" s="13"/>
    </row>
    <row r="37" spans="1:19" ht="36" customHeight="1" x14ac:dyDescent="0.25">
      <c r="A37" s="10" t="s">
        <v>251</v>
      </c>
      <c r="B37" s="10" t="s">
        <v>208</v>
      </c>
      <c r="C37" s="10" t="s">
        <v>252</v>
      </c>
      <c r="D37" s="11" t="s">
        <v>1365</v>
      </c>
      <c r="E37" s="11" t="s">
        <v>1366</v>
      </c>
      <c r="F37" s="10" t="s">
        <v>112</v>
      </c>
      <c r="G37" s="10"/>
      <c r="H37" s="11" t="s">
        <v>1367</v>
      </c>
      <c r="I37" s="10"/>
      <c r="J37" s="10"/>
      <c r="K37" s="10" t="s">
        <v>114</v>
      </c>
      <c r="L37" s="10" t="s">
        <v>114</v>
      </c>
      <c r="M37" s="11" t="s">
        <v>1368</v>
      </c>
      <c r="N37" s="11" t="s">
        <v>1369</v>
      </c>
      <c r="O37" s="12" t="s">
        <v>116</v>
      </c>
      <c r="P37" s="12"/>
      <c r="Q37" s="10" t="str">
        <f t="shared" si="0"/>
        <v/>
      </c>
      <c r="R37" s="12"/>
      <c r="S37" s="13"/>
    </row>
    <row r="38" spans="1:19" ht="36" customHeight="1" x14ac:dyDescent="0.25">
      <c r="A38" s="10" t="s">
        <v>258</v>
      </c>
      <c r="B38" s="10" t="s">
        <v>208</v>
      </c>
      <c r="C38" s="10" t="s">
        <v>252</v>
      </c>
      <c r="D38" s="11" t="s">
        <v>1370</v>
      </c>
      <c r="E38" s="11" t="s">
        <v>1371</v>
      </c>
      <c r="F38" s="10" t="s">
        <v>112</v>
      </c>
      <c r="G38" s="10"/>
      <c r="H38" s="11" t="s">
        <v>1372</v>
      </c>
      <c r="I38" s="10"/>
      <c r="J38" s="10"/>
      <c r="K38" s="10" t="s">
        <v>114</v>
      </c>
      <c r="L38" s="10" t="s">
        <v>114</v>
      </c>
      <c r="M38" s="11" t="s">
        <v>1373</v>
      </c>
      <c r="N38" s="11" t="s">
        <v>1374</v>
      </c>
      <c r="O38" s="12" t="s">
        <v>116</v>
      </c>
      <c r="P38" s="12"/>
      <c r="Q38" s="10" t="str">
        <f t="shared" si="0"/>
        <v/>
      </c>
      <c r="R38" s="12"/>
      <c r="S38" s="13"/>
    </row>
    <row r="39" spans="1:19" ht="48" customHeight="1" x14ac:dyDescent="0.25">
      <c r="A39" s="10" t="s">
        <v>263</v>
      </c>
      <c r="B39" s="10" t="s">
        <v>264</v>
      </c>
      <c r="C39" s="10" t="s">
        <v>1056</v>
      </c>
      <c r="D39" s="11" t="s">
        <v>1375</v>
      </c>
      <c r="E39" s="11" t="s">
        <v>1376</v>
      </c>
      <c r="F39" s="10" t="s">
        <v>112</v>
      </c>
      <c r="G39" s="10"/>
      <c r="H39" s="11" t="s">
        <v>1377</v>
      </c>
      <c r="I39" s="10"/>
      <c r="J39" s="10"/>
      <c r="K39" s="10" t="s">
        <v>114</v>
      </c>
      <c r="L39" s="10" t="s">
        <v>114</v>
      </c>
      <c r="M39" s="11" t="s">
        <v>1378</v>
      </c>
      <c r="N39" s="11" t="s">
        <v>1379</v>
      </c>
      <c r="O39" s="12" t="s">
        <v>116</v>
      </c>
      <c r="P39" s="12"/>
      <c r="Q39" s="10" t="str">
        <f t="shared" si="0"/>
        <v/>
      </c>
      <c r="R39" s="12"/>
      <c r="S39" s="13"/>
    </row>
    <row r="40" spans="1:19" ht="36" customHeight="1" x14ac:dyDescent="0.25">
      <c r="A40" s="10" t="s">
        <v>269</v>
      </c>
      <c r="B40" s="10" t="s">
        <v>264</v>
      </c>
      <c r="C40" s="10" t="s">
        <v>1056</v>
      </c>
      <c r="D40" s="11" t="s">
        <v>1380</v>
      </c>
      <c r="E40" s="11" t="s">
        <v>1381</v>
      </c>
      <c r="F40" s="10" t="s">
        <v>120</v>
      </c>
      <c r="G40" s="10"/>
      <c r="H40" s="11" t="s">
        <v>1382</v>
      </c>
      <c r="I40" s="10"/>
      <c r="J40" s="10"/>
      <c r="K40" s="10" t="s">
        <v>114</v>
      </c>
      <c r="L40" s="10" t="s">
        <v>122</v>
      </c>
      <c r="M40" s="11" t="s">
        <v>1383</v>
      </c>
      <c r="N40" s="11" t="s">
        <v>1384</v>
      </c>
      <c r="O40" s="12" t="s">
        <v>116</v>
      </c>
      <c r="P40" s="12"/>
      <c r="Q40" s="10" t="str">
        <f t="shared" si="0"/>
        <v/>
      </c>
      <c r="R40" s="12"/>
      <c r="S40" s="13"/>
    </row>
    <row r="41" spans="1:19" ht="48" customHeight="1" x14ac:dyDescent="0.25">
      <c r="A41" s="10" t="s">
        <v>683</v>
      </c>
      <c r="B41" s="10" t="s">
        <v>264</v>
      </c>
      <c r="C41" s="10" t="s">
        <v>1056</v>
      </c>
      <c r="D41" s="11" t="s">
        <v>1385</v>
      </c>
      <c r="E41" s="11" t="s">
        <v>1386</v>
      </c>
      <c r="F41" s="10" t="s">
        <v>112</v>
      </c>
      <c r="G41" s="10"/>
      <c r="H41" s="11" t="s">
        <v>1387</v>
      </c>
      <c r="I41" s="10"/>
      <c r="J41" s="10"/>
      <c r="K41" s="10" t="s">
        <v>114</v>
      </c>
      <c r="L41" s="10" t="s">
        <v>114</v>
      </c>
      <c r="M41" s="11" t="s">
        <v>1388</v>
      </c>
      <c r="N41" s="11" t="s">
        <v>1389</v>
      </c>
      <c r="O41" s="12" t="s">
        <v>116</v>
      </c>
      <c r="P41" s="12"/>
      <c r="Q41" s="10" t="str">
        <f t="shared" ref="Q41:Q72" si="1">IF($F41&lt;&gt;"Numérico","",IF($P41="","Sin dato",IF(AND(OR(NOT(ISNUMBER($I41)),$P41&gt;=$I41),OR(NOT(ISNUMBER($J41)),$P41&lt;=$J41)),"Dentro de rango","Fuera de rango")))</f>
        <v/>
      </c>
      <c r="R41" s="12"/>
      <c r="S41" s="13"/>
    </row>
    <row r="42" spans="1:19" ht="36" customHeight="1" x14ac:dyDescent="0.25">
      <c r="A42" s="10" t="s">
        <v>273</v>
      </c>
      <c r="B42" s="10" t="s">
        <v>264</v>
      </c>
      <c r="C42" s="10" t="s">
        <v>1390</v>
      </c>
      <c r="D42" s="11" t="s">
        <v>1391</v>
      </c>
      <c r="E42" s="11" t="s">
        <v>1392</v>
      </c>
      <c r="F42" s="10" t="s">
        <v>140</v>
      </c>
      <c r="G42" s="10" t="s">
        <v>191</v>
      </c>
      <c r="H42" s="11" t="s">
        <v>1393</v>
      </c>
      <c r="I42" s="10">
        <v>0.8</v>
      </c>
      <c r="J42" s="10">
        <v>1.4</v>
      </c>
      <c r="K42" s="10" t="s">
        <v>114</v>
      </c>
      <c r="L42" s="10" t="s">
        <v>122</v>
      </c>
      <c r="M42" s="11"/>
      <c r="N42" s="11" t="s">
        <v>1394</v>
      </c>
      <c r="O42" s="12" t="s">
        <v>116</v>
      </c>
      <c r="P42" s="12"/>
      <c r="Q42" s="10" t="str">
        <f t="shared" si="1"/>
        <v>Sin dato</v>
      </c>
      <c r="R42" s="12"/>
      <c r="S42" s="13"/>
    </row>
    <row r="43" spans="1:19" ht="36" customHeight="1" x14ac:dyDescent="0.25">
      <c r="A43" s="10" t="s">
        <v>279</v>
      </c>
      <c r="B43" s="10" t="s">
        <v>264</v>
      </c>
      <c r="C43" s="10" t="s">
        <v>1390</v>
      </c>
      <c r="D43" s="11" t="s">
        <v>1395</v>
      </c>
      <c r="E43" s="11" t="s">
        <v>1396</v>
      </c>
      <c r="F43" s="10" t="s">
        <v>140</v>
      </c>
      <c r="G43" s="10" t="s">
        <v>191</v>
      </c>
      <c r="H43" s="11" t="s">
        <v>1397</v>
      </c>
      <c r="I43" s="10">
        <v>0.6</v>
      </c>
      <c r="J43" s="10">
        <v>1.5</v>
      </c>
      <c r="K43" s="10" t="s">
        <v>114</v>
      </c>
      <c r="L43" s="10" t="s">
        <v>122</v>
      </c>
      <c r="M43" s="11"/>
      <c r="N43" s="11" t="s">
        <v>143</v>
      </c>
      <c r="O43" s="12" t="s">
        <v>116</v>
      </c>
      <c r="P43" s="12"/>
      <c r="Q43" s="10" t="str">
        <f t="shared" si="1"/>
        <v>Sin dato</v>
      </c>
      <c r="R43" s="12"/>
      <c r="S43" s="13"/>
    </row>
    <row r="44" spans="1:19" ht="36" customHeight="1" x14ac:dyDescent="0.25">
      <c r="A44" s="10" t="s">
        <v>285</v>
      </c>
      <c r="B44" s="10" t="s">
        <v>264</v>
      </c>
      <c r="C44" s="10" t="s">
        <v>1390</v>
      </c>
      <c r="D44" s="11" t="s">
        <v>1398</v>
      </c>
      <c r="E44" s="11" t="s">
        <v>1399</v>
      </c>
      <c r="F44" s="10" t="s">
        <v>140</v>
      </c>
      <c r="G44" s="10" t="s">
        <v>1400</v>
      </c>
      <c r="H44" s="11" t="s">
        <v>1401</v>
      </c>
      <c r="I44" s="10">
        <v>800</v>
      </c>
      <c r="J44" s="10">
        <v>900</v>
      </c>
      <c r="K44" s="10" t="s">
        <v>114</v>
      </c>
      <c r="L44" s="10" t="s">
        <v>122</v>
      </c>
      <c r="M44" s="11"/>
      <c r="N44" s="11" t="s">
        <v>143</v>
      </c>
      <c r="O44" s="12" t="s">
        <v>116</v>
      </c>
      <c r="P44" s="12"/>
      <c r="Q44" s="10" t="str">
        <f t="shared" si="1"/>
        <v>Sin dato</v>
      </c>
      <c r="R44" s="12"/>
      <c r="S44" s="13"/>
    </row>
    <row r="45" spans="1:19" ht="36" customHeight="1" x14ac:dyDescent="0.25">
      <c r="A45" s="10" t="s">
        <v>289</v>
      </c>
      <c r="B45" s="10" t="s">
        <v>264</v>
      </c>
      <c r="C45" s="10" t="s">
        <v>1402</v>
      </c>
      <c r="D45" s="11" t="s">
        <v>1403</v>
      </c>
      <c r="E45" s="11" t="s">
        <v>1404</v>
      </c>
      <c r="F45" s="10" t="s">
        <v>112</v>
      </c>
      <c r="G45" s="10"/>
      <c r="H45" s="11" t="s">
        <v>1405</v>
      </c>
      <c r="I45" s="10"/>
      <c r="J45" s="10"/>
      <c r="K45" s="10" t="s">
        <v>114</v>
      </c>
      <c r="L45" s="10" t="s">
        <v>114</v>
      </c>
      <c r="M45" s="11" t="s">
        <v>1406</v>
      </c>
      <c r="N45" s="11" t="s">
        <v>1407</v>
      </c>
      <c r="O45" s="12" t="s">
        <v>116</v>
      </c>
      <c r="P45" s="12"/>
      <c r="Q45" s="10" t="str">
        <f t="shared" si="1"/>
        <v/>
      </c>
      <c r="R45" s="12"/>
      <c r="S45" s="13"/>
    </row>
    <row r="46" spans="1:19" ht="36" customHeight="1" x14ac:dyDescent="0.25">
      <c r="A46" s="10" t="s">
        <v>714</v>
      </c>
      <c r="B46" s="10" t="s">
        <v>264</v>
      </c>
      <c r="C46" s="10" t="s">
        <v>1408</v>
      </c>
      <c r="D46" s="11" t="s">
        <v>1409</v>
      </c>
      <c r="E46" s="11" t="s">
        <v>1410</v>
      </c>
      <c r="F46" s="10" t="s">
        <v>112</v>
      </c>
      <c r="G46" s="10"/>
      <c r="H46" s="11" t="s">
        <v>1411</v>
      </c>
      <c r="I46" s="10"/>
      <c r="J46" s="10"/>
      <c r="K46" s="10" t="s">
        <v>114</v>
      </c>
      <c r="L46" s="10" t="s">
        <v>114</v>
      </c>
      <c r="M46" s="11" t="s">
        <v>1412</v>
      </c>
      <c r="N46" s="11" t="s">
        <v>1413</v>
      </c>
      <c r="O46" s="12" t="s">
        <v>116</v>
      </c>
      <c r="P46" s="12"/>
      <c r="Q46" s="10" t="str">
        <f t="shared" si="1"/>
        <v/>
      </c>
      <c r="R46" s="12"/>
      <c r="S46" s="13"/>
    </row>
    <row r="47" spans="1:19" ht="36" customHeight="1" x14ac:dyDescent="0.25">
      <c r="A47" s="10" t="s">
        <v>1414</v>
      </c>
      <c r="B47" s="10" t="s">
        <v>264</v>
      </c>
      <c r="C47" s="10" t="s">
        <v>1415</v>
      </c>
      <c r="D47" s="11" t="s">
        <v>1416</v>
      </c>
      <c r="E47" s="11" t="s">
        <v>1417</v>
      </c>
      <c r="F47" s="10" t="s">
        <v>140</v>
      </c>
      <c r="G47" s="10" t="s">
        <v>186</v>
      </c>
      <c r="H47" s="11" t="s">
        <v>1418</v>
      </c>
      <c r="I47" s="10">
        <v>76</v>
      </c>
      <c r="J47" s="10">
        <v>84</v>
      </c>
      <c r="K47" s="10" t="s">
        <v>114</v>
      </c>
      <c r="L47" s="10" t="s">
        <v>122</v>
      </c>
      <c r="M47" s="11" t="s">
        <v>1419</v>
      </c>
      <c r="N47" s="11" t="s">
        <v>143</v>
      </c>
      <c r="O47" s="12" t="s">
        <v>116</v>
      </c>
      <c r="P47" s="12"/>
      <c r="Q47" s="10" t="str">
        <f t="shared" si="1"/>
        <v>Sin dato</v>
      </c>
      <c r="R47" s="12"/>
      <c r="S47" s="13"/>
    </row>
    <row r="48" spans="1:19" ht="36" customHeight="1" x14ac:dyDescent="0.25">
      <c r="A48" s="10" t="s">
        <v>1420</v>
      </c>
      <c r="B48" s="10" t="s">
        <v>264</v>
      </c>
      <c r="C48" s="10" t="s">
        <v>1415</v>
      </c>
      <c r="D48" s="11" t="s">
        <v>1421</v>
      </c>
      <c r="E48" s="11" t="s">
        <v>1422</v>
      </c>
      <c r="F48" s="10" t="s">
        <v>140</v>
      </c>
      <c r="G48" s="10" t="s">
        <v>186</v>
      </c>
      <c r="H48" s="11" t="s">
        <v>1423</v>
      </c>
      <c r="I48" s="10">
        <v>-23</v>
      </c>
      <c r="J48" s="10">
        <v>-19</v>
      </c>
      <c r="K48" s="10" t="s">
        <v>114</v>
      </c>
      <c r="L48" s="10" t="s">
        <v>122</v>
      </c>
      <c r="M48" s="11" t="s">
        <v>1419</v>
      </c>
      <c r="N48" s="11" t="s">
        <v>143</v>
      </c>
      <c r="O48" s="12" t="s">
        <v>116</v>
      </c>
      <c r="P48" s="12"/>
      <c r="Q48" s="10" t="str">
        <f t="shared" si="1"/>
        <v>Sin dato</v>
      </c>
      <c r="R48" s="12"/>
      <c r="S48" s="13"/>
    </row>
    <row r="49" spans="1:19" ht="36" customHeight="1" x14ac:dyDescent="0.25">
      <c r="A49" s="10" t="s">
        <v>1424</v>
      </c>
      <c r="B49" s="10" t="s">
        <v>264</v>
      </c>
      <c r="C49" s="10" t="s">
        <v>1415</v>
      </c>
      <c r="D49" s="11" t="s">
        <v>1425</v>
      </c>
      <c r="E49" s="11" t="s">
        <v>1426</v>
      </c>
      <c r="F49" s="10" t="s">
        <v>140</v>
      </c>
      <c r="G49" s="10" t="s">
        <v>186</v>
      </c>
      <c r="H49" s="11" t="s">
        <v>1427</v>
      </c>
      <c r="I49" s="10">
        <v>-21</v>
      </c>
      <c r="J49" s="10">
        <v>-19</v>
      </c>
      <c r="K49" s="10" t="s">
        <v>114</v>
      </c>
      <c r="L49" s="10" t="s">
        <v>122</v>
      </c>
      <c r="M49" s="11" t="s">
        <v>1419</v>
      </c>
      <c r="N49" s="11" t="s">
        <v>143</v>
      </c>
      <c r="O49" s="12" t="s">
        <v>116</v>
      </c>
      <c r="P49" s="12"/>
      <c r="Q49" s="10" t="str">
        <f t="shared" si="1"/>
        <v>Sin dato</v>
      </c>
      <c r="R49" s="12"/>
      <c r="S49" s="13"/>
    </row>
    <row r="50" spans="1:19" ht="36" customHeight="1" x14ac:dyDescent="0.25">
      <c r="A50" s="10" t="s">
        <v>1428</v>
      </c>
      <c r="B50" s="10" t="s">
        <v>264</v>
      </c>
      <c r="C50" s="10" t="s">
        <v>1415</v>
      </c>
      <c r="D50" s="11" t="s">
        <v>1429</v>
      </c>
      <c r="E50" s="11" t="s">
        <v>1430</v>
      </c>
      <c r="F50" s="10" t="s">
        <v>140</v>
      </c>
      <c r="G50" s="10" t="s">
        <v>186</v>
      </c>
      <c r="H50" s="11" t="s">
        <v>1431</v>
      </c>
      <c r="I50" s="10">
        <v>60</v>
      </c>
      <c r="J50" s="10">
        <v>90</v>
      </c>
      <c r="K50" s="10" t="s">
        <v>114</v>
      </c>
      <c r="L50" s="10" t="s">
        <v>122</v>
      </c>
      <c r="M50" s="11"/>
      <c r="N50" s="11" t="s">
        <v>143</v>
      </c>
      <c r="O50" s="12" t="s">
        <v>116</v>
      </c>
      <c r="P50" s="12"/>
      <c r="Q50" s="10" t="str">
        <f t="shared" si="1"/>
        <v>Sin dato</v>
      </c>
      <c r="R50" s="12"/>
      <c r="S50" s="13"/>
    </row>
    <row r="51" spans="1:19" ht="36" customHeight="1" x14ac:dyDescent="0.25">
      <c r="A51" s="10" t="s">
        <v>299</v>
      </c>
      <c r="B51" s="10" t="s">
        <v>300</v>
      </c>
      <c r="C51" s="10" t="s">
        <v>1432</v>
      </c>
      <c r="D51" s="11" t="s">
        <v>1433</v>
      </c>
      <c r="E51" s="11" t="s">
        <v>1434</v>
      </c>
      <c r="F51" s="10" t="s">
        <v>112</v>
      </c>
      <c r="G51" s="10"/>
      <c r="H51" s="11" t="s">
        <v>1435</v>
      </c>
      <c r="I51" s="10"/>
      <c r="J51" s="10"/>
      <c r="K51" s="10" t="s">
        <v>114</v>
      </c>
      <c r="L51" s="10" t="s">
        <v>114</v>
      </c>
      <c r="M51" s="11" t="s">
        <v>1436</v>
      </c>
      <c r="N51" s="11" t="s">
        <v>1437</v>
      </c>
      <c r="O51" s="12" t="s">
        <v>116</v>
      </c>
      <c r="P51" s="12"/>
      <c r="Q51" s="10" t="str">
        <f t="shared" si="1"/>
        <v/>
      </c>
      <c r="R51" s="12"/>
      <c r="S51" s="13"/>
    </row>
    <row r="52" spans="1:19" ht="36" customHeight="1" x14ac:dyDescent="0.25">
      <c r="A52" s="10" t="s">
        <v>310</v>
      </c>
      <c r="B52" s="10" t="s">
        <v>300</v>
      </c>
      <c r="C52" s="10" t="s">
        <v>1438</v>
      </c>
      <c r="D52" s="11" t="s">
        <v>1439</v>
      </c>
      <c r="E52" s="11" t="s">
        <v>1440</v>
      </c>
      <c r="F52" s="10" t="s">
        <v>112</v>
      </c>
      <c r="G52" s="10"/>
      <c r="H52" s="11" t="s">
        <v>1441</v>
      </c>
      <c r="I52" s="10"/>
      <c r="J52" s="10"/>
      <c r="K52" s="10" t="s">
        <v>114</v>
      </c>
      <c r="L52" s="10" t="s">
        <v>114</v>
      </c>
      <c r="M52" s="11" t="s">
        <v>1320</v>
      </c>
      <c r="N52" s="11" t="s">
        <v>1321</v>
      </c>
      <c r="O52" s="12" t="s">
        <v>116</v>
      </c>
      <c r="P52" s="12"/>
      <c r="Q52" s="10" t="str">
        <f t="shared" si="1"/>
        <v/>
      </c>
      <c r="R52" s="12"/>
      <c r="S52" s="13"/>
    </row>
    <row r="53" spans="1:19" ht="36" customHeight="1" x14ac:dyDescent="0.25">
      <c r="A53" s="10" t="s">
        <v>321</v>
      </c>
      <c r="B53" s="10" t="s">
        <v>300</v>
      </c>
      <c r="C53" s="10" t="s">
        <v>1442</v>
      </c>
      <c r="D53" s="11" t="s">
        <v>1443</v>
      </c>
      <c r="E53" s="11" t="s">
        <v>1444</v>
      </c>
      <c r="F53" s="10" t="s">
        <v>120</v>
      </c>
      <c r="G53" s="10"/>
      <c r="H53" s="11" t="s">
        <v>1445</v>
      </c>
      <c r="I53" s="10"/>
      <c r="J53" s="10"/>
      <c r="K53" s="10" t="s">
        <v>114</v>
      </c>
      <c r="L53" s="10" t="s">
        <v>122</v>
      </c>
      <c r="M53" s="11" t="s">
        <v>1446</v>
      </c>
      <c r="N53" s="11" t="s">
        <v>1447</v>
      </c>
      <c r="O53" s="12" t="s">
        <v>116</v>
      </c>
      <c r="P53" s="12"/>
      <c r="Q53" s="10" t="str">
        <f t="shared" si="1"/>
        <v/>
      </c>
      <c r="R53" s="12"/>
      <c r="S53" s="13"/>
    </row>
    <row r="54" spans="1:19" ht="36" customHeight="1" x14ac:dyDescent="0.25">
      <c r="A54" s="10" t="s">
        <v>328</v>
      </c>
      <c r="B54" s="10" t="s">
        <v>300</v>
      </c>
      <c r="C54" s="10" t="s">
        <v>1442</v>
      </c>
      <c r="D54" s="11" t="s">
        <v>1448</v>
      </c>
      <c r="E54" s="11" t="s">
        <v>1449</v>
      </c>
      <c r="F54" s="10" t="s">
        <v>112</v>
      </c>
      <c r="G54" s="10"/>
      <c r="H54" s="11" t="s">
        <v>1450</v>
      </c>
      <c r="I54" s="10"/>
      <c r="J54" s="10"/>
      <c r="K54" s="10" t="s">
        <v>114</v>
      </c>
      <c r="L54" s="10" t="s">
        <v>114</v>
      </c>
      <c r="M54" s="11" t="s">
        <v>1451</v>
      </c>
      <c r="N54" s="11" t="s">
        <v>1321</v>
      </c>
      <c r="O54" s="12" t="s">
        <v>116</v>
      </c>
      <c r="P54" s="12"/>
      <c r="Q54" s="10" t="str">
        <f t="shared" si="1"/>
        <v/>
      </c>
      <c r="R54" s="12"/>
      <c r="S54" s="13"/>
    </row>
    <row r="55" spans="1:19" ht="36" customHeight="1" x14ac:dyDescent="0.25">
      <c r="A55" s="10" t="s">
        <v>344</v>
      </c>
      <c r="B55" s="10" t="s">
        <v>300</v>
      </c>
      <c r="C55" s="10" t="s">
        <v>1452</v>
      </c>
      <c r="D55" s="11" t="s">
        <v>1453</v>
      </c>
      <c r="E55" s="11" t="s">
        <v>1454</v>
      </c>
      <c r="F55" s="10" t="s">
        <v>133</v>
      </c>
      <c r="G55" s="10"/>
      <c r="H55" s="11" t="s">
        <v>1455</v>
      </c>
      <c r="I55" s="10"/>
      <c r="J55" s="10"/>
      <c r="K55" s="10" t="s">
        <v>114</v>
      </c>
      <c r="L55" s="10" t="s">
        <v>122</v>
      </c>
      <c r="M55" s="11" t="s">
        <v>1456</v>
      </c>
      <c r="N55" s="11" t="s">
        <v>1457</v>
      </c>
      <c r="O55" s="12" t="s">
        <v>116</v>
      </c>
      <c r="P55" s="12"/>
      <c r="Q55" s="10" t="str">
        <f t="shared" si="1"/>
        <v/>
      </c>
      <c r="R55" s="12"/>
      <c r="S55" s="13"/>
    </row>
    <row r="56" spans="1:19" ht="36" customHeight="1" x14ac:dyDescent="0.25">
      <c r="A56" s="10" t="s">
        <v>350</v>
      </c>
      <c r="B56" s="10" t="s">
        <v>300</v>
      </c>
      <c r="C56" s="10" t="s">
        <v>1452</v>
      </c>
      <c r="D56" s="11" t="s">
        <v>1458</v>
      </c>
      <c r="E56" s="11" t="s">
        <v>1459</v>
      </c>
      <c r="F56" s="10" t="s">
        <v>112</v>
      </c>
      <c r="G56" s="10"/>
      <c r="H56" s="11" t="s">
        <v>1460</v>
      </c>
      <c r="I56" s="10"/>
      <c r="J56" s="10"/>
      <c r="K56" s="10" t="s">
        <v>114</v>
      </c>
      <c r="L56" s="10" t="s">
        <v>114</v>
      </c>
      <c r="M56" s="11" t="s">
        <v>1461</v>
      </c>
      <c r="N56" s="11" t="s">
        <v>1462</v>
      </c>
      <c r="O56" s="12" t="s">
        <v>116</v>
      </c>
      <c r="P56" s="12"/>
      <c r="Q56" s="10" t="str">
        <f t="shared" si="1"/>
        <v/>
      </c>
      <c r="R56" s="12"/>
      <c r="S56" s="13"/>
    </row>
    <row r="57" spans="1:19" ht="36" customHeight="1" x14ac:dyDescent="0.25">
      <c r="A57" s="10" t="s">
        <v>1118</v>
      </c>
      <c r="B57" s="10" t="s">
        <v>300</v>
      </c>
      <c r="C57" s="10" t="s">
        <v>1463</v>
      </c>
      <c r="D57" s="11" t="s">
        <v>1464</v>
      </c>
      <c r="E57" s="11" t="s">
        <v>1465</v>
      </c>
      <c r="F57" s="10" t="s">
        <v>112</v>
      </c>
      <c r="G57" s="10"/>
      <c r="H57" s="11" t="s">
        <v>1466</v>
      </c>
      <c r="I57" s="10"/>
      <c r="J57" s="10"/>
      <c r="K57" s="10" t="s">
        <v>114</v>
      </c>
      <c r="L57" s="10" t="s">
        <v>114</v>
      </c>
      <c r="M57" s="11" t="s">
        <v>1467</v>
      </c>
      <c r="N57" s="11" t="s">
        <v>1321</v>
      </c>
      <c r="O57" s="12" t="s">
        <v>116</v>
      </c>
      <c r="P57" s="12"/>
      <c r="Q57" s="10" t="str">
        <f t="shared" si="1"/>
        <v/>
      </c>
      <c r="R57" s="12"/>
      <c r="S57" s="13"/>
    </row>
    <row r="58" spans="1:19" ht="36" customHeight="1" x14ac:dyDescent="0.25">
      <c r="A58" s="10" t="s">
        <v>1468</v>
      </c>
      <c r="B58" s="10" t="s">
        <v>300</v>
      </c>
      <c r="C58" s="10" t="s">
        <v>1469</v>
      </c>
      <c r="D58" s="11" t="s">
        <v>1470</v>
      </c>
      <c r="E58" s="11" t="s">
        <v>1471</v>
      </c>
      <c r="F58" s="10" t="s">
        <v>112</v>
      </c>
      <c r="G58" s="10"/>
      <c r="H58" s="11" t="s">
        <v>1472</v>
      </c>
      <c r="I58" s="10"/>
      <c r="J58" s="10"/>
      <c r="K58" s="10" t="s">
        <v>114</v>
      </c>
      <c r="L58" s="10" t="s">
        <v>114</v>
      </c>
      <c r="M58" s="11" t="s">
        <v>1473</v>
      </c>
      <c r="N58" s="11" t="s">
        <v>1474</v>
      </c>
      <c r="O58" s="12" t="s">
        <v>116</v>
      </c>
      <c r="P58" s="12"/>
      <c r="Q58" s="10" t="str">
        <f t="shared" si="1"/>
        <v/>
      </c>
      <c r="R58" s="12"/>
      <c r="S58" s="13"/>
    </row>
    <row r="59" spans="1:19" ht="36" customHeight="1" x14ac:dyDescent="0.25">
      <c r="A59" s="10" t="s">
        <v>1475</v>
      </c>
      <c r="B59" s="10" t="s">
        <v>300</v>
      </c>
      <c r="C59" s="10" t="s">
        <v>1469</v>
      </c>
      <c r="D59" s="11" t="s">
        <v>1476</v>
      </c>
      <c r="E59" s="11" t="s">
        <v>1477</v>
      </c>
      <c r="F59" s="10" t="s">
        <v>140</v>
      </c>
      <c r="G59" s="10" t="s">
        <v>472</v>
      </c>
      <c r="H59" s="11" t="s">
        <v>1478</v>
      </c>
      <c r="I59" s="10">
        <v>150</v>
      </c>
      <c r="J59" s="10">
        <v>170</v>
      </c>
      <c r="K59" s="10" t="s">
        <v>114</v>
      </c>
      <c r="L59" s="10" t="s">
        <v>122</v>
      </c>
      <c r="M59" s="11"/>
      <c r="N59" s="11" t="s">
        <v>1394</v>
      </c>
      <c r="O59" s="12" t="s">
        <v>116</v>
      </c>
      <c r="P59" s="12"/>
      <c r="Q59" s="10" t="str">
        <f t="shared" si="1"/>
        <v>Sin dato</v>
      </c>
      <c r="R59" s="12"/>
      <c r="S59" s="13"/>
    </row>
    <row r="60" spans="1:19" ht="36" customHeight="1" x14ac:dyDescent="0.25">
      <c r="A60" s="10" t="s">
        <v>355</v>
      </c>
      <c r="B60" s="10" t="s">
        <v>356</v>
      </c>
      <c r="C60" s="10" t="s">
        <v>357</v>
      </c>
      <c r="D60" s="11" t="s">
        <v>1479</v>
      </c>
      <c r="E60" s="11" t="s">
        <v>1480</v>
      </c>
      <c r="F60" s="10" t="s">
        <v>112</v>
      </c>
      <c r="G60" s="10"/>
      <c r="H60" s="11" t="s">
        <v>1481</v>
      </c>
      <c r="I60" s="10"/>
      <c r="J60" s="10"/>
      <c r="K60" s="10" t="s">
        <v>114</v>
      </c>
      <c r="L60" s="10" t="s">
        <v>114</v>
      </c>
      <c r="M60" s="11" t="s">
        <v>1482</v>
      </c>
      <c r="N60" s="11" t="s">
        <v>143</v>
      </c>
      <c r="O60" s="12" t="s">
        <v>116</v>
      </c>
      <c r="P60" s="12"/>
      <c r="Q60" s="10" t="str">
        <f t="shared" si="1"/>
        <v/>
      </c>
      <c r="R60" s="12"/>
      <c r="S60" s="13"/>
    </row>
    <row r="61" spans="1:19" ht="36" customHeight="1" x14ac:dyDescent="0.25">
      <c r="A61" s="10" t="s">
        <v>363</v>
      </c>
      <c r="B61" s="10" t="s">
        <v>356</v>
      </c>
      <c r="C61" s="10" t="s">
        <v>357</v>
      </c>
      <c r="D61" s="11" t="s">
        <v>1483</v>
      </c>
      <c r="E61" s="11" t="s">
        <v>1484</v>
      </c>
      <c r="F61" s="10" t="s">
        <v>112</v>
      </c>
      <c r="G61" s="10"/>
      <c r="H61" s="11" t="s">
        <v>1485</v>
      </c>
      <c r="I61" s="10"/>
      <c r="J61" s="10"/>
      <c r="K61" s="10" t="s">
        <v>114</v>
      </c>
      <c r="L61" s="10" t="s">
        <v>114</v>
      </c>
      <c r="M61" s="11"/>
      <c r="N61" s="11" t="s">
        <v>143</v>
      </c>
      <c r="O61" s="12" t="s">
        <v>116</v>
      </c>
      <c r="P61" s="12"/>
      <c r="Q61" s="10" t="str">
        <f t="shared" si="1"/>
        <v/>
      </c>
      <c r="R61" s="12"/>
      <c r="S61" s="13"/>
    </row>
    <row r="62" spans="1:19" ht="36" customHeight="1" x14ac:dyDescent="0.25">
      <c r="A62" s="10" t="s">
        <v>368</v>
      </c>
      <c r="B62" s="10" t="s">
        <v>356</v>
      </c>
      <c r="C62" s="10" t="s">
        <v>357</v>
      </c>
      <c r="D62" s="11" t="s">
        <v>1486</v>
      </c>
      <c r="E62" s="11" t="s">
        <v>1487</v>
      </c>
      <c r="F62" s="10" t="s">
        <v>112</v>
      </c>
      <c r="G62" s="10"/>
      <c r="H62" s="11" t="s">
        <v>1488</v>
      </c>
      <c r="I62" s="10"/>
      <c r="J62" s="10"/>
      <c r="K62" s="10" t="s">
        <v>114</v>
      </c>
      <c r="L62" s="10" t="s">
        <v>114</v>
      </c>
      <c r="M62" s="11"/>
      <c r="N62" s="11" t="s">
        <v>143</v>
      </c>
      <c r="O62" s="12" t="s">
        <v>116</v>
      </c>
      <c r="P62" s="12"/>
      <c r="Q62" s="10" t="str">
        <f t="shared" si="1"/>
        <v/>
      </c>
      <c r="R62" s="12"/>
      <c r="S62" s="13"/>
    </row>
    <row r="63" spans="1:19" ht="36" customHeight="1" x14ac:dyDescent="0.25">
      <c r="A63" s="10" t="s">
        <v>373</v>
      </c>
      <c r="B63" s="10" t="s">
        <v>356</v>
      </c>
      <c r="C63" s="10" t="s">
        <v>357</v>
      </c>
      <c r="D63" s="11" t="s">
        <v>1489</v>
      </c>
      <c r="E63" s="11" t="s">
        <v>1490</v>
      </c>
      <c r="F63" s="10" t="s">
        <v>112</v>
      </c>
      <c r="G63" s="10"/>
      <c r="H63" s="11" t="s">
        <v>1491</v>
      </c>
      <c r="I63" s="10"/>
      <c r="J63" s="10"/>
      <c r="K63" s="10" t="s">
        <v>114</v>
      </c>
      <c r="L63" s="10" t="s">
        <v>114</v>
      </c>
      <c r="M63" s="11"/>
      <c r="N63" s="11" t="s">
        <v>433</v>
      </c>
      <c r="O63" s="12" t="s">
        <v>116</v>
      </c>
      <c r="P63" s="12"/>
      <c r="Q63" s="10" t="str">
        <f t="shared" si="1"/>
        <v/>
      </c>
      <c r="R63" s="12"/>
      <c r="S63" s="13"/>
    </row>
    <row r="64" spans="1:19" ht="36" customHeight="1" x14ac:dyDescent="0.25">
      <c r="A64" s="10" t="s">
        <v>392</v>
      </c>
      <c r="B64" s="10" t="s">
        <v>356</v>
      </c>
      <c r="C64" s="10" t="s">
        <v>393</v>
      </c>
      <c r="D64" s="11" t="s">
        <v>1492</v>
      </c>
      <c r="E64" s="11" t="s">
        <v>1493</v>
      </c>
      <c r="F64" s="10" t="s">
        <v>164</v>
      </c>
      <c r="G64" s="10"/>
      <c r="H64" s="11" t="s">
        <v>1494</v>
      </c>
      <c r="I64" s="10"/>
      <c r="J64" s="10"/>
      <c r="K64" s="10" t="s">
        <v>114</v>
      </c>
      <c r="L64" s="10" t="s">
        <v>114</v>
      </c>
      <c r="M64" s="11" t="s">
        <v>1495</v>
      </c>
      <c r="N64" s="11" t="s">
        <v>1496</v>
      </c>
      <c r="O64" s="12" t="s">
        <v>116</v>
      </c>
      <c r="P64" s="12"/>
      <c r="Q64" s="10" t="str">
        <f t="shared" si="1"/>
        <v/>
      </c>
      <c r="R64" s="12"/>
      <c r="S64" s="13"/>
    </row>
    <row r="65" spans="1:19" ht="36" customHeight="1" x14ac:dyDescent="0.25">
      <c r="A65" s="10" t="s">
        <v>399</v>
      </c>
      <c r="B65" s="10" t="s">
        <v>356</v>
      </c>
      <c r="C65" s="10" t="s">
        <v>400</v>
      </c>
      <c r="D65" s="11" t="s">
        <v>1497</v>
      </c>
      <c r="E65" s="11" t="s">
        <v>1498</v>
      </c>
      <c r="F65" s="10" t="s">
        <v>112</v>
      </c>
      <c r="G65" s="10"/>
      <c r="H65" s="11" t="s">
        <v>1499</v>
      </c>
      <c r="I65" s="10"/>
      <c r="J65" s="10"/>
      <c r="K65" s="10" t="s">
        <v>114</v>
      </c>
      <c r="L65" s="10" t="s">
        <v>114</v>
      </c>
      <c r="M65" s="11" t="s">
        <v>1500</v>
      </c>
      <c r="N65" s="11" t="s">
        <v>1501</v>
      </c>
      <c r="O65" s="12" t="s">
        <v>116</v>
      </c>
      <c r="P65" s="12"/>
      <c r="Q65" s="10" t="str">
        <f t="shared" si="1"/>
        <v/>
      </c>
      <c r="R65" s="12"/>
      <c r="S65" s="13"/>
    </row>
    <row r="66" spans="1:19" ht="36" customHeight="1" x14ac:dyDescent="0.25">
      <c r="A66" s="10" t="s">
        <v>405</v>
      </c>
      <c r="B66" s="10" t="s">
        <v>356</v>
      </c>
      <c r="C66" s="10" t="s">
        <v>400</v>
      </c>
      <c r="D66" s="11" t="s">
        <v>1502</v>
      </c>
      <c r="E66" s="11" t="s">
        <v>1503</v>
      </c>
      <c r="F66" s="10" t="s">
        <v>112</v>
      </c>
      <c r="G66" s="10"/>
      <c r="H66" s="11" t="s">
        <v>1504</v>
      </c>
      <c r="I66" s="10"/>
      <c r="J66" s="10"/>
      <c r="K66" s="10" t="s">
        <v>114</v>
      </c>
      <c r="L66" s="10" t="s">
        <v>114</v>
      </c>
      <c r="M66" s="11" t="s">
        <v>409</v>
      </c>
      <c r="N66" s="11" t="s">
        <v>1505</v>
      </c>
      <c r="O66" s="12" t="s">
        <v>116</v>
      </c>
      <c r="P66" s="12"/>
      <c r="Q66" s="10" t="str">
        <f t="shared" si="1"/>
        <v/>
      </c>
      <c r="R66" s="12"/>
      <c r="S66" s="13"/>
    </row>
    <row r="67" spans="1:19" ht="36" customHeight="1" x14ac:dyDescent="0.25">
      <c r="A67" s="10" t="s">
        <v>411</v>
      </c>
      <c r="B67" s="10" t="s">
        <v>356</v>
      </c>
      <c r="C67" s="10" t="s">
        <v>1506</v>
      </c>
      <c r="D67" s="11" t="s">
        <v>1507</v>
      </c>
      <c r="E67" s="11" t="s">
        <v>1508</v>
      </c>
      <c r="F67" s="10" t="s">
        <v>140</v>
      </c>
      <c r="G67" s="10" t="s">
        <v>396</v>
      </c>
      <c r="H67" s="11" t="s">
        <v>1509</v>
      </c>
      <c r="I67" s="10">
        <v>0</v>
      </c>
      <c r="J67" s="10">
        <v>1</v>
      </c>
      <c r="K67" s="10" t="s">
        <v>114</v>
      </c>
      <c r="L67" s="10" t="s">
        <v>122</v>
      </c>
      <c r="M67" s="11"/>
      <c r="N67" s="11" t="s">
        <v>1261</v>
      </c>
      <c r="O67" s="12" t="s">
        <v>116</v>
      </c>
      <c r="P67" s="12"/>
      <c r="Q67" s="10" t="str">
        <f t="shared" si="1"/>
        <v>Sin dato</v>
      </c>
      <c r="R67" s="12"/>
      <c r="S67" s="13"/>
    </row>
    <row r="68" spans="1:19" ht="36" customHeight="1" x14ac:dyDescent="0.25">
      <c r="A68" s="10" t="s">
        <v>422</v>
      </c>
      <c r="B68" s="10" t="s">
        <v>356</v>
      </c>
      <c r="C68" s="10" t="s">
        <v>1510</v>
      </c>
      <c r="D68" s="11" t="s">
        <v>1511</v>
      </c>
      <c r="E68" s="11" t="s">
        <v>1512</v>
      </c>
      <c r="F68" s="10" t="s">
        <v>112</v>
      </c>
      <c r="G68" s="10" t="s">
        <v>869</v>
      </c>
      <c r="H68" s="11" t="s">
        <v>1513</v>
      </c>
      <c r="I68" s="10"/>
      <c r="J68" s="10"/>
      <c r="K68" s="10" t="s">
        <v>114</v>
      </c>
      <c r="L68" s="10" t="s">
        <v>114</v>
      </c>
      <c r="M68" s="11"/>
      <c r="N68" s="11" t="s">
        <v>1514</v>
      </c>
      <c r="O68" s="12" t="s">
        <v>116</v>
      </c>
      <c r="P68" s="12"/>
      <c r="Q68" s="10" t="str">
        <f t="shared" si="1"/>
        <v/>
      </c>
      <c r="R68" s="12"/>
      <c r="S68" s="13"/>
    </row>
    <row r="69" spans="1:19" ht="36" customHeight="1" x14ac:dyDescent="0.25">
      <c r="A69" s="10" t="s">
        <v>434</v>
      </c>
      <c r="B69" s="10" t="s">
        <v>435</v>
      </c>
      <c r="C69" s="10" t="s">
        <v>1515</v>
      </c>
      <c r="D69" s="11" t="s">
        <v>1516</v>
      </c>
      <c r="E69" s="11" t="s">
        <v>1517</v>
      </c>
      <c r="F69" s="10" t="s">
        <v>112</v>
      </c>
      <c r="G69" s="10"/>
      <c r="H69" s="11" t="s">
        <v>1518</v>
      </c>
      <c r="I69" s="10"/>
      <c r="J69" s="10"/>
      <c r="K69" s="10" t="s">
        <v>114</v>
      </c>
      <c r="L69" s="10" t="s">
        <v>114</v>
      </c>
      <c r="M69" s="11" t="s">
        <v>1519</v>
      </c>
      <c r="N69" s="11" t="s">
        <v>1474</v>
      </c>
      <c r="O69" s="12" t="s">
        <v>116</v>
      </c>
      <c r="P69" s="12"/>
      <c r="Q69" s="10" t="str">
        <f t="shared" si="1"/>
        <v/>
      </c>
      <c r="R69" s="12"/>
      <c r="S69" s="13"/>
    </row>
    <row r="70" spans="1:19" ht="36" customHeight="1" x14ac:dyDescent="0.25">
      <c r="A70" s="10" t="s">
        <v>461</v>
      </c>
      <c r="B70" s="10" t="s">
        <v>435</v>
      </c>
      <c r="C70" s="10" t="s">
        <v>1520</v>
      </c>
      <c r="D70" s="11" t="s">
        <v>1521</v>
      </c>
      <c r="E70" s="11" t="s">
        <v>1522</v>
      </c>
      <c r="F70" s="10" t="s">
        <v>112</v>
      </c>
      <c r="G70" s="10"/>
      <c r="H70" s="11" t="s">
        <v>1523</v>
      </c>
      <c r="I70" s="10"/>
      <c r="J70" s="10"/>
      <c r="K70" s="10" t="s">
        <v>114</v>
      </c>
      <c r="L70" s="10" t="s">
        <v>114</v>
      </c>
      <c r="M70" s="11" t="s">
        <v>1524</v>
      </c>
      <c r="N70" s="11" t="s">
        <v>1525</v>
      </c>
      <c r="O70" s="12" t="s">
        <v>116</v>
      </c>
      <c r="P70" s="12"/>
      <c r="Q70" s="10" t="str">
        <f t="shared" si="1"/>
        <v/>
      </c>
      <c r="R70" s="12"/>
      <c r="S70" s="13"/>
    </row>
    <row r="71" spans="1:19" ht="48" customHeight="1" x14ac:dyDescent="0.25">
      <c r="A71" s="10" t="s">
        <v>1526</v>
      </c>
      <c r="B71" s="10" t="s">
        <v>435</v>
      </c>
      <c r="C71" s="10" t="s">
        <v>1527</v>
      </c>
      <c r="D71" s="11" t="s">
        <v>1528</v>
      </c>
      <c r="E71" s="11" t="s">
        <v>1529</v>
      </c>
      <c r="F71" s="10" t="s">
        <v>112</v>
      </c>
      <c r="G71" s="10"/>
      <c r="H71" s="11" t="s">
        <v>1530</v>
      </c>
      <c r="I71" s="10"/>
      <c r="J71" s="10"/>
      <c r="K71" s="10" t="s">
        <v>114</v>
      </c>
      <c r="L71" s="10" t="s">
        <v>114</v>
      </c>
      <c r="M71" s="11" t="s">
        <v>466</v>
      </c>
      <c r="N71" s="11" t="s">
        <v>1531</v>
      </c>
      <c r="O71" s="12" t="s">
        <v>116</v>
      </c>
      <c r="P71" s="12"/>
      <c r="Q71" s="10" t="str">
        <f t="shared" si="1"/>
        <v/>
      </c>
      <c r="R71" s="12"/>
      <c r="S71" s="13"/>
    </row>
    <row r="72" spans="1:19" ht="36" customHeight="1" x14ac:dyDescent="0.25">
      <c r="A72" s="10" t="s">
        <v>467</v>
      </c>
      <c r="B72" s="10" t="s">
        <v>468</v>
      </c>
      <c r="C72" s="10" t="s">
        <v>469</v>
      </c>
      <c r="D72" s="11" t="s">
        <v>1532</v>
      </c>
      <c r="E72" s="11" t="s">
        <v>1533</v>
      </c>
      <c r="F72" s="10" t="s">
        <v>140</v>
      </c>
      <c r="G72" s="10" t="s">
        <v>472</v>
      </c>
      <c r="H72" s="11" t="s">
        <v>1534</v>
      </c>
      <c r="I72" s="10">
        <v>38</v>
      </c>
      <c r="J72" s="10">
        <v>48</v>
      </c>
      <c r="K72" s="10" t="s">
        <v>114</v>
      </c>
      <c r="L72" s="10" t="s">
        <v>122</v>
      </c>
      <c r="M72" s="11"/>
      <c r="N72" s="11" t="s">
        <v>1394</v>
      </c>
      <c r="O72" s="12" t="s">
        <v>116</v>
      </c>
      <c r="P72" s="12"/>
      <c r="Q72" s="10" t="str">
        <f t="shared" si="1"/>
        <v>Sin dato</v>
      </c>
      <c r="R72" s="12"/>
      <c r="S72" s="13"/>
    </row>
    <row r="73" spans="1:19" ht="24" customHeight="1" x14ac:dyDescent="0.25">
      <c r="A73" s="10" t="s">
        <v>478</v>
      </c>
      <c r="B73" s="10" t="s">
        <v>468</v>
      </c>
      <c r="C73" s="10" t="s">
        <v>479</v>
      </c>
      <c r="D73" s="11" t="s">
        <v>1535</v>
      </c>
      <c r="E73" s="11" t="s">
        <v>1536</v>
      </c>
      <c r="F73" s="10" t="s">
        <v>140</v>
      </c>
      <c r="G73" s="10" t="s">
        <v>186</v>
      </c>
      <c r="H73" s="11" t="s">
        <v>1537</v>
      </c>
      <c r="I73" s="10">
        <v>50</v>
      </c>
      <c r="J73" s="10">
        <v>54</v>
      </c>
      <c r="K73" s="10" t="s">
        <v>114</v>
      </c>
      <c r="L73" s="10" t="s">
        <v>122</v>
      </c>
      <c r="M73" s="11"/>
      <c r="N73" s="11" t="s">
        <v>1538</v>
      </c>
      <c r="O73" s="12" t="s">
        <v>116</v>
      </c>
      <c r="P73" s="12"/>
      <c r="Q73" s="10" t="str">
        <f t="shared" ref="Q73:Q84" si="2">IF($F73&lt;&gt;"Numérico","",IF($P73="","Sin dato",IF(AND(OR(NOT(ISNUMBER($I73)),$P73&gt;=$I73),OR(NOT(ISNUMBER($J73)),$P73&lt;=$J73)),"Dentro de rango","Fuera de rango")))</f>
        <v>Sin dato</v>
      </c>
      <c r="R73" s="12"/>
      <c r="S73" s="13"/>
    </row>
    <row r="74" spans="1:19" ht="36" customHeight="1" x14ac:dyDescent="0.25">
      <c r="A74" s="10" t="s">
        <v>484</v>
      </c>
      <c r="B74" s="10" t="s">
        <v>468</v>
      </c>
      <c r="C74" s="10" t="s">
        <v>479</v>
      </c>
      <c r="D74" s="11" t="s">
        <v>1539</v>
      </c>
      <c r="E74" s="11" t="s">
        <v>1540</v>
      </c>
      <c r="F74" s="10" t="s">
        <v>140</v>
      </c>
      <c r="G74" s="10" t="s">
        <v>186</v>
      </c>
      <c r="H74" s="11" t="s">
        <v>1541</v>
      </c>
      <c r="I74" s="10">
        <v>70</v>
      </c>
      <c r="J74" s="10">
        <v>110</v>
      </c>
      <c r="K74" s="10" t="s">
        <v>114</v>
      </c>
      <c r="L74" s="10" t="s">
        <v>122</v>
      </c>
      <c r="M74" s="11"/>
      <c r="N74" s="11" t="s">
        <v>1542</v>
      </c>
      <c r="O74" s="12" t="s">
        <v>116</v>
      </c>
      <c r="P74" s="12"/>
      <c r="Q74" s="10" t="str">
        <f t="shared" si="2"/>
        <v>Sin dato</v>
      </c>
      <c r="R74" s="12"/>
      <c r="S74" s="13"/>
    </row>
    <row r="75" spans="1:19" ht="36" customHeight="1" x14ac:dyDescent="0.25">
      <c r="A75" s="10" t="s">
        <v>490</v>
      </c>
      <c r="B75" s="10" t="s">
        <v>468</v>
      </c>
      <c r="C75" s="10" t="s">
        <v>491</v>
      </c>
      <c r="D75" s="11" t="s">
        <v>1543</v>
      </c>
      <c r="E75" s="11" t="s">
        <v>1544</v>
      </c>
      <c r="F75" s="10" t="s">
        <v>140</v>
      </c>
      <c r="G75" s="10" t="s">
        <v>396</v>
      </c>
      <c r="H75" s="11" t="s">
        <v>1545</v>
      </c>
      <c r="I75" s="10">
        <v>23.5</v>
      </c>
      <c r="J75" s="10">
        <v>24.5</v>
      </c>
      <c r="K75" s="10" t="s">
        <v>114</v>
      </c>
      <c r="L75" s="10" t="s">
        <v>122</v>
      </c>
      <c r="M75" s="11"/>
      <c r="N75" s="11" t="s">
        <v>1546</v>
      </c>
      <c r="O75" s="12" t="s">
        <v>116</v>
      </c>
      <c r="P75" s="12"/>
      <c r="Q75" s="10" t="str">
        <f t="shared" si="2"/>
        <v>Sin dato</v>
      </c>
      <c r="R75" s="12"/>
      <c r="S75" s="13"/>
    </row>
    <row r="76" spans="1:19" ht="36" customHeight="1" x14ac:dyDescent="0.25">
      <c r="A76" s="10" t="s">
        <v>495</v>
      </c>
      <c r="B76" s="10" t="s">
        <v>468</v>
      </c>
      <c r="C76" s="10" t="s">
        <v>491</v>
      </c>
      <c r="D76" s="11" t="s">
        <v>1547</v>
      </c>
      <c r="E76" s="11" t="s">
        <v>1548</v>
      </c>
      <c r="F76" s="10" t="s">
        <v>140</v>
      </c>
      <c r="G76" s="10" t="s">
        <v>396</v>
      </c>
      <c r="H76" s="11" t="s">
        <v>1549</v>
      </c>
      <c r="I76" s="10">
        <v>4.5</v>
      </c>
      <c r="J76" s="10">
        <v>5.5</v>
      </c>
      <c r="K76" s="10" t="s">
        <v>114</v>
      </c>
      <c r="L76" s="10" t="s">
        <v>122</v>
      </c>
      <c r="M76" s="11"/>
      <c r="N76" s="11" t="s">
        <v>1546</v>
      </c>
      <c r="O76" s="12" t="s">
        <v>116</v>
      </c>
      <c r="P76" s="12"/>
      <c r="Q76" s="10" t="str">
        <f t="shared" si="2"/>
        <v>Sin dato</v>
      </c>
      <c r="R76" s="12"/>
      <c r="S76" s="13"/>
    </row>
    <row r="77" spans="1:19" ht="36" customHeight="1" x14ac:dyDescent="0.25">
      <c r="A77" s="10" t="s">
        <v>499</v>
      </c>
      <c r="B77" s="10" t="s">
        <v>500</v>
      </c>
      <c r="C77" s="10" t="s">
        <v>1550</v>
      </c>
      <c r="D77" s="11" t="s">
        <v>1551</v>
      </c>
      <c r="E77" s="11" t="s">
        <v>1552</v>
      </c>
      <c r="F77" s="10" t="s">
        <v>112</v>
      </c>
      <c r="G77" s="10"/>
      <c r="H77" s="11" t="s">
        <v>1553</v>
      </c>
      <c r="I77" s="10"/>
      <c r="J77" s="10"/>
      <c r="K77" s="10" t="s">
        <v>114</v>
      </c>
      <c r="L77" s="10" t="s">
        <v>114</v>
      </c>
      <c r="M77" s="11"/>
      <c r="N77" s="11" t="s">
        <v>1261</v>
      </c>
      <c r="O77" s="12" t="s">
        <v>116</v>
      </c>
      <c r="P77" s="12"/>
      <c r="Q77" s="10" t="str">
        <f t="shared" si="2"/>
        <v/>
      </c>
      <c r="R77" s="12"/>
      <c r="S77" s="13"/>
    </row>
    <row r="78" spans="1:19" ht="36" customHeight="1" x14ac:dyDescent="0.25">
      <c r="A78" s="10" t="s">
        <v>506</v>
      </c>
      <c r="B78" s="10" t="s">
        <v>500</v>
      </c>
      <c r="C78" s="10" t="s">
        <v>1550</v>
      </c>
      <c r="D78" s="11" t="s">
        <v>1554</v>
      </c>
      <c r="E78" s="11" t="s">
        <v>1555</v>
      </c>
      <c r="F78" s="10" t="s">
        <v>140</v>
      </c>
      <c r="G78" s="10" t="s">
        <v>1556</v>
      </c>
      <c r="H78" s="11" t="s">
        <v>1557</v>
      </c>
      <c r="I78" s="10">
        <v>20</v>
      </c>
      <c r="J78" s="10">
        <v>22</v>
      </c>
      <c r="K78" s="10" t="s">
        <v>114</v>
      </c>
      <c r="L78" s="10" t="s">
        <v>122</v>
      </c>
      <c r="M78" s="11"/>
      <c r="N78" s="11" t="s">
        <v>1261</v>
      </c>
      <c r="O78" s="12" t="s">
        <v>116</v>
      </c>
      <c r="P78" s="12"/>
      <c r="Q78" s="10" t="str">
        <f t="shared" si="2"/>
        <v>Sin dato</v>
      </c>
      <c r="R78" s="12"/>
      <c r="S78" s="13"/>
    </row>
    <row r="79" spans="1:19" ht="36" customHeight="1" x14ac:dyDescent="0.25">
      <c r="A79" s="10" t="s">
        <v>511</v>
      </c>
      <c r="B79" s="10" t="s">
        <v>500</v>
      </c>
      <c r="C79" s="10" t="s">
        <v>1550</v>
      </c>
      <c r="D79" s="11" t="s">
        <v>1238</v>
      </c>
      <c r="E79" s="11" t="s">
        <v>1558</v>
      </c>
      <c r="F79" s="10" t="s">
        <v>120</v>
      </c>
      <c r="G79" s="10"/>
      <c r="H79" s="11" t="s">
        <v>1559</v>
      </c>
      <c r="I79" s="10"/>
      <c r="J79" s="10"/>
      <c r="K79" s="10" t="s">
        <v>114</v>
      </c>
      <c r="L79" s="10" t="s">
        <v>122</v>
      </c>
      <c r="M79" s="11" t="s">
        <v>1560</v>
      </c>
      <c r="N79" s="11" t="s">
        <v>1561</v>
      </c>
      <c r="O79" s="12" t="s">
        <v>116</v>
      </c>
      <c r="P79" s="12"/>
      <c r="Q79" s="10" t="str">
        <f t="shared" si="2"/>
        <v/>
      </c>
      <c r="R79" s="12"/>
      <c r="S79" s="13"/>
    </row>
    <row r="80" spans="1:19" ht="36" customHeight="1" x14ac:dyDescent="0.25">
      <c r="A80" s="10" t="s">
        <v>1562</v>
      </c>
      <c r="B80" s="10" t="s">
        <v>500</v>
      </c>
      <c r="C80" s="10" t="s">
        <v>1550</v>
      </c>
      <c r="D80" s="11" t="s">
        <v>507</v>
      </c>
      <c r="E80" s="11" t="s">
        <v>1563</v>
      </c>
      <c r="F80" s="10" t="s">
        <v>112</v>
      </c>
      <c r="G80" s="10"/>
      <c r="H80" s="11" t="s">
        <v>1564</v>
      </c>
      <c r="I80" s="10"/>
      <c r="J80" s="10"/>
      <c r="K80" s="10" t="s">
        <v>114</v>
      </c>
      <c r="L80" s="10" t="s">
        <v>114</v>
      </c>
      <c r="M80" s="11" t="s">
        <v>510</v>
      </c>
      <c r="N80" s="11" t="s">
        <v>1565</v>
      </c>
      <c r="O80" s="12" t="s">
        <v>116</v>
      </c>
      <c r="P80" s="12"/>
      <c r="Q80" s="10" t="str">
        <f t="shared" si="2"/>
        <v/>
      </c>
      <c r="R80" s="12"/>
      <c r="S80" s="13"/>
    </row>
    <row r="81" spans="1:19" ht="36" customHeight="1" x14ac:dyDescent="0.25">
      <c r="A81" s="10" t="s">
        <v>516</v>
      </c>
      <c r="B81" s="10" t="s">
        <v>500</v>
      </c>
      <c r="C81" s="10" t="s">
        <v>1566</v>
      </c>
      <c r="D81" s="11" t="s">
        <v>1567</v>
      </c>
      <c r="E81" s="11" t="s">
        <v>1568</v>
      </c>
      <c r="F81" s="10" t="s">
        <v>164</v>
      </c>
      <c r="G81" s="10"/>
      <c r="H81" s="11" t="s">
        <v>1569</v>
      </c>
      <c r="I81" s="10"/>
      <c r="J81" s="10"/>
      <c r="K81" s="10" t="s">
        <v>114</v>
      </c>
      <c r="L81" s="10" t="s">
        <v>114</v>
      </c>
      <c r="M81" s="11" t="s">
        <v>1570</v>
      </c>
      <c r="N81" s="11" t="s">
        <v>1571</v>
      </c>
      <c r="O81" s="12" t="s">
        <v>116</v>
      </c>
      <c r="P81" s="12"/>
      <c r="Q81" s="10" t="str">
        <f t="shared" si="2"/>
        <v/>
      </c>
      <c r="R81" s="12"/>
      <c r="S81" s="13"/>
    </row>
    <row r="82" spans="1:19" ht="36" customHeight="1" x14ac:dyDescent="0.25">
      <c r="A82" s="10" t="s">
        <v>522</v>
      </c>
      <c r="B82" s="10" t="s">
        <v>500</v>
      </c>
      <c r="C82" s="10" t="s">
        <v>1248</v>
      </c>
      <c r="D82" s="11" t="s">
        <v>1572</v>
      </c>
      <c r="E82" s="11" t="s">
        <v>1573</v>
      </c>
      <c r="F82" s="10" t="s">
        <v>140</v>
      </c>
      <c r="G82" s="10" t="s">
        <v>472</v>
      </c>
      <c r="H82" s="11" t="s">
        <v>1574</v>
      </c>
      <c r="I82" s="10">
        <v>5</v>
      </c>
      <c r="J82" s="10">
        <v>40</v>
      </c>
      <c r="K82" s="10" t="s">
        <v>114</v>
      </c>
      <c r="L82" s="10" t="s">
        <v>122</v>
      </c>
      <c r="M82" s="11"/>
      <c r="N82" s="11" t="s">
        <v>1261</v>
      </c>
      <c r="O82" s="12" t="s">
        <v>116</v>
      </c>
      <c r="P82" s="12"/>
      <c r="Q82" s="10" t="str">
        <f t="shared" si="2"/>
        <v>Sin dato</v>
      </c>
      <c r="R82" s="12"/>
      <c r="S82" s="13"/>
    </row>
    <row r="83" spans="1:19" ht="36" customHeight="1" x14ac:dyDescent="0.25">
      <c r="A83" s="10" t="s">
        <v>527</v>
      </c>
      <c r="B83" s="10" t="s">
        <v>500</v>
      </c>
      <c r="C83" s="10" t="s">
        <v>1248</v>
      </c>
      <c r="D83" s="11" t="s">
        <v>1575</v>
      </c>
      <c r="E83" s="11" t="s">
        <v>1576</v>
      </c>
      <c r="F83" s="10" t="s">
        <v>140</v>
      </c>
      <c r="G83" s="10" t="s">
        <v>487</v>
      </c>
      <c r="H83" s="11" t="s">
        <v>1577</v>
      </c>
      <c r="I83" s="10">
        <v>0</v>
      </c>
      <c r="J83" s="10">
        <v>80</v>
      </c>
      <c r="K83" s="10" t="s">
        <v>114</v>
      </c>
      <c r="L83" s="10" t="s">
        <v>122</v>
      </c>
      <c r="M83" s="11"/>
      <c r="N83" s="11" t="s">
        <v>1261</v>
      </c>
      <c r="O83" s="12" t="s">
        <v>116</v>
      </c>
      <c r="P83" s="12"/>
      <c r="Q83" s="10" t="str">
        <f t="shared" si="2"/>
        <v>Sin dato</v>
      </c>
      <c r="R83" s="12"/>
      <c r="S83" s="13"/>
    </row>
    <row r="84" spans="1:19" ht="36" customHeight="1" x14ac:dyDescent="0.25">
      <c r="A84" s="10" t="s">
        <v>1578</v>
      </c>
      <c r="B84" s="10" t="s">
        <v>500</v>
      </c>
      <c r="C84" s="10" t="s">
        <v>1248</v>
      </c>
      <c r="D84" s="11" t="s">
        <v>1579</v>
      </c>
      <c r="E84" s="11" t="s">
        <v>1580</v>
      </c>
      <c r="F84" s="10" t="s">
        <v>140</v>
      </c>
      <c r="G84" s="10" t="s">
        <v>1581</v>
      </c>
      <c r="H84" s="11" t="s">
        <v>1582</v>
      </c>
      <c r="I84" s="10">
        <v>0</v>
      </c>
      <c r="J84" s="10">
        <v>3000</v>
      </c>
      <c r="K84" s="10" t="s">
        <v>114</v>
      </c>
      <c r="L84" s="10" t="s">
        <v>122</v>
      </c>
      <c r="M84" s="11"/>
      <c r="N84" s="11" t="s">
        <v>1261</v>
      </c>
      <c r="O84" s="12" t="s">
        <v>116</v>
      </c>
      <c r="P84" s="12"/>
      <c r="Q84" s="10" t="str">
        <f t="shared" si="2"/>
        <v>Sin dato</v>
      </c>
      <c r="R84" s="12"/>
      <c r="S84" s="13"/>
    </row>
  </sheetData>
  <autoFilter ref="A8:S84" xr:uid="{00000000-0009-0000-0000-000004000000}"/>
  <conditionalFormatting sqref="O9:O84">
    <cfRule type="cellIs" dxfId="3" priority="1" operator="equal">
      <formula>"Conforme"</formula>
    </cfRule>
    <cfRule type="cellIs" dxfId="2" priority="2" operator="equal">
      <formula>"No conforme"</formula>
    </cfRule>
    <cfRule type="cellIs" dxfId="1" priority="3" operator="equal">
      <formula>"Requiere reemplazo"</formula>
    </cfRule>
  </conditionalFormatting>
  <conditionalFormatting sqref="Q9:Q84">
    <cfRule type="cellIs" dxfId="0" priority="4" operator="equal">
      <formula>"Fuera de rango"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400-000000000000}">
          <x14:formula1>
            <xm:f>Listas!$A$2:$A$6</xm:f>
          </x14:formula1>
          <xm:sqref>O9:O84</xm:sqref>
        </x14:dataValidation>
        <x14:dataValidation type="list" allowBlank="1" xr:uid="{00000000-0002-0000-0400-000001000000}">
          <x14:formula1>
            <xm:f>Listas!$B$2:$B$4</xm:f>
          </x14:formula1>
          <xm:sqref>R9:R84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72"/>
  <sheetViews>
    <sheetView showGridLines="0" workbookViewId="0"/>
  </sheetViews>
  <sheetFormatPr baseColWidth="10" defaultColWidth="9.140625" defaultRowHeight="15" x14ac:dyDescent="0.25"/>
  <cols>
    <col min="1" max="1" width="46" customWidth="1"/>
    <col min="2" max="2" width="9" customWidth="1"/>
    <col min="3" max="3" width="11" customWidth="1"/>
    <col min="4" max="4" width="13" customWidth="1"/>
    <col min="5" max="5" width="20" customWidth="1"/>
    <col min="6" max="6" width="11" customWidth="1"/>
    <col min="7" max="7" width="12" customWidth="1"/>
    <col min="8" max="9" width="15" customWidth="1"/>
  </cols>
  <sheetData>
    <row r="1" spans="1:9" ht="16.5" x14ac:dyDescent="0.25">
      <c r="A1" s="14" t="s">
        <v>1583</v>
      </c>
    </row>
    <row r="2" spans="1:9" x14ac:dyDescent="0.25">
      <c r="A2" s="2" t="s">
        <v>1584</v>
      </c>
    </row>
    <row r="4" spans="1:9" x14ac:dyDescent="0.25">
      <c r="A4" s="3" t="s">
        <v>1585</v>
      </c>
    </row>
    <row r="5" spans="1:9" ht="30" customHeight="1" x14ac:dyDescent="0.25">
      <c r="A5" s="9" t="s">
        <v>89</v>
      </c>
      <c r="B5" s="9" t="s">
        <v>1586</v>
      </c>
      <c r="C5" s="9" t="s">
        <v>1587</v>
      </c>
      <c r="D5" s="9" t="s">
        <v>1588</v>
      </c>
      <c r="E5" s="9" t="s">
        <v>1589</v>
      </c>
      <c r="F5" s="9" t="s">
        <v>1590</v>
      </c>
      <c r="G5" s="9" t="s">
        <v>116</v>
      </c>
      <c r="H5" s="9" t="s">
        <v>1591</v>
      </c>
      <c r="I5" s="9" t="s">
        <v>1592</v>
      </c>
    </row>
    <row r="6" spans="1:9" x14ac:dyDescent="0.25">
      <c r="A6" s="15" t="s">
        <v>108</v>
      </c>
      <c r="B6" s="15">
        <f>COUNTIF('APMA-370 (CO)'!$B$9:$B$88,$A6)</f>
        <v>5</v>
      </c>
      <c r="C6" s="15">
        <f>COUNTIFS('APMA-370 (CO)'!$B$9:$B$88,$A6,'APMA-370 (CO)'!$O$9:$O$88,"Conforme")</f>
        <v>0</v>
      </c>
      <c r="D6" s="15">
        <f>COUNTIFS('APMA-370 (CO)'!$B$9:$B$88,$A6,'APMA-370 (CO)'!$O$9:$O$88,"No conforme")</f>
        <v>0</v>
      </c>
      <c r="E6" s="15">
        <f>COUNTIFS('APMA-370 (CO)'!$B$9:$B$88,$A6,'APMA-370 (CO)'!$O$9:$O$88,"Requiere reemplazo")</f>
        <v>0</v>
      </c>
      <c r="F6" s="15">
        <f>COUNTIFS('APMA-370 (CO)'!$B$9:$B$88,$A6,'APMA-370 (CO)'!$O$9:$O$88,"No aplica")</f>
        <v>0</v>
      </c>
      <c r="G6" s="15">
        <f>COUNTIFS('APMA-370 (CO)'!$B$9:$B$88,$A6,'APMA-370 (CO)'!$O$9:$O$88,"Pendiente")</f>
        <v>5</v>
      </c>
      <c r="H6" s="16" t="str">
        <f t="shared" ref="H6:H16" si="0">IFERROR($C6/($B6-$F6-$G6),"")</f>
        <v/>
      </c>
      <c r="I6" s="15">
        <f>COUNTIFS('APMA-370 (CO)'!$B$9:$B$88,$A6,'APMA-370 (CO)'!$Q$9:$Q$88,"Fuera de rango")</f>
        <v>0</v>
      </c>
    </row>
    <row r="7" spans="1:9" x14ac:dyDescent="0.25">
      <c r="A7" s="15" t="s">
        <v>145</v>
      </c>
      <c r="B7" s="15">
        <f>COUNTIF('APMA-370 (CO)'!$B$9:$B$88,$A7)</f>
        <v>5</v>
      </c>
      <c r="C7" s="15">
        <f>COUNTIFS('APMA-370 (CO)'!$B$9:$B$88,$A7,'APMA-370 (CO)'!$O$9:$O$88,"Conforme")</f>
        <v>0</v>
      </c>
      <c r="D7" s="15">
        <f>COUNTIFS('APMA-370 (CO)'!$B$9:$B$88,$A7,'APMA-370 (CO)'!$O$9:$O$88,"No conforme")</f>
        <v>0</v>
      </c>
      <c r="E7" s="15">
        <f>COUNTIFS('APMA-370 (CO)'!$B$9:$B$88,$A7,'APMA-370 (CO)'!$O$9:$O$88,"Requiere reemplazo")</f>
        <v>0</v>
      </c>
      <c r="F7" s="15">
        <f>COUNTIFS('APMA-370 (CO)'!$B$9:$B$88,$A7,'APMA-370 (CO)'!$O$9:$O$88,"No aplica")</f>
        <v>0</v>
      </c>
      <c r="G7" s="15">
        <f>COUNTIFS('APMA-370 (CO)'!$B$9:$B$88,$A7,'APMA-370 (CO)'!$O$9:$O$88,"Pendiente")</f>
        <v>5</v>
      </c>
      <c r="H7" s="16" t="str">
        <f t="shared" si="0"/>
        <v/>
      </c>
      <c r="I7" s="15">
        <f>COUNTIFS('APMA-370 (CO)'!$B$9:$B$88,$A7,'APMA-370 (CO)'!$Q$9:$Q$88,"Fuera de rango")</f>
        <v>0</v>
      </c>
    </row>
    <row r="8" spans="1:9" x14ac:dyDescent="0.25">
      <c r="A8" s="15" t="s">
        <v>172</v>
      </c>
      <c r="B8" s="15">
        <f>COUNTIF('APMA-370 (CO)'!$B$9:$B$88,$A8)</f>
        <v>7</v>
      </c>
      <c r="C8" s="15">
        <f>COUNTIFS('APMA-370 (CO)'!$B$9:$B$88,$A8,'APMA-370 (CO)'!$O$9:$O$88,"Conforme")</f>
        <v>0</v>
      </c>
      <c r="D8" s="15">
        <f>COUNTIFS('APMA-370 (CO)'!$B$9:$B$88,$A8,'APMA-370 (CO)'!$O$9:$O$88,"No conforme")</f>
        <v>0</v>
      </c>
      <c r="E8" s="15">
        <f>COUNTIFS('APMA-370 (CO)'!$B$9:$B$88,$A8,'APMA-370 (CO)'!$O$9:$O$88,"Requiere reemplazo")</f>
        <v>0</v>
      </c>
      <c r="F8" s="15">
        <f>COUNTIFS('APMA-370 (CO)'!$B$9:$B$88,$A8,'APMA-370 (CO)'!$O$9:$O$88,"No aplica")</f>
        <v>0</v>
      </c>
      <c r="G8" s="15">
        <f>COUNTIFS('APMA-370 (CO)'!$B$9:$B$88,$A8,'APMA-370 (CO)'!$O$9:$O$88,"Pendiente")</f>
        <v>7</v>
      </c>
      <c r="H8" s="16" t="str">
        <f t="shared" si="0"/>
        <v/>
      </c>
      <c r="I8" s="15">
        <f>COUNTIFS('APMA-370 (CO)'!$B$9:$B$88,$A8,'APMA-370 (CO)'!$Q$9:$Q$88,"Fuera de rango")</f>
        <v>0</v>
      </c>
    </row>
    <row r="9" spans="1:9" x14ac:dyDescent="0.25">
      <c r="A9" s="15" t="s">
        <v>208</v>
      </c>
      <c r="B9" s="15">
        <f>COUNTIF('APMA-370 (CO)'!$B$9:$B$88,$A9)</f>
        <v>10</v>
      </c>
      <c r="C9" s="15">
        <f>COUNTIFS('APMA-370 (CO)'!$B$9:$B$88,$A9,'APMA-370 (CO)'!$O$9:$O$88,"Conforme")</f>
        <v>0</v>
      </c>
      <c r="D9" s="15">
        <f>COUNTIFS('APMA-370 (CO)'!$B$9:$B$88,$A9,'APMA-370 (CO)'!$O$9:$O$88,"No conforme")</f>
        <v>0</v>
      </c>
      <c r="E9" s="15">
        <f>COUNTIFS('APMA-370 (CO)'!$B$9:$B$88,$A9,'APMA-370 (CO)'!$O$9:$O$88,"Requiere reemplazo")</f>
        <v>0</v>
      </c>
      <c r="F9" s="15">
        <f>COUNTIFS('APMA-370 (CO)'!$B$9:$B$88,$A9,'APMA-370 (CO)'!$O$9:$O$88,"No aplica")</f>
        <v>0</v>
      </c>
      <c r="G9" s="15">
        <f>COUNTIFS('APMA-370 (CO)'!$B$9:$B$88,$A9,'APMA-370 (CO)'!$O$9:$O$88,"Pendiente")</f>
        <v>10</v>
      </c>
      <c r="H9" s="16" t="str">
        <f t="shared" si="0"/>
        <v/>
      </c>
      <c r="I9" s="15">
        <f>COUNTIFS('APMA-370 (CO)'!$B$9:$B$88,$A9,'APMA-370 (CO)'!$Q$9:$Q$88,"Fuera de rango")</f>
        <v>0</v>
      </c>
    </row>
    <row r="10" spans="1:9" x14ac:dyDescent="0.25">
      <c r="A10" s="15" t="s">
        <v>264</v>
      </c>
      <c r="B10" s="15">
        <f>COUNTIF('APMA-370 (CO)'!$B$9:$B$88,$A10)</f>
        <v>7</v>
      </c>
      <c r="C10" s="15">
        <f>COUNTIFS('APMA-370 (CO)'!$B$9:$B$88,$A10,'APMA-370 (CO)'!$O$9:$O$88,"Conforme")</f>
        <v>0</v>
      </c>
      <c r="D10" s="15">
        <f>COUNTIFS('APMA-370 (CO)'!$B$9:$B$88,$A10,'APMA-370 (CO)'!$O$9:$O$88,"No conforme")</f>
        <v>0</v>
      </c>
      <c r="E10" s="15">
        <f>COUNTIFS('APMA-370 (CO)'!$B$9:$B$88,$A10,'APMA-370 (CO)'!$O$9:$O$88,"Requiere reemplazo")</f>
        <v>0</v>
      </c>
      <c r="F10" s="15">
        <f>COUNTIFS('APMA-370 (CO)'!$B$9:$B$88,$A10,'APMA-370 (CO)'!$O$9:$O$88,"No aplica")</f>
        <v>0</v>
      </c>
      <c r="G10" s="15">
        <f>COUNTIFS('APMA-370 (CO)'!$B$9:$B$88,$A10,'APMA-370 (CO)'!$O$9:$O$88,"Pendiente")</f>
        <v>7</v>
      </c>
      <c r="H10" s="16" t="str">
        <f t="shared" si="0"/>
        <v/>
      </c>
      <c r="I10" s="15">
        <f>COUNTIFS('APMA-370 (CO)'!$B$9:$B$88,$A10,'APMA-370 (CO)'!$Q$9:$Q$88,"Fuera de rango")</f>
        <v>0</v>
      </c>
    </row>
    <row r="11" spans="1:9" x14ac:dyDescent="0.25">
      <c r="A11" s="15" t="s">
        <v>300</v>
      </c>
      <c r="B11" s="15">
        <f>COUNTIF('APMA-370 (CO)'!$B$9:$B$88,$A11)</f>
        <v>10</v>
      </c>
      <c r="C11" s="15">
        <f>COUNTIFS('APMA-370 (CO)'!$B$9:$B$88,$A11,'APMA-370 (CO)'!$O$9:$O$88,"Conforme")</f>
        <v>0</v>
      </c>
      <c r="D11" s="15">
        <f>COUNTIFS('APMA-370 (CO)'!$B$9:$B$88,$A11,'APMA-370 (CO)'!$O$9:$O$88,"No conforme")</f>
        <v>0</v>
      </c>
      <c r="E11" s="15">
        <f>COUNTIFS('APMA-370 (CO)'!$B$9:$B$88,$A11,'APMA-370 (CO)'!$O$9:$O$88,"Requiere reemplazo")</f>
        <v>0</v>
      </c>
      <c r="F11" s="15">
        <f>COUNTIFS('APMA-370 (CO)'!$B$9:$B$88,$A11,'APMA-370 (CO)'!$O$9:$O$88,"No aplica")</f>
        <v>0</v>
      </c>
      <c r="G11" s="15">
        <f>COUNTIFS('APMA-370 (CO)'!$B$9:$B$88,$A11,'APMA-370 (CO)'!$O$9:$O$88,"Pendiente")</f>
        <v>10</v>
      </c>
      <c r="H11" s="16" t="str">
        <f t="shared" si="0"/>
        <v/>
      </c>
      <c r="I11" s="15">
        <f>COUNTIFS('APMA-370 (CO)'!$B$9:$B$88,$A11,'APMA-370 (CO)'!$Q$9:$Q$88,"Fuera de rango")</f>
        <v>0</v>
      </c>
    </row>
    <row r="12" spans="1:9" x14ac:dyDescent="0.25">
      <c r="A12" s="15" t="s">
        <v>356</v>
      </c>
      <c r="B12" s="15">
        <f>COUNTIF('APMA-370 (CO)'!$B$9:$B$88,$A12)</f>
        <v>14</v>
      </c>
      <c r="C12" s="15">
        <f>COUNTIFS('APMA-370 (CO)'!$B$9:$B$88,$A12,'APMA-370 (CO)'!$O$9:$O$88,"Conforme")</f>
        <v>0</v>
      </c>
      <c r="D12" s="15">
        <f>COUNTIFS('APMA-370 (CO)'!$B$9:$B$88,$A12,'APMA-370 (CO)'!$O$9:$O$88,"No conforme")</f>
        <v>0</v>
      </c>
      <c r="E12" s="15">
        <f>COUNTIFS('APMA-370 (CO)'!$B$9:$B$88,$A12,'APMA-370 (CO)'!$O$9:$O$88,"Requiere reemplazo")</f>
        <v>0</v>
      </c>
      <c r="F12" s="15">
        <f>COUNTIFS('APMA-370 (CO)'!$B$9:$B$88,$A12,'APMA-370 (CO)'!$O$9:$O$88,"No aplica")</f>
        <v>0</v>
      </c>
      <c r="G12" s="15">
        <f>COUNTIFS('APMA-370 (CO)'!$B$9:$B$88,$A12,'APMA-370 (CO)'!$O$9:$O$88,"Pendiente")</f>
        <v>14</v>
      </c>
      <c r="H12" s="16" t="str">
        <f t="shared" si="0"/>
        <v/>
      </c>
      <c r="I12" s="15">
        <f>COUNTIFS('APMA-370 (CO)'!$B$9:$B$88,$A12,'APMA-370 (CO)'!$Q$9:$Q$88,"Fuera de rango")</f>
        <v>0</v>
      </c>
    </row>
    <row r="13" spans="1:9" x14ac:dyDescent="0.25">
      <c r="A13" s="15" t="s">
        <v>435</v>
      </c>
      <c r="B13" s="15">
        <f>COUNTIF('APMA-370 (CO)'!$B$9:$B$88,$A13)</f>
        <v>6</v>
      </c>
      <c r="C13" s="15">
        <f>COUNTIFS('APMA-370 (CO)'!$B$9:$B$88,$A13,'APMA-370 (CO)'!$O$9:$O$88,"Conforme")</f>
        <v>0</v>
      </c>
      <c r="D13" s="15">
        <f>COUNTIFS('APMA-370 (CO)'!$B$9:$B$88,$A13,'APMA-370 (CO)'!$O$9:$O$88,"No conforme")</f>
        <v>0</v>
      </c>
      <c r="E13" s="15">
        <f>COUNTIFS('APMA-370 (CO)'!$B$9:$B$88,$A13,'APMA-370 (CO)'!$O$9:$O$88,"Requiere reemplazo")</f>
        <v>0</v>
      </c>
      <c r="F13" s="15">
        <f>COUNTIFS('APMA-370 (CO)'!$B$9:$B$88,$A13,'APMA-370 (CO)'!$O$9:$O$88,"No aplica")</f>
        <v>0</v>
      </c>
      <c r="G13" s="15">
        <f>COUNTIFS('APMA-370 (CO)'!$B$9:$B$88,$A13,'APMA-370 (CO)'!$O$9:$O$88,"Pendiente")</f>
        <v>6</v>
      </c>
      <c r="H13" s="16" t="str">
        <f t="shared" si="0"/>
        <v/>
      </c>
      <c r="I13" s="15">
        <f>COUNTIFS('APMA-370 (CO)'!$B$9:$B$88,$A13,'APMA-370 (CO)'!$Q$9:$Q$88,"Fuera de rango")</f>
        <v>0</v>
      </c>
    </row>
    <row r="14" spans="1:9" x14ac:dyDescent="0.25">
      <c r="A14" s="15" t="s">
        <v>468</v>
      </c>
      <c r="B14" s="15">
        <f>COUNTIF('APMA-370 (CO)'!$B$9:$B$88,$A14)</f>
        <v>6</v>
      </c>
      <c r="C14" s="15">
        <f>COUNTIFS('APMA-370 (CO)'!$B$9:$B$88,$A14,'APMA-370 (CO)'!$O$9:$O$88,"Conforme")</f>
        <v>0</v>
      </c>
      <c r="D14" s="15">
        <f>COUNTIFS('APMA-370 (CO)'!$B$9:$B$88,$A14,'APMA-370 (CO)'!$O$9:$O$88,"No conforme")</f>
        <v>0</v>
      </c>
      <c r="E14" s="15">
        <f>COUNTIFS('APMA-370 (CO)'!$B$9:$B$88,$A14,'APMA-370 (CO)'!$O$9:$O$88,"Requiere reemplazo")</f>
        <v>0</v>
      </c>
      <c r="F14" s="15">
        <f>COUNTIFS('APMA-370 (CO)'!$B$9:$B$88,$A14,'APMA-370 (CO)'!$O$9:$O$88,"No aplica")</f>
        <v>0</v>
      </c>
      <c r="G14" s="15">
        <f>COUNTIFS('APMA-370 (CO)'!$B$9:$B$88,$A14,'APMA-370 (CO)'!$O$9:$O$88,"Pendiente")</f>
        <v>6</v>
      </c>
      <c r="H14" s="16" t="str">
        <f t="shared" si="0"/>
        <v/>
      </c>
      <c r="I14" s="15">
        <f>COUNTIFS('APMA-370 (CO)'!$B$9:$B$88,$A14,'APMA-370 (CO)'!$Q$9:$Q$88,"Fuera de rango")</f>
        <v>0</v>
      </c>
    </row>
    <row r="15" spans="1:9" x14ac:dyDescent="0.25">
      <c r="A15" s="15" t="s">
        <v>500</v>
      </c>
      <c r="B15" s="15">
        <f>COUNTIF('APMA-370 (CO)'!$B$9:$B$88,$A15)</f>
        <v>10</v>
      </c>
      <c r="C15" s="15">
        <f>COUNTIFS('APMA-370 (CO)'!$B$9:$B$88,$A15,'APMA-370 (CO)'!$O$9:$O$88,"Conforme")</f>
        <v>0</v>
      </c>
      <c r="D15" s="15">
        <f>COUNTIFS('APMA-370 (CO)'!$B$9:$B$88,$A15,'APMA-370 (CO)'!$O$9:$O$88,"No conforme")</f>
        <v>0</v>
      </c>
      <c r="E15" s="15">
        <f>COUNTIFS('APMA-370 (CO)'!$B$9:$B$88,$A15,'APMA-370 (CO)'!$O$9:$O$88,"Requiere reemplazo")</f>
        <v>0</v>
      </c>
      <c r="F15" s="15">
        <f>COUNTIFS('APMA-370 (CO)'!$B$9:$B$88,$A15,'APMA-370 (CO)'!$O$9:$O$88,"No aplica")</f>
        <v>0</v>
      </c>
      <c r="G15" s="15">
        <f>COUNTIFS('APMA-370 (CO)'!$B$9:$B$88,$A15,'APMA-370 (CO)'!$O$9:$O$88,"Pendiente")</f>
        <v>10</v>
      </c>
      <c r="H15" s="16" t="str">
        <f t="shared" si="0"/>
        <v/>
      </c>
      <c r="I15" s="15">
        <f>COUNTIFS('APMA-370 (CO)'!$B$9:$B$88,$A15,'APMA-370 (CO)'!$Q$9:$Q$88,"Fuera de rango")</f>
        <v>0</v>
      </c>
    </row>
    <row r="16" spans="1:9" x14ac:dyDescent="0.25">
      <c r="A16" s="15" t="s">
        <v>1593</v>
      </c>
      <c r="B16" s="15">
        <f t="shared" ref="B16:G16" si="1">SUM(B6:B15)</f>
        <v>80</v>
      </c>
      <c r="C16" s="15">
        <f t="shared" si="1"/>
        <v>0</v>
      </c>
      <c r="D16" s="15">
        <f t="shared" si="1"/>
        <v>0</v>
      </c>
      <c r="E16" s="15">
        <f t="shared" si="1"/>
        <v>0</v>
      </c>
      <c r="F16" s="15">
        <f t="shared" si="1"/>
        <v>0</v>
      </c>
      <c r="G16" s="15">
        <f t="shared" si="1"/>
        <v>80</v>
      </c>
      <c r="H16" s="16" t="str">
        <f t="shared" si="0"/>
        <v/>
      </c>
      <c r="I16" s="15">
        <f>SUM(I6:I15)</f>
        <v>0</v>
      </c>
    </row>
    <row r="19" spans="1:9" x14ac:dyDescent="0.25">
      <c r="A19" s="3" t="s">
        <v>1594</v>
      </c>
    </row>
    <row r="20" spans="1:9" ht="30" customHeight="1" x14ac:dyDescent="0.25">
      <c r="A20" s="9" t="s">
        <v>89</v>
      </c>
      <c r="B20" s="9" t="s">
        <v>1586</v>
      </c>
      <c r="C20" s="9" t="s">
        <v>1587</v>
      </c>
      <c r="D20" s="9" t="s">
        <v>1588</v>
      </c>
      <c r="E20" s="9" t="s">
        <v>1589</v>
      </c>
      <c r="F20" s="9" t="s">
        <v>1590</v>
      </c>
      <c r="G20" s="9" t="s">
        <v>116</v>
      </c>
      <c r="H20" s="9" t="s">
        <v>1591</v>
      </c>
      <c r="I20" s="9" t="s">
        <v>1592</v>
      </c>
    </row>
    <row r="21" spans="1:9" x14ac:dyDescent="0.25">
      <c r="A21" s="15" t="s">
        <v>108</v>
      </c>
      <c r="B21" s="15">
        <f>COUNTIF('APSA-370 (SO2)'!$B$9:$B$104,$A21)</f>
        <v>6</v>
      </c>
      <c r="C21" s="15">
        <f>COUNTIFS('APSA-370 (SO2)'!$B$9:$B$104,$A21,'APSA-370 (SO2)'!$O$9:$O$104,"Conforme")</f>
        <v>0</v>
      </c>
      <c r="D21" s="15">
        <f>COUNTIFS('APSA-370 (SO2)'!$B$9:$B$104,$A21,'APSA-370 (SO2)'!$O$9:$O$104,"No conforme")</f>
        <v>0</v>
      </c>
      <c r="E21" s="15">
        <f>COUNTIFS('APSA-370 (SO2)'!$B$9:$B$104,$A21,'APSA-370 (SO2)'!$O$9:$O$104,"Requiere reemplazo")</f>
        <v>0</v>
      </c>
      <c r="F21" s="15">
        <f>COUNTIFS('APSA-370 (SO2)'!$B$9:$B$104,$A21,'APSA-370 (SO2)'!$O$9:$O$104,"No aplica")</f>
        <v>0</v>
      </c>
      <c r="G21" s="15">
        <f>COUNTIFS('APSA-370 (SO2)'!$B$9:$B$104,$A21,'APSA-370 (SO2)'!$O$9:$O$104,"Pendiente")</f>
        <v>6</v>
      </c>
      <c r="H21" s="16" t="str">
        <f t="shared" ref="H21:H31" si="2">IFERROR($C21/($B21-$F21-$G21),"")</f>
        <v/>
      </c>
      <c r="I21" s="15">
        <f>COUNTIFS('APSA-370 (SO2)'!$B$9:$B$104,$A21,'APSA-370 (SO2)'!$Q$9:$Q$104,"Fuera de rango")</f>
        <v>0</v>
      </c>
    </row>
    <row r="22" spans="1:9" x14ac:dyDescent="0.25">
      <c r="A22" s="15" t="s">
        <v>145</v>
      </c>
      <c r="B22" s="15">
        <f>COUNTIF('APSA-370 (SO2)'!$B$9:$B$104,$A22)</f>
        <v>4</v>
      </c>
      <c r="C22" s="15">
        <f>COUNTIFS('APSA-370 (SO2)'!$B$9:$B$104,$A22,'APSA-370 (SO2)'!$O$9:$O$104,"Conforme")</f>
        <v>0</v>
      </c>
      <c r="D22" s="15">
        <f>COUNTIFS('APSA-370 (SO2)'!$B$9:$B$104,$A22,'APSA-370 (SO2)'!$O$9:$O$104,"No conforme")</f>
        <v>0</v>
      </c>
      <c r="E22" s="15">
        <f>COUNTIFS('APSA-370 (SO2)'!$B$9:$B$104,$A22,'APSA-370 (SO2)'!$O$9:$O$104,"Requiere reemplazo")</f>
        <v>0</v>
      </c>
      <c r="F22" s="15">
        <f>COUNTIFS('APSA-370 (SO2)'!$B$9:$B$104,$A22,'APSA-370 (SO2)'!$O$9:$O$104,"No aplica")</f>
        <v>0</v>
      </c>
      <c r="G22" s="15">
        <f>COUNTIFS('APSA-370 (SO2)'!$B$9:$B$104,$A22,'APSA-370 (SO2)'!$O$9:$O$104,"Pendiente")</f>
        <v>4</v>
      </c>
      <c r="H22" s="16" t="str">
        <f t="shared" si="2"/>
        <v/>
      </c>
      <c r="I22" s="15">
        <f>COUNTIFS('APSA-370 (SO2)'!$B$9:$B$104,$A22,'APSA-370 (SO2)'!$Q$9:$Q$104,"Fuera de rango")</f>
        <v>0</v>
      </c>
    </row>
    <row r="23" spans="1:9" x14ac:dyDescent="0.25">
      <c r="A23" s="15" t="s">
        <v>172</v>
      </c>
      <c r="B23" s="15">
        <f>COUNTIF('APSA-370 (SO2)'!$B$9:$B$104,$A23)</f>
        <v>14</v>
      </c>
      <c r="C23" s="15">
        <f>COUNTIFS('APSA-370 (SO2)'!$B$9:$B$104,$A23,'APSA-370 (SO2)'!$O$9:$O$104,"Conforme")</f>
        <v>0</v>
      </c>
      <c r="D23" s="15">
        <f>COUNTIFS('APSA-370 (SO2)'!$B$9:$B$104,$A23,'APSA-370 (SO2)'!$O$9:$O$104,"No conforme")</f>
        <v>0</v>
      </c>
      <c r="E23" s="15">
        <f>COUNTIFS('APSA-370 (SO2)'!$B$9:$B$104,$A23,'APSA-370 (SO2)'!$O$9:$O$104,"Requiere reemplazo")</f>
        <v>0</v>
      </c>
      <c r="F23" s="15">
        <f>COUNTIFS('APSA-370 (SO2)'!$B$9:$B$104,$A23,'APSA-370 (SO2)'!$O$9:$O$104,"No aplica")</f>
        <v>0</v>
      </c>
      <c r="G23" s="15">
        <f>COUNTIFS('APSA-370 (SO2)'!$B$9:$B$104,$A23,'APSA-370 (SO2)'!$O$9:$O$104,"Pendiente")</f>
        <v>14</v>
      </c>
      <c r="H23" s="16" t="str">
        <f t="shared" si="2"/>
        <v/>
      </c>
      <c r="I23" s="15">
        <f>COUNTIFS('APSA-370 (SO2)'!$B$9:$B$104,$A23,'APSA-370 (SO2)'!$Q$9:$Q$104,"Fuera de rango")</f>
        <v>0</v>
      </c>
    </row>
    <row r="24" spans="1:9" x14ac:dyDescent="0.25">
      <c r="A24" s="15" t="s">
        <v>208</v>
      </c>
      <c r="B24" s="15">
        <f>COUNTIF('APSA-370 (SO2)'!$B$9:$B$104,$A24)</f>
        <v>7</v>
      </c>
      <c r="C24" s="15">
        <f>COUNTIFS('APSA-370 (SO2)'!$B$9:$B$104,$A24,'APSA-370 (SO2)'!$O$9:$O$104,"Conforme")</f>
        <v>0</v>
      </c>
      <c r="D24" s="15">
        <f>COUNTIFS('APSA-370 (SO2)'!$B$9:$B$104,$A24,'APSA-370 (SO2)'!$O$9:$O$104,"No conforme")</f>
        <v>0</v>
      </c>
      <c r="E24" s="15">
        <f>COUNTIFS('APSA-370 (SO2)'!$B$9:$B$104,$A24,'APSA-370 (SO2)'!$O$9:$O$104,"Requiere reemplazo")</f>
        <v>0</v>
      </c>
      <c r="F24" s="15">
        <f>COUNTIFS('APSA-370 (SO2)'!$B$9:$B$104,$A24,'APSA-370 (SO2)'!$O$9:$O$104,"No aplica")</f>
        <v>0</v>
      </c>
      <c r="G24" s="15">
        <f>COUNTIFS('APSA-370 (SO2)'!$B$9:$B$104,$A24,'APSA-370 (SO2)'!$O$9:$O$104,"Pendiente")</f>
        <v>7</v>
      </c>
      <c r="H24" s="16" t="str">
        <f t="shared" si="2"/>
        <v/>
      </c>
      <c r="I24" s="15">
        <f>COUNTIFS('APSA-370 (SO2)'!$B$9:$B$104,$A24,'APSA-370 (SO2)'!$Q$9:$Q$104,"Fuera de rango")</f>
        <v>0</v>
      </c>
    </row>
    <row r="25" spans="1:9" x14ac:dyDescent="0.25">
      <c r="A25" s="15" t="s">
        <v>264</v>
      </c>
      <c r="B25" s="15">
        <f>COUNTIF('APSA-370 (SO2)'!$B$9:$B$104,$A25)</f>
        <v>11</v>
      </c>
      <c r="C25" s="15">
        <f>COUNTIFS('APSA-370 (SO2)'!$B$9:$B$104,$A25,'APSA-370 (SO2)'!$O$9:$O$104,"Conforme")</f>
        <v>0</v>
      </c>
      <c r="D25" s="15">
        <f>COUNTIFS('APSA-370 (SO2)'!$B$9:$B$104,$A25,'APSA-370 (SO2)'!$O$9:$O$104,"No conforme")</f>
        <v>0</v>
      </c>
      <c r="E25" s="15">
        <f>COUNTIFS('APSA-370 (SO2)'!$B$9:$B$104,$A25,'APSA-370 (SO2)'!$O$9:$O$104,"Requiere reemplazo")</f>
        <v>0</v>
      </c>
      <c r="F25" s="15">
        <f>COUNTIFS('APSA-370 (SO2)'!$B$9:$B$104,$A25,'APSA-370 (SO2)'!$O$9:$O$104,"No aplica")</f>
        <v>0</v>
      </c>
      <c r="G25" s="15">
        <f>COUNTIFS('APSA-370 (SO2)'!$B$9:$B$104,$A25,'APSA-370 (SO2)'!$O$9:$O$104,"Pendiente")</f>
        <v>11</v>
      </c>
      <c r="H25" s="16" t="str">
        <f t="shared" si="2"/>
        <v/>
      </c>
      <c r="I25" s="15">
        <f>COUNTIFS('APSA-370 (SO2)'!$B$9:$B$104,$A25,'APSA-370 (SO2)'!$Q$9:$Q$104,"Fuera de rango")</f>
        <v>0</v>
      </c>
    </row>
    <row r="26" spans="1:9" x14ac:dyDescent="0.25">
      <c r="A26" s="15" t="s">
        <v>300</v>
      </c>
      <c r="B26" s="15">
        <f>COUNTIF('APSA-370 (SO2)'!$B$9:$B$104,$A26)</f>
        <v>13</v>
      </c>
      <c r="C26" s="15">
        <f>COUNTIFS('APSA-370 (SO2)'!$B$9:$B$104,$A26,'APSA-370 (SO2)'!$O$9:$O$104,"Conforme")</f>
        <v>0</v>
      </c>
      <c r="D26" s="15">
        <f>COUNTIFS('APSA-370 (SO2)'!$B$9:$B$104,$A26,'APSA-370 (SO2)'!$O$9:$O$104,"No conforme")</f>
        <v>0</v>
      </c>
      <c r="E26" s="15">
        <f>COUNTIFS('APSA-370 (SO2)'!$B$9:$B$104,$A26,'APSA-370 (SO2)'!$O$9:$O$104,"Requiere reemplazo")</f>
        <v>0</v>
      </c>
      <c r="F26" s="15">
        <f>COUNTIFS('APSA-370 (SO2)'!$B$9:$B$104,$A26,'APSA-370 (SO2)'!$O$9:$O$104,"No aplica")</f>
        <v>0</v>
      </c>
      <c r="G26" s="15">
        <f>COUNTIFS('APSA-370 (SO2)'!$B$9:$B$104,$A26,'APSA-370 (SO2)'!$O$9:$O$104,"Pendiente")</f>
        <v>13</v>
      </c>
      <c r="H26" s="16" t="str">
        <f t="shared" si="2"/>
        <v/>
      </c>
      <c r="I26" s="15">
        <f>COUNTIFS('APSA-370 (SO2)'!$B$9:$B$104,$A26,'APSA-370 (SO2)'!$Q$9:$Q$104,"Fuera de rango")</f>
        <v>0</v>
      </c>
    </row>
    <row r="27" spans="1:9" x14ac:dyDescent="0.25">
      <c r="A27" s="15" t="s">
        <v>356</v>
      </c>
      <c r="B27" s="15">
        <f>COUNTIF('APSA-370 (SO2)'!$B$9:$B$104,$A27)</f>
        <v>21</v>
      </c>
      <c r="C27" s="15">
        <f>COUNTIFS('APSA-370 (SO2)'!$B$9:$B$104,$A27,'APSA-370 (SO2)'!$O$9:$O$104,"Conforme")</f>
        <v>0</v>
      </c>
      <c r="D27" s="15">
        <f>COUNTIFS('APSA-370 (SO2)'!$B$9:$B$104,$A27,'APSA-370 (SO2)'!$O$9:$O$104,"No conforme")</f>
        <v>0</v>
      </c>
      <c r="E27" s="15">
        <f>COUNTIFS('APSA-370 (SO2)'!$B$9:$B$104,$A27,'APSA-370 (SO2)'!$O$9:$O$104,"Requiere reemplazo")</f>
        <v>0</v>
      </c>
      <c r="F27" s="15">
        <f>COUNTIFS('APSA-370 (SO2)'!$B$9:$B$104,$A27,'APSA-370 (SO2)'!$O$9:$O$104,"No aplica")</f>
        <v>0</v>
      </c>
      <c r="G27" s="15">
        <f>COUNTIFS('APSA-370 (SO2)'!$B$9:$B$104,$A27,'APSA-370 (SO2)'!$O$9:$O$104,"Pendiente")</f>
        <v>21</v>
      </c>
      <c r="H27" s="16" t="str">
        <f t="shared" si="2"/>
        <v/>
      </c>
      <c r="I27" s="15">
        <f>COUNTIFS('APSA-370 (SO2)'!$B$9:$B$104,$A27,'APSA-370 (SO2)'!$Q$9:$Q$104,"Fuera de rango")</f>
        <v>0</v>
      </c>
    </row>
    <row r="28" spans="1:9" x14ac:dyDescent="0.25">
      <c r="A28" s="15" t="s">
        <v>435</v>
      </c>
      <c r="B28" s="15">
        <f>COUNTIF('APSA-370 (SO2)'!$B$9:$B$104,$A28)</f>
        <v>5</v>
      </c>
      <c r="C28" s="15">
        <f>COUNTIFS('APSA-370 (SO2)'!$B$9:$B$104,$A28,'APSA-370 (SO2)'!$O$9:$O$104,"Conforme")</f>
        <v>0</v>
      </c>
      <c r="D28" s="15">
        <f>COUNTIFS('APSA-370 (SO2)'!$B$9:$B$104,$A28,'APSA-370 (SO2)'!$O$9:$O$104,"No conforme")</f>
        <v>0</v>
      </c>
      <c r="E28" s="15">
        <f>COUNTIFS('APSA-370 (SO2)'!$B$9:$B$104,$A28,'APSA-370 (SO2)'!$O$9:$O$104,"Requiere reemplazo")</f>
        <v>0</v>
      </c>
      <c r="F28" s="15">
        <f>COUNTIFS('APSA-370 (SO2)'!$B$9:$B$104,$A28,'APSA-370 (SO2)'!$O$9:$O$104,"No aplica")</f>
        <v>0</v>
      </c>
      <c r="G28" s="15">
        <f>COUNTIFS('APSA-370 (SO2)'!$B$9:$B$104,$A28,'APSA-370 (SO2)'!$O$9:$O$104,"Pendiente")</f>
        <v>5</v>
      </c>
      <c r="H28" s="16" t="str">
        <f t="shared" si="2"/>
        <v/>
      </c>
      <c r="I28" s="15">
        <f>COUNTIFS('APSA-370 (SO2)'!$B$9:$B$104,$A28,'APSA-370 (SO2)'!$Q$9:$Q$104,"Fuera de rango")</f>
        <v>0</v>
      </c>
    </row>
    <row r="29" spans="1:9" x14ac:dyDescent="0.25">
      <c r="A29" s="15" t="s">
        <v>468</v>
      </c>
      <c r="B29" s="15">
        <f>COUNTIF('APSA-370 (SO2)'!$B$9:$B$104,$A29)</f>
        <v>6</v>
      </c>
      <c r="C29" s="15">
        <f>COUNTIFS('APSA-370 (SO2)'!$B$9:$B$104,$A29,'APSA-370 (SO2)'!$O$9:$O$104,"Conforme")</f>
        <v>0</v>
      </c>
      <c r="D29" s="15">
        <f>COUNTIFS('APSA-370 (SO2)'!$B$9:$B$104,$A29,'APSA-370 (SO2)'!$O$9:$O$104,"No conforme")</f>
        <v>0</v>
      </c>
      <c r="E29" s="15">
        <f>COUNTIFS('APSA-370 (SO2)'!$B$9:$B$104,$A29,'APSA-370 (SO2)'!$O$9:$O$104,"Requiere reemplazo")</f>
        <v>0</v>
      </c>
      <c r="F29" s="15">
        <f>COUNTIFS('APSA-370 (SO2)'!$B$9:$B$104,$A29,'APSA-370 (SO2)'!$O$9:$O$104,"No aplica")</f>
        <v>0</v>
      </c>
      <c r="G29" s="15">
        <f>COUNTIFS('APSA-370 (SO2)'!$B$9:$B$104,$A29,'APSA-370 (SO2)'!$O$9:$O$104,"Pendiente")</f>
        <v>6</v>
      </c>
      <c r="H29" s="16" t="str">
        <f t="shared" si="2"/>
        <v/>
      </c>
      <c r="I29" s="15">
        <f>COUNTIFS('APSA-370 (SO2)'!$B$9:$B$104,$A29,'APSA-370 (SO2)'!$Q$9:$Q$104,"Fuera de rango")</f>
        <v>0</v>
      </c>
    </row>
    <row r="30" spans="1:9" x14ac:dyDescent="0.25">
      <c r="A30" s="15" t="s">
        <v>500</v>
      </c>
      <c r="B30" s="15">
        <f>COUNTIF('APSA-370 (SO2)'!$B$9:$B$104,$A30)</f>
        <v>9</v>
      </c>
      <c r="C30" s="15">
        <f>COUNTIFS('APSA-370 (SO2)'!$B$9:$B$104,$A30,'APSA-370 (SO2)'!$O$9:$O$104,"Conforme")</f>
        <v>0</v>
      </c>
      <c r="D30" s="15">
        <f>COUNTIFS('APSA-370 (SO2)'!$B$9:$B$104,$A30,'APSA-370 (SO2)'!$O$9:$O$104,"No conforme")</f>
        <v>0</v>
      </c>
      <c r="E30" s="15">
        <f>COUNTIFS('APSA-370 (SO2)'!$B$9:$B$104,$A30,'APSA-370 (SO2)'!$O$9:$O$104,"Requiere reemplazo")</f>
        <v>0</v>
      </c>
      <c r="F30" s="15">
        <f>COUNTIFS('APSA-370 (SO2)'!$B$9:$B$104,$A30,'APSA-370 (SO2)'!$O$9:$O$104,"No aplica")</f>
        <v>0</v>
      </c>
      <c r="G30" s="15">
        <f>COUNTIFS('APSA-370 (SO2)'!$B$9:$B$104,$A30,'APSA-370 (SO2)'!$O$9:$O$104,"Pendiente")</f>
        <v>9</v>
      </c>
      <c r="H30" s="16" t="str">
        <f t="shared" si="2"/>
        <v/>
      </c>
      <c r="I30" s="15">
        <f>COUNTIFS('APSA-370 (SO2)'!$B$9:$B$104,$A30,'APSA-370 (SO2)'!$Q$9:$Q$104,"Fuera de rango")</f>
        <v>0</v>
      </c>
    </row>
    <row r="31" spans="1:9" x14ac:dyDescent="0.25">
      <c r="A31" s="15" t="s">
        <v>1593</v>
      </c>
      <c r="B31" s="15">
        <f t="shared" ref="B31:G31" si="3">SUM(B21:B30)</f>
        <v>96</v>
      </c>
      <c r="C31" s="15">
        <f t="shared" si="3"/>
        <v>0</v>
      </c>
      <c r="D31" s="15">
        <f t="shared" si="3"/>
        <v>0</v>
      </c>
      <c r="E31" s="15">
        <f t="shared" si="3"/>
        <v>0</v>
      </c>
      <c r="F31" s="15">
        <f t="shared" si="3"/>
        <v>0</v>
      </c>
      <c r="G31" s="15">
        <f t="shared" si="3"/>
        <v>96</v>
      </c>
      <c r="H31" s="16" t="str">
        <f t="shared" si="2"/>
        <v/>
      </c>
      <c r="I31" s="15">
        <f>SUM(I21:I30)</f>
        <v>0</v>
      </c>
    </row>
    <row r="34" spans="1:9" x14ac:dyDescent="0.25">
      <c r="A34" s="3" t="s">
        <v>1595</v>
      </c>
    </row>
    <row r="35" spans="1:9" ht="30" customHeight="1" x14ac:dyDescent="0.25">
      <c r="A35" s="9" t="s">
        <v>89</v>
      </c>
      <c r="B35" s="9" t="s">
        <v>1586</v>
      </c>
      <c r="C35" s="9" t="s">
        <v>1587</v>
      </c>
      <c r="D35" s="9" t="s">
        <v>1588</v>
      </c>
      <c r="E35" s="9" t="s">
        <v>1589</v>
      </c>
      <c r="F35" s="9" t="s">
        <v>1590</v>
      </c>
      <c r="G35" s="9" t="s">
        <v>116</v>
      </c>
      <c r="H35" s="9" t="s">
        <v>1591</v>
      </c>
      <c r="I35" s="9" t="s">
        <v>1592</v>
      </c>
    </row>
    <row r="36" spans="1:9" x14ac:dyDescent="0.25">
      <c r="A36" s="15" t="s">
        <v>108</v>
      </c>
      <c r="B36" s="15">
        <f>COUNTIF('APOA-370 (O3)'!$B$9:$B$88,$A36)</f>
        <v>7</v>
      </c>
      <c r="C36" s="15">
        <f>COUNTIFS('APOA-370 (O3)'!$B$9:$B$88,$A36,'APOA-370 (O3)'!$O$9:$O$88,"Conforme")</f>
        <v>0</v>
      </c>
      <c r="D36" s="15">
        <f>COUNTIFS('APOA-370 (O3)'!$B$9:$B$88,$A36,'APOA-370 (O3)'!$O$9:$O$88,"No conforme")</f>
        <v>0</v>
      </c>
      <c r="E36" s="15">
        <f>COUNTIFS('APOA-370 (O3)'!$B$9:$B$88,$A36,'APOA-370 (O3)'!$O$9:$O$88,"Requiere reemplazo")</f>
        <v>0</v>
      </c>
      <c r="F36" s="15">
        <f>COUNTIFS('APOA-370 (O3)'!$B$9:$B$88,$A36,'APOA-370 (O3)'!$O$9:$O$88,"No aplica")</f>
        <v>0</v>
      </c>
      <c r="G36" s="15">
        <f>COUNTIFS('APOA-370 (O3)'!$B$9:$B$88,$A36,'APOA-370 (O3)'!$O$9:$O$88,"Pendiente")</f>
        <v>7</v>
      </c>
      <c r="H36" s="16" t="str">
        <f t="shared" ref="H36:H46" si="4">IFERROR($C36/($B36-$F36-$G36),"")</f>
        <v/>
      </c>
      <c r="I36" s="15">
        <f>COUNTIFS('APOA-370 (O3)'!$B$9:$B$88,$A36,'APOA-370 (O3)'!$Q$9:$Q$88,"Fuera de rango")</f>
        <v>0</v>
      </c>
    </row>
    <row r="37" spans="1:9" x14ac:dyDescent="0.25">
      <c r="A37" s="15" t="s">
        <v>145</v>
      </c>
      <c r="B37" s="15">
        <f>COUNTIF('APOA-370 (O3)'!$B$9:$B$88,$A37)</f>
        <v>6</v>
      </c>
      <c r="C37" s="15">
        <f>COUNTIFS('APOA-370 (O3)'!$B$9:$B$88,$A37,'APOA-370 (O3)'!$O$9:$O$88,"Conforme")</f>
        <v>0</v>
      </c>
      <c r="D37" s="15">
        <f>COUNTIFS('APOA-370 (O3)'!$B$9:$B$88,$A37,'APOA-370 (O3)'!$O$9:$O$88,"No conforme")</f>
        <v>0</v>
      </c>
      <c r="E37" s="15">
        <f>COUNTIFS('APOA-370 (O3)'!$B$9:$B$88,$A37,'APOA-370 (O3)'!$O$9:$O$88,"Requiere reemplazo")</f>
        <v>0</v>
      </c>
      <c r="F37" s="15">
        <f>COUNTIFS('APOA-370 (O3)'!$B$9:$B$88,$A37,'APOA-370 (O3)'!$O$9:$O$88,"No aplica")</f>
        <v>0</v>
      </c>
      <c r="G37" s="15">
        <f>COUNTIFS('APOA-370 (O3)'!$B$9:$B$88,$A37,'APOA-370 (O3)'!$O$9:$O$88,"Pendiente")</f>
        <v>6</v>
      </c>
      <c r="H37" s="16" t="str">
        <f t="shared" si="4"/>
        <v/>
      </c>
      <c r="I37" s="15">
        <f>COUNTIFS('APOA-370 (O3)'!$B$9:$B$88,$A37,'APOA-370 (O3)'!$Q$9:$Q$88,"Fuera de rango")</f>
        <v>0</v>
      </c>
    </row>
    <row r="38" spans="1:9" x14ac:dyDescent="0.25">
      <c r="A38" s="15" t="s">
        <v>172</v>
      </c>
      <c r="B38" s="15">
        <f>COUNTIF('APOA-370 (O3)'!$B$9:$B$88,$A38)</f>
        <v>7</v>
      </c>
      <c r="C38" s="15">
        <f>COUNTIFS('APOA-370 (O3)'!$B$9:$B$88,$A38,'APOA-370 (O3)'!$O$9:$O$88,"Conforme")</f>
        <v>0</v>
      </c>
      <c r="D38" s="15">
        <f>COUNTIFS('APOA-370 (O3)'!$B$9:$B$88,$A38,'APOA-370 (O3)'!$O$9:$O$88,"No conforme")</f>
        <v>0</v>
      </c>
      <c r="E38" s="15">
        <f>COUNTIFS('APOA-370 (O3)'!$B$9:$B$88,$A38,'APOA-370 (O3)'!$O$9:$O$88,"Requiere reemplazo")</f>
        <v>0</v>
      </c>
      <c r="F38" s="15">
        <f>COUNTIFS('APOA-370 (O3)'!$B$9:$B$88,$A38,'APOA-370 (O3)'!$O$9:$O$88,"No aplica")</f>
        <v>0</v>
      </c>
      <c r="G38" s="15">
        <f>COUNTIFS('APOA-370 (O3)'!$B$9:$B$88,$A38,'APOA-370 (O3)'!$O$9:$O$88,"Pendiente")</f>
        <v>7</v>
      </c>
      <c r="H38" s="16" t="str">
        <f t="shared" si="4"/>
        <v/>
      </c>
      <c r="I38" s="15">
        <f>COUNTIFS('APOA-370 (O3)'!$B$9:$B$88,$A38,'APOA-370 (O3)'!$Q$9:$Q$88,"Fuera de rango")</f>
        <v>0</v>
      </c>
    </row>
    <row r="39" spans="1:9" x14ac:dyDescent="0.25">
      <c r="A39" s="15" t="s">
        <v>208</v>
      </c>
      <c r="B39" s="15">
        <f>COUNTIF('APOA-370 (O3)'!$B$9:$B$88,$A39)</f>
        <v>8</v>
      </c>
      <c r="C39" s="15">
        <f>COUNTIFS('APOA-370 (O3)'!$B$9:$B$88,$A39,'APOA-370 (O3)'!$O$9:$O$88,"Conforme")</f>
        <v>0</v>
      </c>
      <c r="D39" s="15">
        <f>COUNTIFS('APOA-370 (O3)'!$B$9:$B$88,$A39,'APOA-370 (O3)'!$O$9:$O$88,"No conforme")</f>
        <v>0</v>
      </c>
      <c r="E39" s="15">
        <f>COUNTIFS('APOA-370 (O3)'!$B$9:$B$88,$A39,'APOA-370 (O3)'!$O$9:$O$88,"Requiere reemplazo")</f>
        <v>0</v>
      </c>
      <c r="F39" s="15">
        <f>COUNTIFS('APOA-370 (O3)'!$B$9:$B$88,$A39,'APOA-370 (O3)'!$O$9:$O$88,"No aplica")</f>
        <v>0</v>
      </c>
      <c r="G39" s="15">
        <f>COUNTIFS('APOA-370 (O3)'!$B$9:$B$88,$A39,'APOA-370 (O3)'!$O$9:$O$88,"Pendiente")</f>
        <v>8</v>
      </c>
      <c r="H39" s="16" t="str">
        <f t="shared" si="4"/>
        <v/>
      </c>
      <c r="I39" s="15">
        <f>COUNTIFS('APOA-370 (O3)'!$B$9:$B$88,$A39,'APOA-370 (O3)'!$Q$9:$Q$88,"Fuera de rango")</f>
        <v>0</v>
      </c>
    </row>
    <row r="40" spans="1:9" x14ac:dyDescent="0.25">
      <c r="A40" s="15" t="s">
        <v>264</v>
      </c>
      <c r="B40" s="15">
        <f>COUNTIF('APOA-370 (O3)'!$B$9:$B$88,$A40)</f>
        <v>7</v>
      </c>
      <c r="C40" s="15">
        <f>COUNTIFS('APOA-370 (O3)'!$B$9:$B$88,$A40,'APOA-370 (O3)'!$O$9:$O$88,"Conforme")</f>
        <v>0</v>
      </c>
      <c r="D40" s="15">
        <f>COUNTIFS('APOA-370 (O3)'!$B$9:$B$88,$A40,'APOA-370 (O3)'!$O$9:$O$88,"No conforme")</f>
        <v>0</v>
      </c>
      <c r="E40" s="15">
        <f>COUNTIFS('APOA-370 (O3)'!$B$9:$B$88,$A40,'APOA-370 (O3)'!$O$9:$O$88,"Requiere reemplazo")</f>
        <v>0</v>
      </c>
      <c r="F40" s="15">
        <f>COUNTIFS('APOA-370 (O3)'!$B$9:$B$88,$A40,'APOA-370 (O3)'!$O$9:$O$88,"No aplica")</f>
        <v>0</v>
      </c>
      <c r="G40" s="15">
        <f>COUNTIFS('APOA-370 (O3)'!$B$9:$B$88,$A40,'APOA-370 (O3)'!$O$9:$O$88,"Pendiente")</f>
        <v>7</v>
      </c>
      <c r="H40" s="16" t="str">
        <f t="shared" si="4"/>
        <v/>
      </c>
      <c r="I40" s="15">
        <f>COUNTIFS('APOA-370 (O3)'!$B$9:$B$88,$A40,'APOA-370 (O3)'!$Q$9:$Q$88,"Fuera de rango")</f>
        <v>0</v>
      </c>
    </row>
    <row r="41" spans="1:9" x14ac:dyDescent="0.25">
      <c r="A41" s="15" t="s">
        <v>300</v>
      </c>
      <c r="B41" s="15">
        <f>COUNTIF('APOA-370 (O3)'!$B$9:$B$88,$A41)</f>
        <v>11</v>
      </c>
      <c r="C41" s="15">
        <f>COUNTIFS('APOA-370 (O3)'!$B$9:$B$88,$A41,'APOA-370 (O3)'!$O$9:$O$88,"Conforme")</f>
        <v>0</v>
      </c>
      <c r="D41" s="15">
        <f>COUNTIFS('APOA-370 (O3)'!$B$9:$B$88,$A41,'APOA-370 (O3)'!$O$9:$O$88,"No conforme")</f>
        <v>0</v>
      </c>
      <c r="E41" s="15">
        <f>COUNTIFS('APOA-370 (O3)'!$B$9:$B$88,$A41,'APOA-370 (O3)'!$O$9:$O$88,"Requiere reemplazo")</f>
        <v>0</v>
      </c>
      <c r="F41" s="15">
        <f>COUNTIFS('APOA-370 (O3)'!$B$9:$B$88,$A41,'APOA-370 (O3)'!$O$9:$O$88,"No aplica")</f>
        <v>0</v>
      </c>
      <c r="G41" s="15">
        <f>COUNTIFS('APOA-370 (O3)'!$B$9:$B$88,$A41,'APOA-370 (O3)'!$O$9:$O$88,"Pendiente")</f>
        <v>11</v>
      </c>
      <c r="H41" s="16" t="str">
        <f t="shared" si="4"/>
        <v/>
      </c>
      <c r="I41" s="15">
        <f>COUNTIFS('APOA-370 (O3)'!$B$9:$B$88,$A41,'APOA-370 (O3)'!$Q$9:$Q$88,"Fuera de rango")</f>
        <v>0</v>
      </c>
    </row>
    <row r="42" spans="1:9" x14ac:dyDescent="0.25">
      <c r="A42" s="15" t="s">
        <v>356</v>
      </c>
      <c r="B42" s="15">
        <f>COUNTIF('APOA-370 (O3)'!$B$9:$B$88,$A42)</f>
        <v>14</v>
      </c>
      <c r="C42" s="15">
        <f>COUNTIFS('APOA-370 (O3)'!$B$9:$B$88,$A42,'APOA-370 (O3)'!$O$9:$O$88,"Conforme")</f>
        <v>0</v>
      </c>
      <c r="D42" s="15">
        <f>COUNTIFS('APOA-370 (O3)'!$B$9:$B$88,$A42,'APOA-370 (O3)'!$O$9:$O$88,"No conforme")</f>
        <v>0</v>
      </c>
      <c r="E42" s="15">
        <f>COUNTIFS('APOA-370 (O3)'!$B$9:$B$88,$A42,'APOA-370 (O3)'!$O$9:$O$88,"Requiere reemplazo")</f>
        <v>0</v>
      </c>
      <c r="F42" s="15">
        <f>COUNTIFS('APOA-370 (O3)'!$B$9:$B$88,$A42,'APOA-370 (O3)'!$O$9:$O$88,"No aplica")</f>
        <v>0</v>
      </c>
      <c r="G42" s="15">
        <f>COUNTIFS('APOA-370 (O3)'!$B$9:$B$88,$A42,'APOA-370 (O3)'!$O$9:$O$88,"Pendiente")</f>
        <v>14</v>
      </c>
      <c r="H42" s="16" t="str">
        <f t="shared" si="4"/>
        <v/>
      </c>
      <c r="I42" s="15">
        <f>COUNTIFS('APOA-370 (O3)'!$B$9:$B$88,$A42,'APOA-370 (O3)'!$Q$9:$Q$88,"Fuera de rango")</f>
        <v>0</v>
      </c>
    </row>
    <row r="43" spans="1:9" x14ac:dyDescent="0.25">
      <c r="A43" s="15" t="s">
        <v>435</v>
      </c>
      <c r="B43" s="15">
        <f>COUNTIF('APOA-370 (O3)'!$B$9:$B$88,$A43)</f>
        <v>8</v>
      </c>
      <c r="C43" s="15">
        <f>COUNTIFS('APOA-370 (O3)'!$B$9:$B$88,$A43,'APOA-370 (O3)'!$O$9:$O$88,"Conforme")</f>
        <v>0</v>
      </c>
      <c r="D43" s="15">
        <f>COUNTIFS('APOA-370 (O3)'!$B$9:$B$88,$A43,'APOA-370 (O3)'!$O$9:$O$88,"No conforme")</f>
        <v>0</v>
      </c>
      <c r="E43" s="15">
        <f>COUNTIFS('APOA-370 (O3)'!$B$9:$B$88,$A43,'APOA-370 (O3)'!$O$9:$O$88,"Requiere reemplazo")</f>
        <v>0</v>
      </c>
      <c r="F43" s="15">
        <f>COUNTIFS('APOA-370 (O3)'!$B$9:$B$88,$A43,'APOA-370 (O3)'!$O$9:$O$88,"No aplica")</f>
        <v>0</v>
      </c>
      <c r="G43" s="15">
        <f>COUNTIFS('APOA-370 (O3)'!$B$9:$B$88,$A43,'APOA-370 (O3)'!$O$9:$O$88,"Pendiente")</f>
        <v>8</v>
      </c>
      <c r="H43" s="16" t="str">
        <f t="shared" si="4"/>
        <v/>
      </c>
      <c r="I43" s="15">
        <f>COUNTIFS('APOA-370 (O3)'!$B$9:$B$88,$A43,'APOA-370 (O3)'!$Q$9:$Q$88,"Fuera de rango")</f>
        <v>0</v>
      </c>
    </row>
    <row r="44" spans="1:9" x14ac:dyDescent="0.25">
      <c r="A44" s="15" t="s">
        <v>468</v>
      </c>
      <c r="B44" s="15">
        <f>COUNTIF('APOA-370 (O3)'!$B$9:$B$88,$A44)</f>
        <v>6</v>
      </c>
      <c r="C44" s="15">
        <f>COUNTIFS('APOA-370 (O3)'!$B$9:$B$88,$A44,'APOA-370 (O3)'!$O$9:$O$88,"Conforme")</f>
        <v>0</v>
      </c>
      <c r="D44" s="15">
        <f>COUNTIFS('APOA-370 (O3)'!$B$9:$B$88,$A44,'APOA-370 (O3)'!$O$9:$O$88,"No conforme")</f>
        <v>0</v>
      </c>
      <c r="E44" s="15">
        <f>COUNTIFS('APOA-370 (O3)'!$B$9:$B$88,$A44,'APOA-370 (O3)'!$O$9:$O$88,"Requiere reemplazo")</f>
        <v>0</v>
      </c>
      <c r="F44" s="15">
        <f>COUNTIFS('APOA-370 (O3)'!$B$9:$B$88,$A44,'APOA-370 (O3)'!$O$9:$O$88,"No aplica")</f>
        <v>0</v>
      </c>
      <c r="G44" s="15">
        <f>COUNTIFS('APOA-370 (O3)'!$B$9:$B$88,$A44,'APOA-370 (O3)'!$O$9:$O$88,"Pendiente")</f>
        <v>6</v>
      </c>
      <c r="H44" s="16" t="str">
        <f t="shared" si="4"/>
        <v/>
      </c>
      <c r="I44" s="15">
        <f>COUNTIFS('APOA-370 (O3)'!$B$9:$B$88,$A44,'APOA-370 (O3)'!$Q$9:$Q$88,"Fuera de rango")</f>
        <v>0</v>
      </c>
    </row>
    <row r="45" spans="1:9" x14ac:dyDescent="0.25">
      <c r="A45" s="15" t="s">
        <v>500</v>
      </c>
      <c r="B45" s="15">
        <f>COUNTIF('APOA-370 (O3)'!$B$9:$B$88,$A45)</f>
        <v>6</v>
      </c>
      <c r="C45" s="15">
        <f>COUNTIFS('APOA-370 (O3)'!$B$9:$B$88,$A45,'APOA-370 (O3)'!$O$9:$O$88,"Conforme")</f>
        <v>0</v>
      </c>
      <c r="D45" s="15">
        <f>COUNTIFS('APOA-370 (O3)'!$B$9:$B$88,$A45,'APOA-370 (O3)'!$O$9:$O$88,"No conforme")</f>
        <v>0</v>
      </c>
      <c r="E45" s="15">
        <f>COUNTIFS('APOA-370 (O3)'!$B$9:$B$88,$A45,'APOA-370 (O3)'!$O$9:$O$88,"Requiere reemplazo")</f>
        <v>0</v>
      </c>
      <c r="F45" s="15">
        <f>COUNTIFS('APOA-370 (O3)'!$B$9:$B$88,$A45,'APOA-370 (O3)'!$O$9:$O$88,"No aplica")</f>
        <v>0</v>
      </c>
      <c r="G45" s="15">
        <f>COUNTIFS('APOA-370 (O3)'!$B$9:$B$88,$A45,'APOA-370 (O3)'!$O$9:$O$88,"Pendiente")</f>
        <v>6</v>
      </c>
      <c r="H45" s="16" t="str">
        <f t="shared" si="4"/>
        <v/>
      </c>
      <c r="I45" s="15">
        <f>COUNTIFS('APOA-370 (O3)'!$B$9:$B$88,$A45,'APOA-370 (O3)'!$Q$9:$Q$88,"Fuera de rango")</f>
        <v>0</v>
      </c>
    </row>
    <row r="46" spans="1:9" x14ac:dyDescent="0.25">
      <c r="A46" s="15" t="s">
        <v>1593</v>
      </c>
      <c r="B46" s="15">
        <f t="shared" ref="B46:G46" si="5">SUM(B36:B45)</f>
        <v>80</v>
      </c>
      <c r="C46" s="15">
        <f t="shared" si="5"/>
        <v>0</v>
      </c>
      <c r="D46" s="15">
        <f t="shared" si="5"/>
        <v>0</v>
      </c>
      <c r="E46" s="15">
        <f t="shared" si="5"/>
        <v>0</v>
      </c>
      <c r="F46" s="15">
        <f t="shared" si="5"/>
        <v>0</v>
      </c>
      <c r="G46" s="15">
        <f t="shared" si="5"/>
        <v>80</v>
      </c>
      <c r="H46" s="16" t="str">
        <f t="shared" si="4"/>
        <v/>
      </c>
      <c r="I46" s="15">
        <f>SUM(I36:I45)</f>
        <v>0</v>
      </c>
    </row>
    <row r="49" spans="1:9" x14ac:dyDescent="0.25">
      <c r="A49" s="3" t="s">
        <v>1596</v>
      </c>
    </row>
    <row r="50" spans="1:9" ht="30" customHeight="1" x14ac:dyDescent="0.25">
      <c r="A50" s="9" t="s">
        <v>89</v>
      </c>
      <c r="B50" s="9" t="s">
        <v>1586</v>
      </c>
      <c r="C50" s="9" t="s">
        <v>1587</v>
      </c>
      <c r="D50" s="9" t="s">
        <v>1588</v>
      </c>
      <c r="E50" s="9" t="s">
        <v>1589</v>
      </c>
      <c r="F50" s="9" t="s">
        <v>1590</v>
      </c>
      <c r="G50" s="9" t="s">
        <v>116</v>
      </c>
      <c r="H50" s="9" t="s">
        <v>1591</v>
      </c>
      <c r="I50" s="9" t="s">
        <v>1592</v>
      </c>
    </row>
    <row r="51" spans="1:9" x14ac:dyDescent="0.25">
      <c r="A51" s="15" t="s">
        <v>108</v>
      </c>
      <c r="B51" s="15">
        <f>COUNTIF('APNA-370 (NOx)'!$B$9:$B$84,$A51)</f>
        <v>5</v>
      </c>
      <c r="C51" s="15">
        <f>COUNTIFS('APNA-370 (NOx)'!$B$9:$B$84,$A51,'APNA-370 (NOx)'!$O$9:$O$84,"Conforme")</f>
        <v>0</v>
      </c>
      <c r="D51" s="15">
        <f>COUNTIFS('APNA-370 (NOx)'!$B$9:$B$84,$A51,'APNA-370 (NOx)'!$O$9:$O$84,"No conforme")</f>
        <v>0</v>
      </c>
      <c r="E51" s="15">
        <f>COUNTIFS('APNA-370 (NOx)'!$B$9:$B$84,$A51,'APNA-370 (NOx)'!$O$9:$O$84,"Requiere reemplazo")</f>
        <v>0</v>
      </c>
      <c r="F51" s="15">
        <f>COUNTIFS('APNA-370 (NOx)'!$B$9:$B$84,$A51,'APNA-370 (NOx)'!$O$9:$O$84,"No aplica")</f>
        <v>0</v>
      </c>
      <c r="G51" s="15">
        <f>COUNTIFS('APNA-370 (NOx)'!$B$9:$B$84,$A51,'APNA-370 (NOx)'!$O$9:$O$84,"Pendiente")</f>
        <v>5</v>
      </c>
      <c r="H51" s="16" t="str">
        <f t="shared" ref="H51:H61" si="6">IFERROR($C51/($B51-$F51-$G51),"")</f>
        <v/>
      </c>
      <c r="I51" s="15">
        <f>COUNTIFS('APNA-370 (NOx)'!$B$9:$B$84,$A51,'APNA-370 (NOx)'!$Q$9:$Q$84,"Fuera de rango")</f>
        <v>0</v>
      </c>
    </row>
    <row r="52" spans="1:9" x14ac:dyDescent="0.25">
      <c r="A52" s="15" t="s">
        <v>145</v>
      </c>
      <c r="B52" s="15">
        <f>COUNTIF('APNA-370 (NOx)'!$B$9:$B$84,$A52)</f>
        <v>4</v>
      </c>
      <c r="C52" s="15">
        <f>COUNTIFS('APNA-370 (NOx)'!$B$9:$B$84,$A52,'APNA-370 (NOx)'!$O$9:$O$84,"Conforme")</f>
        <v>0</v>
      </c>
      <c r="D52" s="15">
        <f>COUNTIFS('APNA-370 (NOx)'!$B$9:$B$84,$A52,'APNA-370 (NOx)'!$O$9:$O$84,"No conforme")</f>
        <v>0</v>
      </c>
      <c r="E52" s="15">
        <f>COUNTIFS('APNA-370 (NOx)'!$B$9:$B$84,$A52,'APNA-370 (NOx)'!$O$9:$O$84,"Requiere reemplazo")</f>
        <v>0</v>
      </c>
      <c r="F52" s="15">
        <f>COUNTIFS('APNA-370 (NOx)'!$B$9:$B$84,$A52,'APNA-370 (NOx)'!$O$9:$O$84,"No aplica")</f>
        <v>0</v>
      </c>
      <c r="G52" s="15">
        <f>COUNTIFS('APNA-370 (NOx)'!$B$9:$B$84,$A52,'APNA-370 (NOx)'!$O$9:$O$84,"Pendiente")</f>
        <v>4</v>
      </c>
      <c r="H52" s="16" t="str">
        <f t="shared" si="6"/>
        <v/>
      </c>
      <c r="I52" s="15">
        <f>COUNTIFS('APNA-370 (NOx)'!$B$9:$B$84,$A52,'APNA-370 (NOx)'!$Q$9:$Q$84,"Fuera de rango")</f>
        <v>0</v>
      </c>
    </row>
    <row r="53" spans="1:9" x14ac:dyDescent="0.25">
      <c r="A53" s="15" t="s">
        <v>172</v>
      </c>
      <c r="B53" s="15">
        <f>COUNTIF('APNA-370 (NOx)'!$B$9:$B$84,$A53)</f>
        <v>15</v>
      </c>
      <c r="C53" s="15">
        <f>COUNTIFS('APNA-370 (NOx)'!$B$9:$B$84,$A53,'APNA-370 (NOx)'!$O$9:$O$84,"Conforme")</f>
        <v>0</v>
      </c>
      <c r="D53" s="15">
        <f>COUNTIFS('APNA-370 (NOx)'!$B$9:$B$84,$A53,'APNA-370 (NOx)'!$O$9:$O$84,"No conforme")</f>
        <v>0</v>
      </c>
      <c r="E53" s="15">
        <f>COUNTIFS('APNA-370 (NOx)'!$B$9:$B$84,$A53,'APNA-370 (NOx)'!$O$9:$O$84,"Requiere reemplazo")</f>
        <v>0</v>
      </c>
      <c r="F53" s="15">
        <f>COUNTIFS('APNA-370 (NOx)'!$B$9:$B$84,$A53,'APNA-370 (NOx)'!$O$9:$O$84,"No aplica")</f>
        <v>0</v>
      </c>
      <c r="G53" s="15">
        <f>COUNTIFS('APNA-370 (NOx)'!$B$9:$B$84,$A53,'APNA-370 (NOx)'!$O$9:$O$84,"Pendiente")</f>
        <v>15</v>
      </c>
      <c r="H53" s="16" t="str">
        <f t="shared" si="6"/>
        <v/>
      </c>
      <c r="I53" s="15">
        <f>COUNTIFS('APNA-370 (NOx)'!$B$9:$B$84,$A53,'APNA-370 (NOx)'!$Q$9:$Q$84,"Fuera de rango")</f>
        <v>0</v>
      </c>
    </row>
    <row r="54" spans="1:9" x14ac:dyDescent="0.25">
      <c r="A54" s="15" t="s">
        <v>208</v>
      </c>
      <c r="B54" s="15">
        <f>COUNTIF('APNA-370 (NOx)'!$B$9:$B$84,$A54)</f>
        <v>6</v>
      </c>
      <c r="C54" s="15">
        <f>COUNTIFS('APNA-370 (NOx)'!$B$9:$B$84,$A54,'APNA-370 (NOx)'!$O$9:$O$84,"Conforme")</f>
        <v>0</v>
      </c>
      <c r="D54" s="15">
        <f>COUNTIFS('APNA-370 (NOx)'!$B$9:$B$84,$A54,'APNA-370 (NOx)'!$O$9:$O$84,"No conforme")</f>
        <v>0</v>
      </c>
      <c r="E54" s="15">
        <f>COUNTIFS('APNA-370 (NOx)'!$B$9:$B$84,$A54,'APNA-370 (NOx)'!$O$9:$O$84,"Requiere reemplazo")</f>
        <v>0</v>
      </c>
      <c r="F54" s="15">
        <f>COUNTIFS('APNA-370 (NOx)'!$B$9:$B$84,$A54,'APNA-370 (NOx)'!$O$9:$O$84,"No aplica")</f>
        <v>0</v>
      </c>
      <c r="G54" s="15">
        <f>COUNTIFS('APNA-370 (NOx)'!$B$9:$B$84,$A54,'APNA-370 (NOx)'!$O$9:$O$84,"Pendiente")</f>
        <v>6</v>
      </c>
      <c r="H54" s="16" t="str">
        <f t="shared" si="6"/>
        <v/>
      </c>
      <c r="I54" s="15">
        <f>COUNTIFS('APNA-370 (NOx)'!$B$9:$B$84,$A54,'APNA-370 (NOx)'!$Q$9:$Q$84,"Fuera de rango")</f>
        <v>0</v>
      </c>
    </row>
    <row r="55" spans="1:9" x14ac:dyDescent="0.25">
      <c r="A55" s="15" t="s">
        <v>264</v>
      </c>
      <c r="B55" s="15">
        <f>COUNTIF('APNA-370 (NOx)'!$B$9:$B$84,$A55)</f>
        <v>12</v>
      </c>
      <c r="C55" s="15">
        <f>COUNTIFS('APNA-370 (NOx)'!$B$9:$B$84,$A55,'APNA-370 (NOx)'!$O$9:$O$84,"Conforme")</f>
        <v>0</v>
      </c>
      <c r="D55" s="15">
        <f>COUNTIFS('APNA-370 (NOx)'!$B$9:$B$84,$A55,'APNA-370 (NOx)'!$O$9:$O$84,"No conforme")</f>
        <v>0</v>
      </c>
      <c r="E55" s="15">
        <f>COUNTIFS('APNA-370 (NOx)'!$B$9:$B$84,$A55,'APNA-370 (NOx)'!$O$9:$O$84,"Requiere reemplazo")</f>
        <v>0</v>
      </c>
      <c r="F55" s="15">
        <f>COUNTIFS('APNA-370 (NOx)'!$B$9:$B$84,$A55,'APNA-370 (NOx)'!$O$9:$O$84,"No aplica")</f>
        <v>0</v>
      </c>
      <c r="G55" s="15">
        <f>COUNTIFS('APNA-370 (NOx)'!$B$9:$B$84,$A55,'APNA-370 (NOx)'!$O$9:$O$84,"Pendiente")</f>
        <v>12</v>
      </c>
      <c r="H55" s="16" t="str">
        <f t="shared" si="6"/>
        <v/>
      </c>
      <c r="I55" s="15">
        <f>COUNTIFS('APNA-370 (NOx)'!$B$9:$B$84,$A55,'APNA-370 (NOx)'!$Q$9:$Q$84,"Fuera de rango")</f>
        <v>0</v>
      </c>
    </row>
    <row r="56" spans="1:9" x14ac:dyDescent="0.25">
      <c r="A56" s="15" t="s">
        <v>300</v>
      </c>
      <c r="B56" s="15">
        <f>COUNTIF('APNA-370 (NOx)'!$B$9:$B$84,$A56)</f>
        <v>9</v>
      </c>
      <c r="C56" s="15">
        <f>COUNTIFS('APNA-370 (NOx)'!$B$9:$B$84,$A56,'APNA-370 (NOx)'!$O$9:$O$84,"Conforme")</f>
        <v>0</v>
      </c>
      <c r="D56" s="15">
        <f>COUNTIFS('APNA-370 (NOx)'!$B$9:$B$84,$A56,'APNA-370 (NOx)'!$O$9:$O$84,"No conforme")</f>
        <v>0</v>
      </c>
      <c r="E56" s="15">
        <f>COUNTIFS('APNA-370 (NOx)'!$B$9:$B$84,$A56,'APNA-370 (NOx)'!$O$9:$O$84,"Requiere reemplazo")</f>
        <v>0</v>
      </c>
      <c r="F56" s="15">
        <f>COUNTIFS('APNA-370 (NOx)'!$B$9:$B$84,$A56,'APNA-370 (NOx)'!$O$9:$O$84,"No aplica")</f>
        <v>0</v>
      </c>
      <c r="G56" s="15">
        <f>COUNTIFS('APNA-370 (NOx)'!$B$9:$B$84,$A56,'APNA-370 (NOx)'!$O$9:$O$84,"Pendiente")</f>
        <v>9</v>
      </c>
      <c r="H56" s="16" t="str">
        <f t="shared" si="6"/>
        <v/>
      </c>
      <c r="I56" s="15">
        <f>COUNTIFS('APNA-370 (NOx)'!$B$9:$B$84,$A56,'APNA-370 (NOx)'!$Q$9:$Q$84,"Fuera de rango")</f>
        <v>0</v>
      </c>
    </row>
    <row r="57" spans="1:9" x14ac:dyDescent="0.25">
      <c r="A57" s="15" t="s">
        <v>356</v>
      </c>
      <c r="B57" s="15">
        <f>COUNTIF('APNA-370 (NOx)'!$B$9:$B$84,$A57)</f>
        <v>9</v>
      </c>
      <c r="C57" s="15">
        <f>COUNTIFS('APNA-370 (NOx)'!$B$9:$B$84,$A57,'APNA-370 (NOx)'!$O$9:$O$84,"Conforme")</f>
        <v>0</v>
      </c>
      <c r="D57" s="15">
        <f>COUNTIFS('APNA-370 (NOx)'!$B$9:$B$84,$A57,'APNA-370 (NOx)'!$O$9:$O$84,"No conforme")</f>
        <v>0</v>
      </c>
      <c r="E57" s="15">
        <f>COUNTIFS('APNA-370 (NOx)'!$B$9:$B$84,$A57,'APNA-370 (NOx)'!$O$9:$O$84,"Requiere reemplazo")</f>
        <v>0</v>
      </c>
      <c r="F57" s="15">
        <f>COUNTIFS('APNA-370 (NOx)'!$B$9:$B$84,$A57,'APNA-370 (NOx)'!$O$9:$O$84,"No aplica")</f>
        <v>0</v>
      </c>
      <c r="G57" s="15">
        <f>COUNTIFS('APNA-370 (NOx)'!$B$9:$B$84,$A57,'APNA-370 (NOx)'!$O$9:$O$84,"Pendiente")</f>
        <v>9</v>
      </c>
      <c r="H57" s="16" t="str">
        <f t="shared" si="6"/>
        <v/>
      </c>
      <c r="I57" s="15">
        <f>COUNTIFS('APNA-370 (NOx)'!$B$9:$B$84,$A57,'APNA-370 (NOx)'!$Q$9:$Q$84,"Fuera de rango")</f>
        <v>0</v>
      </c>
    </row>
    <row r="58" spans="1:9" x14ac:dyDescent="0.25">
      <c r="A58" s="15" t="s">
        <v>435</v>
      </c>
      <c r="B58" s="15">
        <f>COUNTIF('APNA-370 (NOx)'!$B$9:$B$84,$A58)</f>
        <v>3</v>
      </c>
      <c r="C58" s="15">
        <f>COUNTIFS('APNA-370 (NOx)'!$B$9:$B$84,$A58,'APNA-370 (NOx)'!$O$9:$O$84,"Conforme")</f>
        <v>0</v>
      </c>
      <c r="D58" s="15">
        <f>COUNTIFS('APNA-370 (NOx)'!$B$9:$B$84,$A58,'APNA-370 (NOx)'!$O$9:$O$84,"No conforme")</f>
        <v>0</v>
      </c>
      <c r="E58" s="15">
        <f>COUNTIFS('APNA-370 (NOx)'!$B$9:$B$84,$A58,'APNA-370 (NOx)'!$O$9:$O$84,"Requiere reemplazo")</f>
        <v>0</v>
      </c>
      <c r="F58" s="15">
        <f>COUNTIFS('APNA-370 (NOx)'!$B$9:$B$84,$A58,'APNA-370 (NOx)'!$O$9:$O$84,"No aplica")</f>
        <v>0</v>
      </c>
      <c r="G58" s="15">
        <f>COUNTIFS('APNA-370 (NOx)'!$B$9:$B$84,$A58,'APNA-370 (NOx)'!$O$9:$O$84,"Pendiente")</f>
        <v>3</v>
      </c>
      <c r="H58" s="16" t="str">
        <f t="shared" si="6"/>
        <v/>
      </c>
      <c r="I58" s="15">
        <f>COUNTIFS('APNA-370 (NOx)'!$B$9:$B$84,$A58,'APNA-370 (NOx)'!$Q$9:$Q$84,"Fuera de rango")</f>
        <v>0</v>
      </c>
    </row>
    <row r="59" spans="1:9" x14ac:dyDescent="0.25">
      <c r="A59" s="15" t="s">
        <v>468</v>
      </c>
      <c r="B59" s="15">
        <f>COUNTIF('APNA-370 (NOx)'!$B$9:$B$84,$A59)</f>
        <v>5</v>
      </c>
      <c r="C59" s="15">
        <f>COUNTIFS('APNA-370 (NOx)'!$B$9:$B$84,$A59,'APNA-370 (NOx)'!$O$9:$O$84,"Conforme")</f>
        <v>0</v>
      </c>
      <c r="D59" s="15">
        <f>COUNTIFS('APNA-370 (NOx)'!$B$9:$B$84,$A59,'APNA-370 (NOx)'!$O$9:$O$84,"No conforme")</f>
        <v>0</v>
      </c>
      <c r="E59" s="15">
        <f>COUNTIFS('APNA-370 (NOx)'!$B$9:$B$84,$A59,'APNA-370 (NOx)'!$O$9:$O$84,"Requiere reemplazo")</f>
        <v>0</v>
      </c>
      <c r="F59" s="15">
        <f>COUNTIFS('APNA-370 (NOx)'!$B$9:$B$84,$A59,'APNA-370 (NOx)'!$O$9:$O$84,"No aplica")</f>
        <v>0</v>
      </c>
      <c r="G59" s="15">
        <f>COUNTIFS('APNA-370 (NOx)'!$B$9:$B$84,$A59,'APNA-370 (NOx)'!$O$9:$O$84,"Pendiente")</f>
        <v>5</v>
      </c>
      <c r="H59" s="16" t="str">
        <f t="shared" si="6"/>
        <v/>
      </c>
      <c r="I59" s="15">
        <f>COUNTIFS('APNA-370 (NOx)'!$B$9:$B$84,$A59,'APNA-370 (NOx)'!$Q$9:$Q$84,"Fuera de rango")</f>
        <v>0</v>
      </c>
    </row>
    <row r="60" spans="1:9" x14ac:dyDescent="0.25">
      <c r="A60" s="15" t="s">
        <v>500</v>
      </c>
      <c r="B60" s="15">
        <f>COUNTIF('APNA-370 (NOx)'!$B$9:$B$84,$A60)</f>
        <v>8</v>
      </c>
      <c r="C60" s="15">
        <f>COUNTIFS('APNA-370 (NOx)'!$B$9:$B$84,$A60,'APNA-370 (NOx)'!$O$9:$O$84,"Conforme")</f>
        <v>0</v>
      </c>
      <c r="D60" s="15">
        <f>COUNTIFS('APNA-370 (NOx)'!$B$9:$B$84,$A60,'APNA-370 (NOx)'!$O$9:$O$84,"No conforme")</f>
        <v>0</v>
      </c>
      <c r="E60" s="15">
        <f>COUNTIFS('APNA-370 (NOx)'!$B$9:$B$84,$A60,'APNA-370 (NOx)'!$O$9:$O$84,"Requiere reemplazo")</f>
        <v>0</v>
      </c>
      <c r="F60" s="15">
        <f>COUNTIFS('APNA-370 (NOx)'!$B$9:$B$84,$A60,'APNA-370 (NOx)'!$O$9:$O$84,"No aplica")</f>
        <v>0</v>
      </c>
      <c r="G60" s="15">
        <f>COUNTIFS('APNA-370 (NOx)'!$B$9:$B$84,$A60,'APNA-370 (NOx)'!$O$9:$O$84,"Pendiente")</f>
        <v>8</v>
      </c>
      <c r="H60" s="16" t="str">
        <f t="shared" si="6"/>
        <v/>
      </c>
      <c r="I60" s="15">
        <f>COUNTIFS('APNA-370 (NOx)'!$B$9:$B$84,$A60,'APNA-370 (NOx)'!$Q$9:$Q$84,"Fuera de rango")</f>
        <v>0</v>
      </c>
    </row>
    <row r="61" spans="1:9" x14ac:dyDescent="0.25">
      <c r="A61" s="15" t="s">
        <v>1593</v>
      </c>
      <c r="B61" s="15">
        <f t="shared" ref="B61:G61" si="7">SUM(B51:B60)</f>
        <v>76</v>
      </c>
      <c r="C61" s="15">
        <f t="shared" si="7"/>
        <v>0</v>
      </c>
      <c r="D61" s="15">
        <f t="shared" si="7"/>
        <v>0</v>
      </c>
      <c r="E61" s="15">
        <f t="shared" si="7"/>
        <v>0</v>
      </c>
      <c r="F61" s="15">
        <f t="shared" si="7"/>
        <v>0</v>
      </c>
      <c r="G61" s="15">
        <f t="shared" si="7"/>
        <v>76</v>
      </c>
      <c r="H61" s="16" t="str">
        <f t="shared" si="6"/>
        <v/>
      </c>
      <c r="I61" s="15">
        <f>SUM(I51:I60)</f>
        <v>0</v>
      </c>
    </row>
    <row r="64" spans="1:9" x14ac:dyDescent="0.25">
      <c r="A64" s="3" t="s">
        <v>1597</v>
      </c>
    </row>
    <row r="65" spans="1:9" ht="30" customHeight="1" x14ac:dyDescent="0.25">
      <c r="A65" s="9" t="s">
        <v>1598</v>
      </c>
      <c r="B65" s="9" t="s">
        <v>1586</v>
      </c>
      <c r="C65" s="9" t="s">
        <v>1587</v>
      </c>
      <c r="D65" s="9" t="s">
        <v>1588</v>
      </c>
      <c r="E65" s="9" t="s">
        <v>1589</v>
      </c>
      <c r="F65" s="9" t="s">
        <v>1590</v>
      </c>
      <c r="G65" s="9" t="s">
        <v>116</v>
      </c>
      <c r="H65" s="9" t="s">
        <v>1591</v>
      </c>
      <c r="I65" s="9" t="s">
        <v>1592</v>
      </c>
    </row>
    <row r="66" spans="1:9" x14ac:dyDescent="0.25">
      <c r="A66" s="17" t="s">
        <v>1599</v>
      </c>
      <c r="B66" s="17">
        <f t="shared" ref="B66:I66" si="8">B16</f>
        <v>80</v>
      </c>
      <c r="C66" s="17">
        <f t="shared" si="8"/>
        <v>0</v>
      </c>
      <c r="D66" s="17">
        <f t="shared" si="8"/>
        <v>0</v>
      </c>
      <c r="E66" s="17">
        <f t="shared" si="8"/>
        <v>0</v>
      </c>
      <c r="F66" s="17">
        <f t="shared" si="8"/>
        <v>0</v>
      </c>
      <c r="G66" s="17">
        <f t="shared" si="8"/>
        <v>80</v>
      </c>
      <c r="H66" s="18" t="str">
        <f t="shared" si="8"/>
        <v/>
      </c>
      <c r="I66" s="17">
        <f t="shared" si="8"/>
        <v>0</v>
      </c>
    </row>
    <row r="67" spans="1:9" x14ac:dyDescent="0.25">
      <c r="A67" s="17" t="s">
        <v>1600</v>
      </c>
      <c r="B67" s="17">
        <f t="shared" ref="B67:I67" si="9">B31</f>
        <v>96</v>
      </c>
      <c r="C67" s="17">
        <f t="shared" si="9"/>
        <v>0</v>
      </c>
      <c r="D67" s="17">
        <f t="shared" si="9"/>
        <v>0</v>
      </c>
      <c r="E67" s="17">
        <f t="shared" si="9"/>
        <v>0</v>
      </c>
      <c r="F67" s="17">
        <f t="shared" si="9"/>
        <v>0</v>
      </c>
      <c r="G67" s="17">
        <f t="shared" si="9"/>
        <v>96</v>
      </c>
      <c r="H67" s="18" t="str">
        <f t="shared" si="9"/>
        <v/>
      </c>
      <c r="I67" s="17">
        <f t="shared" si="9"/>
        <v>0</v>
      </c>
    </row>
    <row r="68" spans="1:9" x14ac:dyDescent="0.25">
      <c r="A68" s="17" t="s">
        <v>1601</v>
      </c>
      <c r="B68" s="17">
        <f t="shared" ref="B68:I68" si="10">B46</f>
        <v>80</v>
      </c>
      <c r="C68" s="17">
        <f t="shared" si="10"/>
        <v>0</v>
      </c>
      <c r="D68" s="17">
        <f t="shared" si="10"/>
        <v>0</v>
      </c>
      <c r="E68" s="17">
        <f t="shared" si="10"/>
        <v>0</v>
      </c>
      <c r="F68" s="17">
        <f t="shared" si="10"/>
        <v>0</v>
      </c>
      <c r="G68" s="17">
        <f t="shared" si="10"/>
        <v>80</v>
      </c>
      <c r="H68" s="18" t="str">
        <f t="shared" si="10"/>
        <v/>
      </c>
      <c r="I68" s="17">
        <f t="shared" si="10"/>
        <v>0</v>
      </c>
    </row>
    <row r="69" spans="1:9" x14ac:dyDescent="0.25">
      <c r="A69" s="17" t="s">
        <v>1602</v>
      </c>
      <c r="B69" s="17">
        <f t="shared" ref="B69:I69" si="11">B61</f>
        <v>76</v>
      </c>
      <c r="C69" s="17">
        <f t="shared" si="11"/>
        <v>0</v>
      </c>
      <c r="D69" s="17">
        <f t="shared" si="11"/>
        <v>0</v>
      </c>
      <c r="E69" s="17">
        <f t="shared" si="11"/>
        <v>0</v>
      </c>
      <c r="F69" s="17">
        <f t="shared" si="11"/>
        <v>0</v>
      </c>
      <c r="G69" s="17">
        <f t="shared" si="11"/>
        <v>76</v>
      </c>
      <c r="H69" s="18" t="str">
        <f t="shared" si="11"/>
        <v/>
      </c>
      <c r="I69" s="17">
        <f t="shared" si="11"/>
        <v>0</v>
      </c>
    </row>
    <row r="71" spans="1:9" x14ac:dyDescent="0.25">
      <c r="A71" s="2" t="s">
        <v>1603</v>
      </c>
    </row>
    <row r="72" spans="1:9" x14ac:dyDescent="0.25">
      <c r="A72" s="2" t="s">
        <v>1604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6"/>
  <sheetViews>
    <sheetView workbookViewId="0"/>
  </sheetViews>
  <sheetFormatPr baseColWidth="10" defaultColWidth="9.140625" defaultRowHeight="15" x14ac:dyDescent="0.25"/>
  <cols>
    <col min="1" max="3" width="20" customWidth="1"/>
  </cols>
  <sheetData>
    <row r="1" spans="1:3" x14ac:dyDescent="0.25">
      <c r="A1" s="6" t="s">
        <v>102</v>
      </c>
      <c r="B1" s="6" t="s">
        <v>105</v>
      </c>
      <c r="C1" s="6" t="s">
        <v>98</v>
      </c>
    </row>
    <row r="2" spans="1:3" x14ac:dyDescent="0.25">
      <c r="A2" s="8" t="s">
        <v>1587</v>
      </c>
      <c r="B2" s="8" t="s">
        <v>114</v>
      </c>
      <c r="C2" s="8" t="s">
        <v>114</v>
      </c>
    </row>
    <row r="3" spans="1:3" x14ac:dyDescent="0.25">
      <c r="A3" s="8" t="s">
        <v>1588</v>
      </c>
      <c r="B3" s="8" t="s">
        <v>122</v>
      </c>
      <c r="C3" s="8" t="s">
        <v>122</v>
      </c>
    </row>
    <row r="4" spans="1:3" x14ac:dyDescent="0.25">
      <c r="A4" s="8" t="s">
        <v>1589</v>
      </c>
      <c r="B4" s="8" t="s">
        <v>1590</v>
      </c>
    </row>
    <row r="5" spans="1:3" x14ac:dyDescent="0.25">
      <c r="A5" s="8" t="s">
        <v>1590</v>
      </c>
    </row>
    <row r="6" spans="1:3" x14ac:dyDescent="0.25">
      <c r="A6" s="8" t="s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Instrucciones</vt:lpstr>
      <vt:lpstr>APMA-370 (CO)</vt:lpstr>
      <vt:lpstr>APSA-370 (SO2)</vt:lpstr>
      <vt:lpstr>APOA-370 (O3)</vt:lpstr>
      <vt:lpstr>APNA-370 (NOx)</vt:lpstr>
      <vt:lpstr>Resumen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Alfonso García del Pino Beneitez</cp:lastModifiedBy>
  <dcterms:created xsi:type="dcterms:W3CDTF">2026-09-03T16:21:54Z</dcterms:created>
  <dcterms:modified xsi:type="dcterms:W3CDTF">2026-09-03T16:43:36Z</dcterms:modified>
</cp:coreProperties>
</file>