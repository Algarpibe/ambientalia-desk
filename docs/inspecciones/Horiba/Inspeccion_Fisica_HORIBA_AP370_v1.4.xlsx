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MA-370 (CO)" sheetId="2" state="visible" r:id="rId2"/>
    <sheet xmlns:r="http://schemas.openxmlformats.org/officeDocument/2006/relationships" name="APSA-370 (SO2)" sheetId="3" state="visible" r:id="rId3"/>
    <sheet xmlns:r="http://schemas.openxmlformats.org/officeDocument/2006/relationships" name="APOA-370 (O3)" sheetId="4" state="visible" r:id="rId4"/>
    <sheet xmlns:r="http://schemas.openxmlformats.org/officeDocument/2006/relationships" name="APNA-370 (NOx)" sheetId="5" state="visible" r:id="rId5"/>
    <sheet xmlns:r="http://schemas.openxmlformats.org/officeDocument/2006/relationships" name="Informe de hallazgos" sheetId="6" state="visible" r:id="rId6"/>
    <sheet xmlns:r="http://schemas.openxmlformats.org/officeDocument/2006/relationships" name="Flujo No OK" sheetId="7" state="visible" r:id="rId7"/>
    <sheet xmlns:r="http://schemas.openxmlformats.org/officeDocument/2006/relationships" name="Repuestos Zoho" sheetId="8" state="visible" r:id="rId8"/>
    <sheet xmlns:r="http://schemas.openxmlformats.org/officeDocument/2006/relationships" name="Resumen" sheetId="9" state="visible" r:id="rId9"/>
    <sheet xmlns:r="http://schemas.openxmlformats.org/officeDocument/2006/relationships" name="Listas" sheetId="10" state="visible" r:id="rId10"/>
  </sheets>
  <definedNames>
    <definedName name="_xlnm._FilterDatabase" localSheetId="1" hidden="1">'APMA-370 (CO)'!$A$8:$Z$88</definedName>
    <definedName name="_xlnm._FilterDatabase" localSheetId="2" hidden="1">'APSA-370 (SO2)'!$A$8:$Z$104</definedName>
    <definedName name="_xlnm._FilterDatabase" localSheetId="3" hidden="1">'APOA-370 (O3)'!$A$8:$Z$88</definedName>
    <definedName name="_xlnm._FilterDatabase" localSheetId="4" hidden="1">'APNA-370 (NOx)'!$A$8:$Z$84</definedName>
    <definedName name="_xlnm._FilterDatabase" localSheetId="5" hidden="1">'Informe de hallazgos'!$A$4:$H$336</definedName>
    <definedName name="_xlnm._FilterDatabase" localSheetId="6" hidden="1">'Flujo No OK'!$A$5:$K$667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3"/>
    </font>
    <font>
      <name val="Arial"/>
      <color rgb="00595959"/>
      <sz val="10"/>
    </font>
    <font>
      <name val="Arial"/>
      <color rgb="000563C1"/>
      <sz val="9"/>
      <u val="single"/>
    </font>
    <font>
      <name val="Arial"/>
      <b val="1"/>
      <color rgb="001F3864"/>
      <sz val="11"/>
    </font>
    <font>
      <name val="Arial"/>
      <b val="1"/>
      <color rgb="001F3864"/>
      <sz val="15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EDE3F2"/>
      </patternFill>
    </fill>
    <fill>
      <patternFill patternType="solid">
        <fgColor rgb="00D6DCE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3" fillId="0" borderId="1" pivotButton="0" quotePrefix="0" xfId="0"/>
    <xf numFmtId="164" fontId="3" fillId="0" borderId="1" pivotButton="0" quotePrefix="0" xfId="0"/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name val="Arial"/>
        <color rgb="00006100"/>
        <sz val="9"/>
      </font>
      <fill>
        <patternFill>
          <bgColor rgb="00C6EFCE"/>
        </patternFill>
      </fill>
    </dxf>
    <dxf>
      <font>
        <name val="Arial"/>
        <color rgb="009C0006"/>
        <sz val="9"/>
      </font>
      <fill>
        <patternFill>
          <bgColor rgb="00FFC7CE"/>
        </patternFill>
      </fill>
    </dxf>
    <dxf>
      <font>
        <name val="Arial"/>
        <color rgb="009C5700"/>
        <sz val="9"/>
      </font>
      <fill>
        <patternFill>
          <bgColor rgb="00FFEB9C"/>
        </patternFill>
      </fill>
    </dxf>
    <dxf>
      <font>
        <name val="Arial"/>
        <color rgb="0044546A"/>
        <sz val="9"/>
      </font>
      <fill>
        <patternFill>
          <bgColor rgb="00D6DCE4"/>
        </patternFill>
      </fill>
    </dxf>
    <dxf>
      <font>
        <name val="Arial"/>
        <b val="1"/>
        <color rgb="009C0006"/>
        <sz val="9"/>
      </font>
      <fill>
        <patternFill>
          <bgColor rgb="00FFC7CE"/>
        </patternFill>
      </fill>
    </dxf>
    <dxf>
      <font>
        <name val="Arial"/>
        <b val="1"/>
        <color rgb="009C0006"/>
        <sz val="10"/>
      </font>
      <fill>
        <patternFill>
          <bgColor rgb="00FFC7CE"/>
        </patternFill>
      </fill>
    </dxf>
    <dxf>
      <font>
        <name val="Arial"/>
        <b val="1"/>
        <color rgb="00006100"/>
        <sz val="10"/>
      </font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7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INSPECCIÓN FÍSICA DE EQUIPO — SERIE HORIBA AP-370</t>
        </is>
      </c>
    </row>
    <row r="2">
      <c r="A2" s="2" t="inlineStr">
        <is>
          <t>APMA-370 (CO) · APSA-370 (SO2) · APOA-370 (O3) · APNA-370 (NOx)</t>
        </is>
      </c>
    </row>
    <row r="3">
      <c r="A3" s="2" t="inlineStr">
        <is>
          <t>Ambientalia — Servicio Técnico · v5.0 · Estructura derivada del prototipo GRIMM EDM180 v1.2</t>
        </is>
      </c>
    </row>
    <row r="5">
      <c r="A5" s="3" t="inlineStr">
        <is>
          <t>Novedades de la v5.0 — comentario de falla para el informe</t>
        </is>
      </c>
    </row>
    <row r="6">
      <c r="A6" s="4" t="inlineStr">
        <is>
          <t>Columna N, «Comentario de falla (informe al cliente)»: el texto que describe el hallazgo cuando</t>
        </is>
      </c>
    </row>
    <row r="7">
      <c r="A7" s="4" t="inlineStr">
        <is>
          <t>ese ítem no cumple, redactado para que se pueda pegar tal cual en el informe de servicio. Está</t>
        </is>
      </c>
    </row>
    <row r="8">
      <c r="A8" s="4" t="inlineStr">
        <is>
          <t>escrito en tercera persona, sin jerga interna y sin códigos de tarjeta, nombrando el componente</t>
        </is>
      </c>
    </row>
    <row r="9">
      <c r="A9" s="4" t="inlineStr">
        <is>
          <t>en términos que el cliente reconoce. Es texto fijo del catálogo: se edita una vez y sirve para</t>
        </is>
      </c>
    </row>
    <row r="10">
      <c r="A10" s="4" t="inlineStr">
        <is>
          <t>todas las visitas.</t>
        </is>
      </c>
    </row>
    <row r="12">
      <c r="A12" s="4" t="inlineStr">
        <is>
          <t>Columna Z, «Comentario para el informe (automático)»: arma el párrafo final por sí sola. Queda</t>
        </is>
      </c>
    </row>
    <row r="13">
      <c r="A13" s="4" t="inlineStr">
        <is>
          <t>en blanco mientras el ítem esté Conforme, No aplica o Pendiente, y solo se redacta cuando hay</t>
        </is>
      </c>
    </row>
    <row r="14">
      <c r="A14" s="4" t="inlineStr">
        <is>
          <t>hallazgo. Encadena cuatro piezas:</t>
        </is>
      </c>
    </row>
    <row r="15">
      <c r="A15" s="4" t="inlineStr">
        <is>
          <t xml:space="preserve">    1. El comentario de falla de la columna N.</t>
        </is>
      </c>
    </row>
    <row r="16">
      <c r="A16" s="4" t="inlineStr">
        <is>
          <t xml:space="preserve">    2. El valor medido con su unidad, y si está por debajo del límite inferior o por encima del</t>
        </is>
      </c>
    </row>
    <row r="17">
      <c r="A17" s="4" t="inlineStr">
        <is>
          <t xml:space="preserve">       superior — solo en ítems numéricos cuya verificación de rango dio «Fuera de rango».</t>
        </is>
      </c>
    </row>
    <row r="18">
      <c r="A18" s="4" t="inlineStr">
        <is>
          <t xml:space="preserve">    3. La observación que escribió el técnico, si la hay.</t>
        </is>
      </c>
    </row>
    <row r="19">
      <c r="A19" s="4" t="inlineStr">
        <is>
          <t xml:space="preserve">    4. La acción recomendada y la consecuencia según el criterio de falla: bloqueante impide</t>
        </is>
      </c>
    </row>
    <row r="20">
      <c r="A20" s="4" t="inlineStr">
        <is>
          <t xml:space="preserve">       liberar el equipo, cobrable entra en la cotización, alerta queda como observación.</t>
        </is>
      </c>
    </row>
    <row r="22">
      <c r="A22" s="4" t="inlineStr">
        <is>
          <t>Ejemplo de lo que produce, con un caudal de muestra de 0,45 L/min y límite inferior de 1:</t>
        </is>
      </c>
    </row>
    <row r="23">
      <c r="A23" s="4" t="inlineStr">
        <is>
          <t>«El caudal de muestra se encuentra fuera del rango de operación especificado por el fabricante.</t>
        </is>
      </c>
    </row>
    <row r="24">
      <c r="A24" s="4" t="inlineStr">
        <is>
          <t>Valor medido: 0,45 L/min, por debajo del límite inferior de 1. Se observó el filtro colmatado.</t>
        </is>
      </c>
    </row>
    <row r="25">
      <c r="A25" s="4" t="inlineStr">
        <is>
          <t>Acción recomendada: medir el caudal real con flujómetro de burbuja en SAMPLE INLET y recorrer la</t>
        </is>
      </c>
    </row>
    <row r="26">
      <c r="A26" s="4" t="inlineStr">
        <is>
          <t>rama en ese orden. El equipo no se libera hasta resolver este hallazgo.»</t>
        </is>
      </c>
    </row>
    <row r="28">
      <c r="A28" s="4" t="inlineStr">
        <is>
          <t>Y una hoja nueva, «Informe de hallazgos»: un renglón por ítem de los cuatro modelos, con el</t>
        </is>
      </c>
    </row>
    <row r="29">
      <c r="A29" s="4" t="inlineStr">
        <is>
          <t>comentario ya redactado. Filtre la columna «Resultado» por «No conforme» y «Requiere reemplazo»</t>
        </is>
      </c>
    </row>
    <row r="30">
      <c r="A30" s="4" t="inlineStr">
        <is>
          <t>y copie la última columna al informe de servicio. Las celdas se alimentan solas de las hojas de</t>
        </is>
      </c>
    </row>
    <row r="31">
      <c r="A31" s="4" t="inlineStr">
        <is>
          <t>cada modelo, así que no hay que volver a escribir nada.</t>
        </is>
      </c>
    </row>
    <row r="33">
      <c r="A33" s="3" t="inlineStr">
        <is>
          <t>Novedades de la v4.0 — encadenamiento condicional</t>
        </is>
      </c>
    </row>
    <row r="34">
      <c r="A34" s="4" t="inlineStr">
        <is>
          <t>Hasta la v3.0 los ítems estaban en secuencia: la tabla decía qué verificar, pero no qué hacer</t>
        </is>
      </c>
    </row>
    <row r="35">
      <c r="A35" s="4" t="inlineStr">
        <is>
          <t>cuando algo salía NO OK. La v4.0 convierte esa lista en un grafo de diagnóstico de 662 enlaces.</t>
        </is>
      </c>
    </row>
    <row r="37">
      <c r="A37" s="4" t="inlineStr">
        <is>
          <t>Tres columnas nuevas en cada hoja de modelo (en naranja claro, columnas K, L y M):</t>
        </is>
      </c>
    </row>
    <row r="38">
      <c r="A38" s="4" t="inlineStr">
        <is>
          <t>Si NO OK → causa probable   La hipótesis más frecuente para ese hallazgo, según las fuentes.</t>
        </is>
      </c>
    </row>
    <row r="39">
      <c r="A39" s="4" t="inlineStr">
        <is>
          <t>Si NO OK → verificar (ID)   Los ID de los ítems que hay que verificar a continuación, en orden.</t>
        </is>
      </c>
    </row>
    <row r="40">
      <c r="A40" s="4" t="inlineStr">
        <is>
          <t xml:space="preserve">                            «Nodo terminal» significa que no hay más que aislar: se actúa directo.</t>
        </is>
      </c>
    </row>
    <row r="41">
      <c r="A41" s="4" t="inlineStr">
        <is>
          <t>Si NO OK → acción           Qué hacer una vez confirmada la causa.</t>
        </is>
      </c>
    </row>
    <row r="43">
      <c r="A43" s="4" t="inlineStr">
        <is>
          <t>Y una hoja nueva, «Flujo No OK»: un renglón por cada enlace del grafo, con los ID como</t>
        </is>
      </c>
    </row>
    <row r="44">
      <c r="A44" s="4" t="inlineStr">
        <is>
          <t>hipervínculos a la fila correspondiente. Su columna «Rama activa» se enciende sola cuando el</t>
        </is>
      </c>
    </row>
    <row r="45">
      <c r="A45" s="4" t="inlineStr">
        <is>
          <t>ítem de origen queda marcado como hallazgo en la hoja del modelo, así que filtrando por</t>
        </is>
      </c>
    </row>
    <row r="46">
      <c r="A46" s="4" t="inlineStr">
        <is>
          <t>«Rama activa = SÍ» queda a la vista solo el árbol que la visita de hoy realmente disparó.</t>
        </is>
      </c>
    </row>
    <row r="48">
      <c r="A48" s="3" t="inlineStr">
        <is>
          <t>Orden en que conviene recorrer el diagnóstico</t>
        </is>
      </c>
    </row>
    <row r="49">
      <c r="A49" s="4" t="inlineStr">
        <is>
          <t>El Service Manual de la serie APXX-370 impone una jerarquía: verificar en desorden lleva a</t>
        </is>
      </c>
    </row>
    <row r="50">
      <c r="A50" s="4" t="inlineStr">
        <is>
          <t>diagnósticos falsos, porque una falla de nivel bajo desajusta todas las lecturas de arriba.</t>
        </is>
      </c>
    </row>
    <row r="51">
      <c r="A51" s="4" t="inlineStr">
        <is>
          <t xml:space="preserve">    1. Suministro eléctrico y control — tensiones internas, tarjetas, comunicaciones.</t>
        </is>
      </c>
    </row>
    <row r="52">
      <c r="A52" s="4" t="inlineStr">
        <is>
          <t xml:space="preserve">    2. Sistema neumático y hermeticidad — fugas, caudal y presión de bomba.</t>
        </is>
      </c>
    </row>
    <row r="53">
      <c r="A53" s="4" t="inlineStr">
        <is>
          <t xml:space="preserve">    3. Lazo de control térmico — celda, catalizador, convertidor, deozonizador.</t>
        </is>
      </c>
    </row>
    <row r="54">
      <c r="A54" s="4" t="inlineStr">
        <is>
          <t xml:space="preserve">    4. Sistema óptico — lámpara, ventanas, filtros, detector.</t>
        </is>
      </c>
    </row>
    <row r="55">
      <c r="A55" s="4" t="inlineStr">
        <is>
          <t xml:space="preserve">    5. Calibración y ajuste de cero y span — solo cuando los cuatro niveles anteriores estén conformes.</t>
        </is>
      </c>
    </row>
    <row r="57">
      <c r="A57" s="4" t="inlineStr">
        <is>
          <t>Por eso el grafo casi siempre apunta hacia atrás, del síntoma a su causa: el caudal de muestra</t>
        </is>
      </c>
    </row>
    <row r="58">
      <c r="A58" s="4" t="inlineStr">
        <is>
          <t>remite al filtro, a la presión de bomba y a las férulas, no al revés. Y por eso hay enlaces en</t>
        </is>
      </c>
    </row>
    <row r="59">
      <c r="A59" s="4" t="inlineStr">
        <is>
          <t>ambos sentidos entre ítems que se diagnostican mutuamente (caudal y presión de bomba, por</t>
        </is>
      </c>
    </row>
    <row r="60">
      <c r="A60" s="4" t="inlineStr">
        <is>
          <t>ejemplo): es una red de diagnóstico, no un árbol estricto, y recorrerla en ciclo es legítimo</t>
        </is>
      </c>
    </row>
    <row r="61">
      <c r="A61" s="4" t="inlineStr">
        <is>
          <t>mientras se avance en el orden de los cinco niveles.</t>
        </is>
      </c>
    </row>
    <row r="63">
      <c r="A63" s="3" t="inlineStr">
        <is>
          <t>De dónde salió el encadenamiento</t>
        </is>
      </c>
    </row>
    <row r="64">
      <c r="A64" s="4" t="inlineStr">
        <is>
          <t>De la lista de alarmas del manual de operación de cada modelo, de la sección de troubleshooting</t>
        </is>
      </c>
    </row>
    <row r="65">
      <c r="A65" s="4" t="inlineStr">
        <is>
          <t>del Service Manual común de la serie APXX-370, de los manuales de mantenimiento y de los</t>
        </is>
      </c>
    </row>
    <row r="66">
      <c r="A66" s="4" t="inlineStr">
        <is>
          <t>informes MT de Ambientalia, consultados en los cuatro notebooks de NotebookLM. Los síntomas</t>
        </is>
      </c>
    </row>
    <row r="67">
      <c r="A67" s="4" t="inlineStr">
        <is>
          <t>cubiertos incluyen todas las alarmas del equipo: FLOW 1 y FLO1, PRE1 y PRESS 1, ZERO y SPAN,</t>
        </is>
      </c>
    </row>
    <row r="68">
      <c r="A68" s="4" t="inlineStr">
        <is>
          <t>LAMP, CELL, CAT y CONV, TS_1, PS_1 a PS_3, BATT, CF e I2C COMM. ERR.</t>
        </is>
      </c>
    </row>
    <row r="70">
      <c r="A70" s="4" t="inlineStr">
        <is>
          <t>Advertencia: el encadenamiento es una propuesta construida sobre esas fuentes, no un árbol de</t>
        </is>
      </c>
    </row>
    <row r="71">
      <c r="A71" s="4" t="inlineStr">
        <is>
          <t>decisión publicado por HORIBA. Revísenlo con el equipo de servicio antes de usarlo como</t>
        </is>
      </c>
    </row>
    <row r="72">
      <c r="A72" s="4" t="inlineStr">
        <is>
          <t>procedimiento formal, sobre todo en las ramas eléctricas y de tarjetas.</t>
        </is>
      </c>
    </row>
    <row r="74">
      <c r="A74" s="3" t="inlineStr">
        <is>
          <t>Novedades de la v3.0</t>
        </is>
      </c>
    </row>
    <row r="75">
      <c r="A75" s="4" t="inlineStr">
        <is>
          <t>Nueva columna J, «Criterio de falla»: qué consecuencia tiene que ese ítem resulte no conforme.</t>
        </is>
      </c>
    </row>
    <row r="76">
      <c r="A76" s="4" t="inlineStr">
        <is>
          <t>Tres niveles, con una lista desplegable en cada celda para poder reclasificar:</t>
        </is>
      </c>
    </row>
    <row r="78">
      <c r="A78" s="4" t="inlineStr">
        <is>
          <t>Alerta       Se registra y se informa. No detiene el proceso ni genera cobro.</t>
        </is>
      </c>
    </row>
    <row r="79">
      <c r="A79" s="4" t="inlineStr">
        <is>
          <t>Cobrable     Genera línea de cotización; alimenta el presupuesto al cliente.</t>
        </is>
      </c>
    </row>
    <row r="80">
      <c r="A80" s="4" t="inlineStr">
        <is>
          <t>Bloqueante   Impide continuar; el equipo no se libera sin resolverlo.</t>
        </is>
      </c>
    </row>
    <row r="82">
      <c r="A82" s="4" t="inlineStr">
        <is>
          <t>Cuando un hallazgo cae en dos niveles a la vez —un diafragma roto se cotiza y además invalida</t>
        </is>
      </c>
    </row>
    <row r="83">
      <c r="A83" s="4" t="inlineStr">
        <is>
          <t>la medición— se registró el de mayor consecuencia, es decir Bloqueante. Por eso al armar el</t>
        </is>
      </c>
    </row>
    <row r="84">
      <c r="A84" s="4" t="inlineStr">
        <is>
          <t>presupuesto conviene revisar también los bloqueantes: muchos llevan repuesto asociado y</t>
        </is>
      </c>
    </row>
    <row r="85">
      <c r="A85" s="4" t="inlineStr">
        <is>
          <t>generan línea de cotización aunque no estén marcados como cobrables.</t>
        </is>
      </c>
    </row>
    <row r="87">
      <c r="A87" s="4" t="inlineStr">
        <is>
          <t>Criterio usado para clasificar:</t>
        </is>
      </c>
    </row>
    <row r="88">
      <c r="A88" s="4" t="inlineStr">
        <is>
          <t>· Bloqueante  cuando el hallazgo invalida la medición o impide entregar el equipo en servicio:</t>
        </is>
      </c>
    </row>
    <row r="89">
      <c r="A89" s="4" t="inlineStr">
        <is>
          <t xml:space="preserve">              coeficientes de calibración fuera de rango, derivas y linealidad fuera de spec,</t>
        </is>
      </c>
    </row>
    <row r="90">
      <c r="A90" s="4" t="inlineStr">
        <is>
          <t xml:space="preserve">              fugas (férulas o tuercas ausentes, estanqueidad), caudal o presión de bomba fuera</t>
        </is>
      </c>
    </row>
    <row r="91">
      <c r="A91" s="4" t="inlineStr">
        <is>
          <t xml:space="preserve">              de rango, temperatura de celda o de detector, intensidad de lámpara bajo el umbral</t>
        </is>
      </c>
    </row>
    <row r="92">
      <c r="A92" s="4" t="inlineStr">
        <is>
          <t xml:space="preserve">              de alarma, eficiencia del convertidor de NO2 a NO, tensiones internas de 24 V y 5 V,</t>
        </is>
      </c>
    </row>
    <row r="93">
      <c r="A93" s="4" t="inlineStr">
        <is>
          <t xml:space="preserve">              tarjetas sin actividad, fusible abierto y salidas analógicas descalibradas.</t>
        </is>
      </c>
    </row>
    <row r="94">
      <c r="A94" s="4" t="inlineStr">
        <is>
          <t>· Cobrable    consumibles al final de su vida útil y partes que se reemplazan sin que el equipo</t>
        </is>
      </c>
    </row>
    <row r="95">
      <c r="A95" s="4" t="inlineStr">
        <is>
          <t xml:space="preserve">              quede fuera de servicio: filtros, juntas tóricas, empaques, diafragmas, scrubbers,</t>
        </is>
      </c>
    </row>
    <row r="96">
      <c r="A96" s="4" t="inlineStr">
        <is>
          <t xml:space="preserve">              sílica gel, HC Cutter, batería, esponjas, panel táctil, bisagras y horómetros vencidos.</t>
        </is>
      </c>
    </row>
    <row r="97">
      <c r="A97" s="4" t="inlineStr">
        <is>
          <t>· Alerta      trazabilidad, configuración y entorno: seriales, etiquetas, número HGS, versión de</t>
        </is>
      </c>
    </row>
    <row r="98">
      <c r="A98" s="4" t="inlineStr">
        <is>
          <t xml:space="preserve">              firmware, Machine ID, parámetros de la secuencia AIC, DIP switches de comunicaciones,</t>
        </is>
      </c>
    </row>
    <row r="99">
      <c r="A99" s="4" t="inlineStr">
        <is>
          <t xml:space="preserve">              y condiciones del shelter (temperatura, humedad, polvo, altitud, espacio en rack).</t>
        </is>
      </c>
    </row>
    <row r="101">
      <c r="A101" s="4" t="inlineStr">
        <is>
          <t>Reparto resultante: 164 ítems bloqueantes, 92 cobrables y 76 de alerta sobre 332. La mitad</t>
        </is>
      </c>
    </row>
    <row r="102">
      <c r="A102" s="4" t="inlineStr">
        <is>
          <t>bloqueante es consecuencia directa de la regla de «mayor consecuencia»: los ítems que son a la</t>
        </is>
      </c>
    </row>
    <row r="103">
      <c r="A103" s="4" t="inlineStr">
        <is>
          <t>vez cobrables y bloqueantes quedaron del lado bloqueante. Es una propuesta, no una política</t>
        </is>
      </c>
    </row>
    <row r="104">
      <c r="A104" s="4" t="inlineStr">
        <is>
          <t>cerrada: revísenla con el equipo de servicio y reclasifiquen desde el desplegable lo que</t>
        </is>
      </c>
    </row>
    <row r="105">
      <c r="A105" s="4" t="inlineStr">
        <is>
          <t>corresponda al criterio comercial de Ambientalia.</t>
        </is>
      </c>
    </row>
    <row r="107">
      <c r="A107" s="4" t="inlineStr">
        <is>
          <t>La hoja Resumen incorpora dos tableros nuevos: «Hallazgos por criterio de falla», que cuenta los</t>
        </is>
      </c>
    </row>
    <row r="108">
      <c r="A108" s="4" t="inlineStr">
        <is>
          <t>no conformes y los que requieren reemplazo por nivel y por modelo, y «Estado de liberación del</t>
        </is>
      </c>
    </row>
    <row r="109">
      <c r="A109" s="4" t="inlineStr">
        <is>
          <t>equipo», que devuelve el veredicto de cada analizador a partir de los bloqueantes abiertos.</t>
        </is>
      </c>
    </row>
    <row r="111">
      <c r="A111" s="3" t="inlineStr">
        <is>
          <t>Novedades de la v2.0</t>
        </is>
      </c>
    </row>
    <row r="112">
      <c r="A112" s="4" t="inlineStr">
        <is>
          <t>1) Nueva columna F, «Cómo se realiza la inspección»: el procedimiento concreto de cada ítem —</t>
        </is>
      </c>
    </row>
    <row r="113">
      <c r="A113" s="4" t="inlineStr">
        <is>
          <t xml:space="preserve">   por qué menú del equipo se lee el valor, qué se desmonta, con qué instrumento se mide y en</t>
        </is>
      </c>
    </row>
    <row r="114">
      <c r="A114" s="4" t="inlineStr">
        <is>
          <t xml:space="preserve">   qué condiciones—. Está en verde claro para distinguirla del resto del catálogo.</t>
        </is>
      </c>
    </row>
    <row r="115">
      <c r="A115" s="4" t="inlineStr">
        <is>
          <t>2) La columna de repuesto pasó a llamarse «Repuesto / parte asociada (catálogo Zoho Books)» y</t>
        </is>
      </c>
    </row>
    <row r="116">
      <c r="A116" s="4" t="inlineStr">
        <is>
          <t xml:space="preserve">   ahora contiene el nombre y el SKU reales de los artículos del catálogo de Ambientalia, no</t>
        </is>
      </c>
    </row>
    <row r="117">
      <c r="A117" s="4" t="inlineStr">
        <is>
          <t xml:space="preserve">   referencias sueltas de los manuales. Se revisaron los 106 artículos de las categorías</t>
        </is>
      </c>
    </row>
    <row r="118">
      <c r="A118" s="4" t="inlineStr">
        <is>
          <t xml:space="preserve">   C&amp;R AP Series, C&amp;R APMA-370, C&amp;R APSA-370, C&amp;R APOA-370 y C&amp;R APNA-370.</t>
        </is>
      </c>
    </row>
    <row r="119">
      <c r="A119" s="4" t="inlineStr">
        <is>
          <t>3) Hoja nueva «Repuestos Zoho»: los 106 artículos del catálogo y a qué ítems quedó asociado</t>
        </is>
      </c>
    </row>
    <row r="120">
      <c r="A120" s="4" t="inlineStr">
        <is>
          <t xml:space="preserve">   cada uno, incluidos los que no se pudieron asociar.</t>
        </is>
      </c>
    </row>
    <row r="122">
      <c r="A122" s="3" t="inlineStr">
        <is>
          <t>Qué contiene este libro</t>
        </is>
      </c>
    </row>
    <row r="123">
      <c r="A123" s="4" t="inlineStr">
        <is>
          <t>Una hoja de inspección por modelo de analizador. Cada hoja es a la vez el catálogo maestro de la</t>
        </is>
      </c>
    </row>
    <row r="124">
      <c r="A124" s="4" t="inlineStr">
        <is>
          <t>jerarquía (niveles macro N1, subniveles N2 e ítems N3) y la hoja de captura de una visita: las</t>
        </is>
      </c>
    </row>
    <row r="125">
      <c r="A125" s="4" t="inlineStr">
        <is>
          <t>columnas A a T definen el ítem, las columnas U a Y (en amarillo) las diligencia el técnico y las</t>
        </is>
      </c>
    </row>
    <row r="126">
      <c r="A126" s="4" t="inlineStr">
        <is>
          <t>columnas W y Z se calculan solas.</t>
        </is>
      </c>
    </row>
    <row r="128">
      <c r="A128" s="3" t="inlineStr">
        <is>
          <t>Hojas del libro</t>
        </is>
      </c>
    </row>
    <row r="129">
      <c r="A129" s="4" t="inlineStr">
        <is>
          <t>APMA-370 (CO)   Analizador de monóxido de carbono HORIBA APMA-370 · NDIR con modulación de flujo cruzado</t>
        </is>
      </c>
    </row>
    <row r="130">
      <c r="A130" s="4" t="inlineStr">
        <is>
          <t xml:space="preserve">                10 niveles macro, 34 subniveles y 80 ítems (35 con repuesto del catálogo Zoho).</t>
        </is>
      </c>
    </row>
    <row r="131">
      <c r="A131" s="4" t="inlineStr">
        <is>
          <t>APSA-370 (SO2)  Analizador de dióxido de azufre HORIBA APSA-370 · Fluorescencia ultravioleta (UVF)</t>
        </is>
      </c>
    </row>
    <row r="132">
      <c r="A132" s="4" t="inlineStr">
        <is>
          <t xml:space="preserve">                10 niveles macro, 37 subniveles y 96 ítems (35 con repuesto del catálogo Zoho).</t>
        </is>
      </c>
    </row>
    <row r="133">
      <c r="A133" s="4" t="inlineStr">
        <is>
          <t>APOA-370 (O3)   Analizador de ozono HORIBA APOA-370 · Absorción UV no dispersiva (NDUV)</t>
        </is>
      </c>
    </row>
    <row r="134">
      <c r="A134" s="4" t="inlineStr">
        <is>
          <t xml:space="preserve">                10 niveles macro, 39 subniveles y 80 ítems (30 con repuesto del catálogo Zoho).</t>
        </is>
      </c>
    </row>
    <row r="135">
      <c r="A135" s="4" t="inlineStr">
        <is>
          <t>APNA-370 (NOx)  Analizador de óxidos de nitrógeno HORIBA APNA-370 · Quimiluminiscencia en fase reducida</t>
        </is>
      </c>
    </row>
    <row r="136">
      <c r="A136" s="4" t="inlineStr">
        <is>
          <t xml:space="preserve">                10 niveles macro, 37 subniveles y 76 ítems (33 con repuesto del catálogo Zoho).</t>
        </is>
      </c>
    </row>
    <row r="137">
      <c r="A137" s="4" t="inlineStr">
        <is>
          <t>Informe hallazgosLos 332 ítems con su comentario ya redactado, listo para el informe.</t>
        </is>
      </c>
    </row>
    <row r="138">
      <c r="A138" s="4" t="inlineStr">
        <is>
          <t>Flujo No OK     Los 662 enlaces del grafo de diagnóstico, con hipervínculos y rama activa.</t>
        </is>
      </c>
    </row>
    <row r="139">
      <c r="A139" s="4" t="inlineStr">
        <is>
          <t>Repuestos Zoho  Los 106 artículos del catálogo y su asociación a los ítems de inspección.</t>
        </is>
      </c>
    </row>
    <row r="140">
      <c r="A140" s="4" t="inlineStr">
        <is>
          <t>Resumen         Conformidad por nivel macro, comparativo entre modelos, hallazgos por criterio</t>
        </is>
      </c>
    </row>
    <row r="141">
      <c r="A141" s="4" t="inlineStr">
        <is>
          <t xml:space="preserve">                de falla y estado de liberación de cada equipo.</t>
        </is>
      </c>
    </row>
    <row r="142">
      <c r="A142" s="4" t="inlineStr">
        <is>
          <t>Listas          Dominios de las listas desplegables.</t>
        </is>
      </c>
    </row>
    <row r="144">
      <c r="A144" s="3" t="inlineStr">
        <is>
          <t>Origen de la estructura</t>
        </is>
      </c>
    </row>
    <row r="145">
      <c r="A145" s="4" t="inlineStr">
        <is>
          <t>Los niveles macro, subniveles e ítems se derivaron de los notebooks de NotebookLM «ST HORIBA</t>
        </is>
      </c>
    </row>
    <row r="146">
      <c r="A146" s="4" t="inlineStr">
        <is>
          <t>APMA-370», «ST HORIBA APSA-370», «ST HORIBA APOA-370» y «ST HORIBA APNA-370», que reúnen los</t>
        </is>
      </c>
    </row>
    <row r="147">
      <c r="A147" s="4" t="inlineStr">
        <is>
          <t>manuales de operación y de mantenimiento en español de cada modelo, el Service Manual común de la</t>
        </is>
      </c>
    </row>
    <row r="148">
      <c r="A148" s="4" t="inlineStr">
        <is>
          <t>serie APXX-370, las diapositivas de Service Training, los procedimientos internos de Ambientalia</t>
        </is>
      </c>
    </row>
    <row r="149">
      <c r="A149" s="4" t="inlineStr">
        <is>
          <t>y los informes de mantenimiento (MT) en sitio. HORIBA no publica una lista de chequeo formalizada</t>
        </is>
      </c>
    </row>
    <row r="150">
      <c r="A150" s="4" t="inlineStr">
        <is>
          <t>de inspección física, por lo que esta jerarquía es una propuesta construida a partir de los</t>
        </is>
      </c>
    </row>
    <row r="151">
      <c r="A151" s="4" t="inlineStr">
        <is>
          <t>hallazgos y valores que se repiten en esas fuentes. La columna «Fuente documental» indica de qué</t>
        </is>
      </c>
    </row>
    <row r="152">
      <c r="A152" s="4" t="inlineStr">
        <is>
          <t>documento salió cada ítem.</t>
        </is>
      </c>
    </row>
    <row r="154">
      <c r="A154" s="3" t="inlineStr">
        <is>
          <t>Cómo se construyó la columna «Cómo se realiza la inspección»</t>
        </is>
      </c>
    </row>
    <row r="155">
      <c r="A155" s="4" t="inlineStr">
        <is>
          <t>El procedimiento se redactó a partir de las mismas fuentes que sustentan cada ítem: la ruta de</t>
        </is>
      </c>
    </row>
    <row r="156">
      <c r="A156" s="4" t="inlineStr">
        <is>
          <t>menú cuando el dato se lee en pantalla (MENU / MAINTENANCE / ANALOG INPUT, HOUR METER, CAL., etc.),</t>
        </is>
      </c>
    </row>
    <row r="157">
      <c r="A157" s="4" t="inlineStr">
        <is>
          <t>el desmontaje descrito en el manual de mantenimiento cuando hay que abrir el equipo, y el</t>
        </is>
      </c>
    </row>
    <row r="158">
      <c r="A158" s="4" t="inlineStr">
        <is>
          <t>instrumento de referencia cuando la verificación es independiente (flujómetro de burbuja,</t>
        </is>
      </c>
    </row>
    <row r="159">
      <c r="A159" s="4" t="inlineStr">
        <is>
          <t>manómetro de baja presión, multímetro, termohigrómetro, barómetro patrón). Es una redacción</t>
        </is>
      </c>
    </row>
    <row r="160">
      <c r="A160" s="4" t="inlineStr">
        <is>
          <t>propia, no una transcripción literal del fabricante: revísela y ajústela al protocolo interno</t>
        </is>
      </c>
    </row>
    <row r="161">
      <c r="A161" s="4" t="inlineStr">
        <is>
          <t>antes de entregarla a un técnico como instructivo formal.</t>
        </is>
      </c>
    </row>
    <row r="163">
      <c r="A163" s="4" t="inlineStr">
        <is>
          <t>Advertencia de seguridad: varios procedimientos implican abrir el equipo con partes calientes o</t>
        </is>
      </c>
    </row>
    <row r="164">
      <c r="A164" s="4" t="inlineStr">
        <is>
          <t>con alto voltaje presente (lámpara de xenón del APSA, lámpara del ozonizador del APNA, fuente de</t>
        </is>
      </c>
    </row>
    <row r="165">
      <c r="A165" s="4" t="inlineStr">
        <is>
          <t>poder, transformador de bomba). Donde aplica, el texto indica desconectar y esperar el enfriamiento.</t>
        </is>
      </c>
    </row>
    <row r="167">
      <c r="A167" s="3" t="inlineStr">
        <is>
          <t>Cómo se asociaron los repuestos del catálogo Zoho Books</t>
        </is>
      </c>
    </row>
    <row r="168">
      <c r="A168" s="4" t="inlineStr">
        <is>
          <t>Se consultaron los 106 artículos activos de las cinco categorías indicadas y se asociaron a los</t>
        </is>
      </c>
    </row>
    <row r="169">
      <c r="A169" s="4" t="inlineStr">
        <is>
          <t>ítems de inspección por correspondencia de número de parte y de descripción del componente. Un</t>
        </is>
      </c>
    </row>
    <row r="170">
      <c r="A170" s="4" t="inlineStr">
        <is>
          <t>mismo artículo puede quedar asociado a varios ítems (por ejemplo el elemento filtrante PA-10L</t>
        </is>
      </c>
    </row>
    <row r="171">
      <c r="A171" s="4" t="inlineStr">
        <is>
          <t>aparece en el ítem de inspección visual y en el del horómetro), y un ítem puede tener varios</t>
        </is>
      </c>
    </row>
    <row r="172">
      <c r="A172" s="4" t="inlineStr">
        <is>
          <t>artículos asociados. Las variantes «-TCA» y «-1PC» del catálogo se muestran como alternativas</t>
        </is>
      </c>
    </row>
    <row r="173">
      <c r="A173" s="4" t="inlineStr">
        <is>
          <t>del artículo base, no como artículos separados.</t>
        </is>
      </c>
    </row>
    <row r="175">
      <c r="A175" s="4" t="inlineStr">
        <is>
          <t>No quedaron asociados: los ocho kits anuales (APMA370-SP2A / SP3A y equivalentes de APSA, APOA y</t>
        </is>
      </c>
    </row>
    <row r="176">
      <c r="A176" s="4" t="inlineStr">
        <is>
          <t>APNA), porque aplican al modelo completo y no a un ítem concreto, y cuatro artículos cuya</t>
        </is>
      </c>
    </row>
    <row r="177">
      <c r="A177" s="4" t="inlineStr">
        <is>
          <t>descripción en Zoho no permite ubicarlos con certeza: Cable Assembly (3200629117), Printed Board</t>
        </is>
      </c>
    </row>
    <row r="178">
      <c r="A178" s="4" t="inlineStr">
        <is>
          <t>Unit (3200778525), Switch Seesaw (3030020924) y Filter P8 EPDM (3012167290). Vale la pena</t>
        </is>
      </c>
    </row>
    <row r="179">
      <c r="A179" s="4" t="inlineStr">
        <is>
          <t>completar su descripción en el catálogo para poder asociarlos en una versión futura.</t>
        </is>
      </c>
    </row>
    <row r="181">
      <c r="A181" s="3" t="inlineStr">
        <is>
          <t>Correcciones respecto de la v1.0</t>
        </is>
      </c>
    </row>
    <row r="182">
      <c r="A182" s="4" t="inlineStr">
        <is>
          <t>Al cotejar contra el catálogo aparecieron referencias de la v1.0 que no correspondían:</t>
        </is>
      </c>
    </row>
    <row r="183">
      <c r="A183" s="4" t="inlineStr">
        <is>
          <t>· Varios ítems del APMA (trampa de humedad, bomba, válvula SV-2, catalizador CAT-1, ventilador)</t>
        </is>
      </c>
    </row>
    <row r="184">
      <c r="A184" s="4" t="inlineStr">
        <is>
          <t xml:space="preserve">  traían todos el mismo número 3200043946, que no existe como artículo. Se reemplazaron por el</t>
        </is>
      </c>
    </row>
    <row r="185">
      <c r="A185" s="4" t="inlineStr">
        <is>
          <t xml:space="preserve">  artículo correcto donde lo hay, y se marcaron como pendientes de crear en Zoho donde no.</t>
        </is>
      </c>
    </row>
    <row r="186">
      <c r="A186" s="4" t="inlineStr">
        <is>
          <t>· El APMA traía la lámpara IR como «AP-XEP-02». AP-XEP-02 es la tarjeta de potencia de la lámpara</t>
        </is>
      </c>
    </row>
    <row r="187">
      <c r="A187" s="4" t="inlineStr">
        <is>
          <t xml:space="preserve">  de xenón del APSA (artículo 3200092499), no la lámpara del APMA. Se corrigió en ambos modelos.</t>
        </is>
      </c>
    </row>
    <row r="188">
      <c r="A188" s="4" t="inlineStr">
        <is>
          <t>· En el APNA, el número 3014059379 estaba asignado al filtro óptico del detector, pero en el</t>
        </is>
      </c>
    </row>
    <row r="189">
      <c r="A189" s="4" t="inlineStr">
        <is>
          <t xml:space="preserve">  catálogo corresponde al O-Ring W del reactor. Se reasignó al ítem de hermeticidad del reactor.</t>
        </is>
      </c>
    </row>
    <row r="190">
      <c r="A190" s="4" t="inlineStr">
        <is>
          <t>· En el APNA, el número 3014035610 estaba asignado también al orificio crítico; en el catálogo es</t>
        </is>
      </c>
    </row>
    <row r="191">
      <c r="A191" s="4" t="inlineStr">
        <is>
          <t xml:space="preserve">  la unidad de electroválvula. Se dejó solo en el ítem de electroválvulas.</t>
        </is>
      </c>
    </row>
    <row r="192">
      <c r="A192" s="4" t="inlineStr">
        <is>
          <t>· La batería de reloj del APMA figuraba como 3030052489; en el catálogo es 3200043671.</t>
        </is>
      </c>
    </row>
    <row r="194">
      <c r="A194" s="3" t="inlineStr">
        <is>
          <t>Niveles macro comunes a los cuatro modelos</t>
        </is>
      </c>
    </row>
    <row r="195">
      <c r="A195" s="4" t="inlineStr">
        <is>
          <t>Los diez niveles macro son idénticos en las cuatro hojas, para permitir comparar equipos entre sí</t>
        </is>
      </c>
    </row>
    <row r="196">
      <c r="A196" s="4" t="inlineStr">
        <is>
          <t>en la hoja Resumen. Lo que cambia entre modelos es el contenido de los subniveles y de los ítems:</t>
        </is>
      </c>
    </row>
    <row r="197">
      <c r="A197" s="4" t="inlineStr">
        <is>
          <t>el nivel 6 («Banco de medición y óptica») recoge la técnica propia de cada analizador.</t>
        </is>
      </c>
    </row>
    <row r="198">
      <c r="A198" s="4" t="inlineStr">
        <is>
          <t xml:space="preserve">    1. Verificación funcional inicial</t>
        </is>
      </c>
    </row>
    <row r="199">
      <c r="A199" s="4" t="inlineStr">
        <is>
          <t xml:space="preserve">    2. Identificación y trazabilidad</t>
        </is>
      </c>
    </row>
    <row r="200">
      <c r="A200" s="4" t="inlineStr">
        <is>
          <t xml:space="preserve">    3. Estado de calibración</t>
        </is>
      </c>
    </row>
    <row r="201">
      <c r="A201" s="4" t="inlineStr">
        <is>
          <t xml:space="preserve">    4. Línea de muestreo y acondicionamiento</t>
        </is>
      </c>
    </row>
    <row r="202">
      <c r="A202" s="4" t="inlineStr">
        <is>
          <t xml:space="preserve">    5. Sistema neumático</t>
        </is>
      </c>
    </row>
    <row r="203">
      <c r="A203" s="4" t="inlineStr">
        <is>
          <t xml:space="preserve">    6. Banco de medición y óptica</t>
        </is>
      </c>
    </row>
    <row r="204">
      <c r="A204" s="4" t="inlineStr">
        <is>
          <t xml:space="preserve">    7. Electrónica y control</t>
        </is>
      </c>
    </row>
    <row r="205">
      <c r="A205" s="4" t="inlineStr">
        <is>
          <t xml:space="preserve">    8. Filtros y consumibles</t>
        </is>
      </c>
    </row>
    <row r="206">
      <c r="A206" s="4" t="inlineStr">
        <is>
          <t xml:space="preserve">    9. Sensores auxiliares</t>
        </is>
      </c>
    </row>
    <row r="207">
      <c r="A207" s="4" t="inlineStr">
        <is>
          <t xml:space="preserve">    10. Gabinete, montaje e instalación</t>
        </is>
      </c>
    </row>
    <row r="209">
      <c r="A209" s="3" t="inlineStr">
        <is>
          <t>Qué diligencia el técnico (columnas en amarillo)</t>
        </is>
      </c>
    </row>
    <row r="210">
      <c r="A210" s="4" t="inlineStr">
        <is>
          <t>Resultado         Lista desplegable: Conforme / No conforme / Requiere reemplazo / No aplica / Pendiente.</t>
        </is>
      </c>
    </row>
    <row r="211">
      <c r="A211" s="4" t="inlineStr">
        <is>
          <t>Valor medido      Solo para ítems de tipo Numérico o Fecha. Se contrasta contra los límites (LI/LS) de la misma fila.</t>
        </is>
      </c>
    </row>
    <row r="212">
      <c r="A212" s="4" t="inlineStr">
        <is>
          <t>Foto adjunta      Sí / No / No aplica — si el técnico adjuntó evidencia fotográfica en esta visita.</t>
        </is>
      </c>
    </row>
    <row r="213">
      <c r="A213" s="4" t="inlineStr">
        <is>
          <t>Observación       Texto libre: es lo que después alimenta la redacción del informe.</t>
        </is>
      </c>
    </row>
    <row r="215">
      <c r="A215" s="4" t="inlineStr">
        <is>
          <t>La columna «Verificación de rango» (W) es automática: compara el valor medido contra los límites</t>
        </is>
      </c>
    </row>
    <row r="216">
      <c r="A216" s="4" t="inlineStr">
        <is>
          <t>inferior y superior de la fila y devuelve «Dentro de rango», «Fuera de rango» o «Sin dato».</t>
        </is>
      </c>
    </row>
    <row r="217">
      <c r="A217" s="4" t="inlineStr">
        <is>
          <t>Solo actúa sobre ítems de tipo Numérico.</t>
        </is>
      </c>
    </row>
    <row r="219">
      <c r="A219" s="3" t="inlineStr">
        <is>
          <t>Criterios usados para «Obligatorio» y «Evidencia fotográfica requerida»</t>
        </is>
      </c>
    </row>
    <row r="220">
      <c r="A220" s="4" t="inlineStr">
        <is>
          <t>Obligatorio      Sí en todos los ítems, salvo los marcados como opcionales en la documentación del</t>
        </is>
      </c>
    </row>
    <row r="221">
      <c r="A221" s="4" t="inlineStr">
        <is>
          <t xml:space="preserve">                 fabricante (por ejemplo el sensor de caudal de muestra o el ozonizador interno).</t>
        </is>
      </c>
    </row>
    <row r="222">
      <c r="A222" s="4" t="inlineStr">
        <is>
          <t>Evidencia foto.  Sí en los ítems de inspección visual (tipo OK / No OK y Presente / Ausente), donde la</t>
        </is>
      </c>
    </row>
    <row r="223">
      <c r="A223" s="4" t="inlineStr">
        <is>
          <t xml:space="preserve">                 fotografía es la evidencia del hallazgo; No en lecturas numéricas y de texto, cuyo</t>
        </is>
      </c>
    </row>
    <row r="224">
      <c r="A224" s="4" t="inlineStr">
        <is>
          <t xml:space="preserve">                 registro es el propio valor. Ajústelo según el protocolo de cada cliente.</t>
        </is>
      </c>
    </row>
    <row r="226">
      <c r="A226" s="3" t="inlineStr">
        <is>
          <t>Advertencias sobre los límites numéricos</t>
        </is>
      </c>
    </row>
    <row r="227">
      <c r="A227" s="4" t="inlineStr">
        <is>
          <t>Se incorporaron los valores oficiales encontrados en las fuentes: rangos de caudal y presión de</t>
        </is>
      </c>
    </row>
    <row r="228">
      <c r="A228" s="4" t="inlineStr">
        <is>
          <t>bomba, coeficientes de calibración de cero y span, derivas diaria y semanal, temperaturas de celda</t>
        </is>
      </c>
    </row>
    <row r="229">
      <c r="A229" s="4" t="inlineStr">
        <is>
          <t>y de detector, intensidad de lámpara, eficiencia del convertidor de NO2 a NO, tensiones internas de</t>
        </is>
      </c>
    </row>
    <row r="230">
      <c r="A230" s="4" t="inlineStr">
        <is>
          <t>24 V y 5 V, y periodicidades de reemplazo de consumibles en horas.</t>
        </is>
      </c>
    </row>
    <row r="232">
      <c r="A232" s="4" t="inlineStr">
        <is>
          <t>Quedan ítems con la leyenda PENDIENTE DE VALIDAR en el criterio de aceptación: son aquellos para los</t>
        </is>
      </c>
    </row>
    <row r="233">
      <c r="A233" s="4" t="inlineStr">
        <is>
          <t>que ninguna de las fuentes revisadas da un valor numérico (por ejemplo el límite superior del tiempo</t>
        </is>
      </c>
    </row>
    <row r="234">
      <c r="A234" s="4" t="inlineStr">
        <is>
          <t>de calentamiento del APMA y del APOA, el amperaje exacto de los fusibles, o la vida útil en horas de</t>
        </is>
      </c>
    </row>
    <row r="235">
      <c r="A235" s="4" t="inlineStr">
        <is>
          <t>la lámpara de xenón del APSA). Se dejan sin límite para no introducir criterios sin respaldo.</t>
        </is>
      </c>
    </row>
    <row r="237">
      <c r="A237" s="4" t="inlineStr">
        <is>
          <t>Dos observaciones que conviene verificar antes de usar el libro como criterio de aceptación:</t>
        </is>
      </c>
    </row>
    <row r="238">
      <c r="A238" s="4" t="inlineStr">
        <is>
          <t>1) La temperatura de celda se especifica como «temperatura ambiente + 5 a 15 °C», es decir es un</t>
        </is>
      </c>
    </row>
    <row r="239">
      <c r="A239" s="4" t="inlineStr">
        <is>
          <t xml:space="preserve">   valor relativo. En el APMA y el APSA se dejaron límites absolutos derivados de una temperatura</t>
        </is>
      </c>
    </row>
    <row r="240">
      <c r="A240" s="4" t="inlineStr">
        <is>
          <t xml:space="preserve">   ambiente típica de sala; en el APOA se dejó sin límites y el criterio quedó en texto. Conviene</t>
        </is>
      </c>
    </row>
    <row r="241">
      <c r="A241" s="4" t="inlineStr">
        <is>
          <t xml:space="preserve">   fijar el rango en función de la temperatura real de cada shelter.</t>
        </is>
      </c>
    </row>
    <row r="242">
      <c r="A242" s="4" t="inlineStr">
        <is>
          <t>2) Para el APNA, el rango de flujo de muestra que aparece en el manual de operación (0,8 a 1,4 L/min)</t>
        </is>
      </c>
    </row>
    <row r="243">
      <c r="A243" s="4" t="inlineStr">
        <is>
          <t xml:space="preserve">   y el rango de alarma FLO1 del Service Manual (0,6 a 1,5 L/min) son distintos: se registraron ambos</t>
        </is>
      </c>
    </row>
    <row r="244">
      <c r="A244" s="4" t="inlineStr">
        <is>
          <t xml:space="preserve">   como ítems separados, pero conviene definir cuál se usa como criterio de aceptación en campo.</t>
        </is>
      </c>
    </row>
    <row r="246">
      <c r="A246" s="4" t="inlineStr">
        <is>
          <t>Nota: para repetir la inspección en una visita futura sin perder el histórico, duplique la hoja del</t>
        </is>
      </c>
    </row>
    <row r="247">
      <c r="A247" s="4" t="inlineStr">
        <is>
          <t>modelo (clic derecho → Mover o copiar → Crear una copia) antes de diligenciar las columnas U a 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62" customWidth="1" min="14" max="14"/>
    <col width="10" customWidth="1" min="15" max="15"/>
    <col width="10" customWidth="1" min="16" max="16"/>
    <col width="11" customWidth="1" min="17" max="17"/>
    <col width="14" customWidth="1" min="18" max="18"/>
    <col width="46" customWidth="1" min="19" max="19"/>
    <col width="34" customWidth="1" min="20" max="20"/>
    <col width="19" customWidth="1" min="21" max="21"/>
    <col width="13" customWidth="1" min="22" max="22"/>
    <col width="17" customWidth="1" min="23" max="23"/>
    <col width="12" customWidth="1" min="24" max="24"/>
    <col width="46" customWidth="1" min="25" max="25"/>
    <col width="80" customWidth="1" min="26" max="26"/>
  </cols>
  <sheetData>
    <row r="1" ht="18" customHeight="1">
      <c r="A1" s="5" t="inlineStr">
        <is>
          <t>FASE 1 — INSPECCIÓN FÍSICA DEL EQUIPO · APMA-370 (CO)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NDIR con modulación de flujo cruzado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monóxido de carbono HORIBA APMA-370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Comentario de falla (informe al cliente)</t>
        </is>
      </c>
      <c r="O8" s="9" t="inlineStr">
        <is>
          <t>Límite inferior</t>
        </is>
      </c>
      <c r="P8" s="9" t="inlineStr">
        <is>
          <t>Límite superior</t>
        </is>
      </c>
      <c r="Q8" s="9" t="inlineStr">
        <is>
          <t>Obligatorio</t>
        </is>
      </c>
      <c r="R8" s="9" t="inlineStr">
        <is>
          <t>Evidencia fotográfica requerida</t>
        </is>
      </c>
      <c r="S8" s="9" t="inlineStr">
        <is>
          <t>Repuesto / parte asociada (catálogo Zoho Books)</t>
        </is>
      </c>
      <c r="T8" s="9" t="inlineStr">
        <is>
          <t>Fuente documental</t>
        </is>
      </c>
      <c r="U8" s="9" t="inlineStr">
        <is>
          <t>Resultado</t>
        </is>
      </c>
      <c r="V8" s="9" t="inlineStr">
        <is>
          <t>Valor medido</t>
        </is>
      </c>
      <c r="W8" s="9" t="inlineStr">
        <is>
          <t>Verificación de rango</t>
        </is>
      </c>
      <c r="X8" s="9" t="inlineStr">
        <is>
          <t>Foto adjunta</t>
        </is>
      </c>
      <c r="Y8" s="9" t="inlineStr">
        <is>
          <t>Observación</t>
        </is>
      </c>
      <c r="Z8" s="9" t="inlineStr">
        <is>
          <t>Comentario para el informe (automático)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encendido (Power LED)</t>
        </is>
      </c>
      <c r="E9" s="11" t="inlineStr">
        <is>
          <t>Color del LED indicador de encendido en el panel frontal</t>
        </is>
      </c>
      <c r="F9" s="12" t="inlineStr">
        <is>
          <t>Con el equipo energizado, observar el LED de la esquina inferior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fijo (operación normal). Rojo indica alarma activa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1.1.2</t>
        </is>
      </c>
      <c r="M9" s="14" t="inlineStr">
        <is>
          <t>Registrar el color y pasar al listado de alarmas antes de continuar</t>
        </is>
      </c>
      <c r="N9" s="16" t="inlineStr">
        <is>
          <t>El indicador de encendido del panel frontal no muestra el estado normal de operación, lo que señala una condición de alarma activa en el analizador.</t>
        </is>
      </c>
      <c r="O9" s="10" t="n"/>
      <c r="P9" s="10" t="n"/>
      <c r="Q9" s="10" t="inlineStr">
        <is>
          <t>Sí</t>
        </is>
      </c>
      <c r="R9" s="10" t="inlineStr">
        <is>
          <t>Sí</t>
        </is>
      </c>
      <c r="S9" s="11" t="inlineStr"/>
      <c r="T9" s="11" t="inlineStr">
        <is>
          <t>P-ST-018-MAN OPER APMA 370 V2</t>
        </is>
      </c>
      <c r="U9" s="17" t="inlineStr">
        <is>
          <t>Pendiente</t>
        </is>
      </c>
      <c r="V9" s="17" t="n"/>
      <c r="W9" s="10">
        <f>IF($G9&lt;&gt;"Numérico","",IF($V9="","Sin dato",IF(AND(OR(NOT(ISNUMBER($O9)),$V9&gt;=$O9),OR(NOT(ISNUMBER($P9)),$V9&lt;=$P9)),"Dentro de rango","Fuera de rango")))</f>
        <v/>
      </c>
      <c r="X9" s="17" t="n"/>
      <c r="Y9" s="18" t="n"/>
      <c r="Z9" s="16">
        <f>IF(OR($U9="",$U9="Conforme",$U9="No aplica",$U9="Pendiente"),"",$N9&amp;IF($W9="Fuera de rango"," Valor medido: "&amp;TEXT($V9,"0.####")&amp;IF($H9="",""," "&amp;$H9)&amp;IF(AND(ISNUMBER($O9),$V9&lt;$O9),", por debajo del límite inferior de "&amp;TEXT($O9,"0.####")&amp;IF($H9="",""," "&amp;$H9),"")&amp;IF(AND(ISNUMBER($P9),$V9&gt;$P9),", por encima del límite superior de "&amp;TEXT($P9,"0.####")&amp;IF($H9="",""," "&amp;$H9),"")&amp;".","")&amp;IF($Y9="",""," "&amp;$Y9&amp;IF(RIGHT($Y9,1)=".","","."))&amp;" Acción recomendada: "&amp;$M9&amp;IF(RIGHT($M9,1)=".","",".")&amp;IF($J9="Bloqueante"," El equipo no se libera hasta resolver este hallazgo.",IF($J9="Cobrable"," Se incluye en la cotización de repuestos y consumibles."," Se deja registrado como observación.")))</f>
        <v/>
      </c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LED de alarma (Alarm LED)</t>
        </is>
      </c>
      <c r="E10" s="11" t="inlineStr">
        <is>
          <t>Estado de alarma activa verificado mediante el color del indicador frontal</t>
        </is>
      </c>
      <c r="F10" s="12" t="inlineStr">
        <is>
          <t>Observar el LED de alarma en el panel frontal. Si está en rojo, entrar a MENU / ALARM y anotar el código de alarma activo antes de continuar.</t>
        </is>
      </c>
      <c r="G10" s="10" t="inlineStr">
        <is>
          <t>Sí/No</t>
        </is>
      </c>
      <c r="H10" s="10" t="inlineStr"/>
      <c r="I10" s="11" t="inlineStr">
        <is>
          <t>El LED de alarma debe permanecer apagado. Si cambia a rojo indica fallo de hardware o de parámetro</t>
        </is>
      </c>
      <c r="J10" s="13" t="inlineStr">
        <is>
          <t>Bloqueante</t>
        </is>
      </c>
      <c r="K10" s="14" t="inlineStr">
        <is>
          <t>Alarma activa de proceso, de calibración o de tarjeta</t>
        </is>
      </c>
      <c r="L10" s="15" t="inlineStr">
        <is>
          <t>3.1.1 ; 5.1.1 ; 5.1.2 ; 9.1.1</t>
        </is>
      </c>
      <c r="M10" s="14" t="inlineStr">
        <is>
          <t>Anotar el código en MENU/ALARM y entrar por la rama que corresponda</t>
        </is>
      </c>
      <c r="N10" s="16" t="inlineStr">
        <is>
          <t>El analizador presenta al menos una alarma activa al momento de la inspección.</t>
        </is>
      </c>
      <c r="O10" s="10" t="n"/>
      <c r="P10" s="10" t="n"/>
      <c r="Q10" s="10" t="inlineStr">
        <is>
          <t>Sí</t>
        </is>
      </c>
      <c r="R10" s="10" t="inlineStr">
        <is>
          <t>No</t>
        </is>
      </c>
      <c r="S10" s="11" t="inlineStr"/>
      <c r="T10" s="11" t="inlineStr">
        <is>
          <t>P-ST-018-MAN OPER APMA 370 V2</t>
        </is>
      </c>
      <c r="U10" s="17" t="inlineStr">
        <is>
          <t>Pendiente</t>
        </is>
      </c>
      <c r="V10" s="17" t="n"/>
      <c r="W10" s="10">
        <f>IF($G10&lt;&gt;"Numérico","",IF($V10="","Sin dato",IF(AND(OR(NOT(ISNUMBER($O10)),$V10&gt;=$O10),OR(NOT(ISNUMBER($P10)),$V10&lt;=$P10)),"Dentro de rango","Fuera de rango")))</f>
        <v/>
      </c>
      <c r="X10" s="17" t="n"/>
      <c r="Y10" s="18" t="n"/>
      <c r="Z10" s="16">
        <f>IF(OR($U10="",$U10="Conforme",$U10="No aplica",$U10="Pendiente"),"",$N10&amp;IF($W10="Fuera de rango"," Valor medido: "&amp;TEXT($V10,"0.####")&amp;IF($H10="",""," "&amp;$H10)&amp;IF(AND(ISNUMBER($O10),$V10&lt;$O10),", por debajo del límite inferior de "&amp;TEXT($O10,"0.####")&amp;IF($H10="",""," "&amp;$H10),"")&amp;IF(AND(ISNUMBER($P10),$V10&gt;$P10),", por encima del límite superior de "&amp;TEXT($P10,"0.####")&amp;IF($H10="",""," "&amp;$H10),"")&amp;".","")&amp;IF($Y10="",""," "&amp;$Y10&amp;IF(RIGHT($Y10,1)=".","","."))&amp;" Acción recomendada: "&amp;$M10&amp;IF(RIGHT($M10,1)=".","",".")&amp;IF($J10="Bloqueante"," El equipo no se libera hasta resolver este hallazgo.",IF($J10="Cobrable"," Se incluye en la cotización de repuestos y consumibles."," Se deja registrado como observación.")))</f>
        <v/>
      </c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Inicialización del display (TFT LCD)</t>
        </is>
      </c>
      <c r="E11" s="11" t="inlineStr">
        <is>
          <t>Arranque correcto y despliegue del menú MEAS. sin bloqueos ni líneas muertas</t>
        </is>
      </c>
      <c r="F11" s="12" t="inlineStr">
        <is>
          <t>Encender el equipo y observar la secuencia de arranque completa hasta que aparezca la pantalla MEAS. Presionar tres o cuatro botones de menú para confirmar que no hay zonas muertas ni bloqueos.</t>
        </is>
      </c>
      <c r="G11" s="10" t="inlineStr">
        <is>
          <t>OK / No OK</t>
        </is>
      </c>
      <c r="H11" s="10" t="inlineStr"/>
      <c r="I11" s="11" t="inlineStr">
        <is>
          <t>La pantalla LCD TFT debe encender de forma estable y permitir navegación táctil</t>
        </is>
      </c>
      <c r="J11" s="13" t="inlineStr">
        <is>
          <t>Cobrable</t>
        </is>
      </c>
      <c r="K11" s="14" t="inlineStr">
        <is>
          <t>Cinta flex del LCD agrietada o suelta; panel táctil o unidad LCD averiados</t>
        </is>
      </c>
      <c r="L11" s="15" t="inlineStr">
        <is>
          <t>7.3.1 ; 7.3.2 ; 7.4.1</t>
        </is>
      </c>
      <c r="M11" s="14" t="inlineStr">
        <is>
          <t>Prueba cruzada con cinta y CPU de servicio; reemplazar la unidad LCD si el fallo sigue en la pantalla</t>
        </is>
      </c>
      <c r="N11" s="16" t="inlineStr">
        <is>
          <t>La pantalla del analizador no arranca correctamente: presenta bloqueos, zonas sin imagen o no despliega el menú de medición.</t>
        </is>
      </c>
      <c r="O11" s="10" t="n"/>
      <c r="P11" s="10" t="n"/>
      <c r="Q11" s="10" t="inlineStr">
        <is>
          <t>Sí</t>
        </is>
      </c>
      <c r="R11" s="10" t="inlineStr">
        <is>
          <t>Sí</t>
        </is>
      </c>
      <c r="S11" s="11" t="inlineStr">
        <is>
          <t>LCD Plate (3200595501) · LCD Unit (Apen LCD + Touch Panel) (3014035613) · LCD Unit / AP-370 is composed of CPU-02 (printed circuit board), chassis, and LCD. (3200627065) · LCD Unit chassis, and LCD. (3200618696)</t>
        </is>
      </c>
      <c r="T11" s="11" t="inlineStr">
        <is>
          <t>AP-370 LCD replacement / MT_191TE0NC_APMA370_241226</t>
        </is>
      </c>
      <c r="U11" s="17" t="inlineStr">
        <is>
          <t>Pendiente</t>
        </is>
      </c>
      <c r="V11" s="17" t="n"/>
      <c r="W11" s="10">
        <f>IF($G11&lt;&gt;"Numérico","",IF($V11="","Sin dato",IF(AND(OR(NOT(ISNUMBER($O11)),$V11&gt;=$O11),OR(NOT(ISNUMBER($P11)),$V11&lt;=$P11)),"Dentro de rango","Fuera de rango")))</f>
        <v/>
      </c>
      <c r="X11" s="17" t="n"/>
      <c r="Y11" s="18" t="n"/>
      <c r="Z11" s="16">
        <f>IF(OR($U11="",$U11="Conforme",$U11="No aplica",$U11="Pendiente"),"",$N11&amp;IF($W11="Fuera de rango"," Valor medido: "&amp;TEXT($V11,"0.####")&amp;IF($H11="",""," "&amp;$H11)&amp;IF(AND(ISNUMBER($O11),$V11&lt;$O11),", por debajo del límite inferior de "&amp;TEXT($O11,"0.####")&amp;IF($H11="",""," "&amp;$H11),"")&amp;IF(AND(ISNUMBER($P11),$V11&gt;$P11),", por encima del límite superior de "&amp;TEXT($P11,"0.####")&amp;IF($H11="",""," "&amp;$H11),"")&amp;".","")&amp;IF($Y11="",""," "&amp;$Y11&amp;IF(RIGHT($Y11,1)=".","","."))&amp;" Acción recomendada: "&amp;$M11&amp;IF(RIGHT($M11,1)=".","",".")&amp;IF($J11="Bloqueante"," El equipo no se libera hasta resolver este hallazgo.",IF($J11="Cobrable"," Se incluye en la cotización de repuestos y consumibles."," Se deja registrado como observación.")))</f>
        <v/>
      </c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 de software</t>
        </is>
      </c>
      <c r="D12" s="11" t="inlineStr">
        <is>
          <t>Versión de programa (firmware)</t>
        </is>
      </c>
      <c r="E12" s="11" t="inlineStr">
        <is>
          <t>Lectura de la versión de programa en la pantalla de información de software</t>
        </is>
      </c>
      <c r="F12" s="12" t="inlineStr">
        <is>
          <t>En la pantalla táctil ir a MENU / SYSTEM / INFORMATION y leer el número de programa. Anotarlo textualmente y contrastarlo con el estándar de fábrica.</t>
        </is>
      </c>
      <c r="G12" s="10" t="inlineStr">
        <is>
          <t>Texto</t>
        </is>
      </c>
      <c r="H12" s="10" t="inlineStr"/>
      <c r="I12" s="11" t="inlineStr">
        <is>
          <t>Debe coincidir con la versión homologada de fábrica (estándar AP: P1000878001)</t>
        </is>
      </c>
      <c r="J12" s="13" t="inlineStr">
        <is>
          <t>Alerta</t>
        </is>
      </c>
      <c r="K12" s="14" t="inlineStr">
        <is>
          <t>Programa no homologado, o CPU sustituida sin recargar la configuración de fábrica</t>
        </is>
      </c>
      <c r="L12" s="15" t="inlineStr">
        <is>
          <t>7.1.1</t>
        </is>
      </c>
      <c r="M12" s="14" t="inlineStr">
        <is>
          <t>Confirmar el HGS con fábrica y recargar la configuración desde la CF antes de calibrar</t>
        </is>
      </c>
      <c r="N12" s="16" t="inlineStr">
        <is>
          <t>La versión de programa instalada no corresponde a la versión homologada de fábrica para este analizador.</t>
        </is>
      </c>
      <c r="O12" s="10" t="n"/>
      <c r="P12" s="10" t="n"/>
      <c r="Q12" s="10" t="inlineStr">
        <is>
          <t>Sí</t>
        </is>
      </c>
      <c r="R12" s="10" t="inlineStr">
        <is>
          <t>No</t>
        </is>
      </c>
      <c r="S12" s="11" t="inlineStr"/>
      <c r="T12" s="11" t="inlineStr">
        <is>
          <t>1 - LCD design change AP EN</t>
        </is>
      </c>
      <c r="U12" s="17" t="inlineStr">
        <is>
          <t>Pendiente</t>
        </is>
      </c>
      <c r="V12" s="17" t="n"/>
      <c r="W12" s="10">
        <f>IF($G12&lt;&gt;"Numérico","",IF($V12="","Sin dato",IF(AND(OR(NOT(ISNUMBER($O12)),$V12&gt;=$O12),OR(NOT(ISNUMBER($P12)),$V12&lt;=$P12)),"Dentro de rango","Fuera de rango")))</f>
        <v/>
      </c>
      <c r="X12" s="17" t="n"/>
      <c r="Y12" s="18" t="n"/>
      <c r="Z12" s="16">
        <f>IF(OR($U12="",$U12="Conforme",$U12="No aplica",$U12="Pendiente"),"",$N12&amp;IF($W12="Fuera de rango"," Valor medido: "&amp;TEXT($V12,"0.####")&amp;IF($H12="",""," "&amp;$H12)&amp;IF(AND(ISNUMBER($O12),$V12&lt;$O12),", por debajo del límite inferior de "&amp;TEXT($O12,"0.####")&amp;IF($H12="",""," "&amp;$H12),"")&amp;IF(AND(ISNUMBER($P12),$V12&gt;$P12),", por encima del límite superior de "&amp;TEXT($P12,"0.####")&amp;IF($H12="",""," "&amp;$H12),"")&amp;".","")&amp;IF($Y12="",""," "&amp;$Y12&amp;IF(RIGHT($Y12,1)=".","","."))&amp;" Acción recomendada: "&amp;$M12&amp;IF(RIGHT($M12,1)=".","",".")&amp;IF($J12="Bloqueante"," El equipo no se libera hasta resolver este hallazgo.",IF($J12="Cobrable"," Se incluye en la cotización de repuestos y consumibles."," Se deja registrado como observación.")))</f>
        <v/>
      </c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inicial (warm-up)</t>
        </is>
      </c>
      <c r="E13" s="11" t="inlineStr">
        <is>
          <t>Tiempo transcurrido desde el encendido en frío hasta la estabilización</t>
        </is>
      </c>
      <c r="F13" s="12" t="inlineStr">
        <is>
          <t>Anotar la hora de encendido del equipo y calcular las horas transcurridas hasta el momento de la inspección o de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de calentamiento para estabilizar banco óptico y catalizador antes de medir. Límite superior PENDIENTE DE VALIDAR</t>
        </is>
      </c>
      <c r="J13" s="13" t="inlineStr">
        <is>
          <t>Alerta</t>
        </is>
      </c>
      <c r="K13" s="14" t="inlineStr">
        <is>
          <t>Equipo encendido hace menos de 3 h: banco óptico y catalizador aún inestables</t>
        </is>
      </c>
      <c r="L13" s="15" t="inlineStr">
        <is>
          <t>9.1.1 ; 9.1.2</t>
        </is>
      </c>
      <c r="M13" s="14" t="inlineStr">
        <is>
          <t>Esperar a completar el calentamiento; no calibrar ni juzgar derivas hasta entonces</t>
        </is>
      </c>
      <c r="N13" s="16" t="inlineStr">
        <is>
          <t>El analizador no ha completado el tiempo mínimo de calentamiento, por lo que sus lecturas aún no son representativas.</t>
        </is>
      </c>
      <c r="O13" s="10" t="n">
        <v>3</v>
      </c>
      <c r="P13" s="10" t="n"/>
      <c r="Q13" s="10" t="inlineStr">
        <is>
          <t>Sí</t>
        </is>
      </c>
      <c r="R13" s="10" t="inlineStr">
        <is>
          <t>No</t>
        </is>
      </c>
      <c r="S13" s="11" t="inlineStr"/>
      <c r="T13" s="11" t="inlineStr">
        <is>
          <t>GZ0000117746B SM E APXX-370 (Service Manual)</t>
        </is>
      </c>
      <c r="U13" s="17" t="inlineStr">
        <is>
          <t>Pendiente</t>
        </is>
      </c>
      <c r="V13" s="17" t="n"/>
      <c r="W13" s="10">
        <f>IF($G13&lt;&gt;"Numérico","",IF($V13="","Sin dato",IF(AND(OR(NOT(ISNUMBER($O13)),$V13&gt;=$O13),OR(NOT(ISNUMBER($P13)),$V13&lt;=$P13)),"Dentro de rango","Fuera de rango")))</f>
        <v/>
      </c>
      <c r="X13" s="17" t="n"/>
      <c r="Y13" s="18" t="n"/>
      <c r="Z13" s="16">
        <f>IF(OR($U13="",$U13="Conforme",$U13="No aplica",$U13="Pendiente"),"",$N13&amp;IF($W13="Fuera de rango"," Valor medido: "&amp;TEXT($V13,"0.####")&amp;IF($H13="",""," "&amp;$H13)&amp;IF(AND(ISNUMBER($O13),$V13&lt;$O13),", por debajo del límite inferior de "&amp;TEXT($O13,"0.####")&amp;IF($H13="",""," "&amp;$H13),"")&amp;IF(AND(ISNUMBER($P13),$V13&gt;$P13),", por encima del límite superior de "&amp;TEXT($P13,"0.####")&amp;IF($H13="",""," "&amp;$H13),"")&amp;".","")&amp;IF($Y13="",""," "&amp;$Y13&amp;IF(RIGHT($Y13,1)=".","","."))&amp;" Acción recomendada: "&amp;$M13&amp;IF(RIGHT($M13,1)=".","",".")&amp;IF($J13="Bloqueante"," El equipo no se libera hasta resolver este hallazgo.",IF($J13="Cobrable"," Se incluye en la cotización de repuestos y consumibles."," Se deja registrado como observación.")))</f>
        <v/>
      </c>
    </row>
    <row r="14" ht="48" customHeight="1">
      <c r="A14" s="10" t="inlineStr">
        <is>
          <t>2.1.1</t>
        </is>
      </c>
      <c r="B14" s="10" t="inlineStr">
        <is>
          <t>2. Identificación y trazabilidad</t>
        </is>
      </c>
      <c r="C14" s="10" t="inlineStr">
        <is>
          <t>2.1 Placas e identificación física</t>
        </is>
      </c>
      <c r="D14" s="11" t="inlineStr">
        <is>
          <t>Placa de número de serie frontal</t>
        </is>
      </c>
      <c r="E14" s="11" t="inlineStr">
        <is>
          <t>Presencia y legibilidad del número de serie en el panel frontal inferior</t>
        </is>
      </c>
      <c r="F14" s="12" t="inlineStr">
        <is>
          <t>Localizar la placa serigrafiada en la parte inferior del panel frontal, leerla y fotografiarla. Contrastar con la orden de servicio y la hoja de vida del equipo.</t>
        </is>
      </c>
      <c r="G14" s="10" t="inlineStr">
        <is>
          <t>Texto</t>
        </is>
      </c>
      <c r="H14" s="10" t="inlineStr"/>
      <c r="I14" s="11" t="inlineStr">
        <is>
          <t>Debe ser legible y coincidir con el registro y la hoja de vida de la estación</t>
        </is>
      </c>
      <c r="J14" s="13" t="inlineStr">
        <is>
          <t>Alerta</t>
        </is>
      </c>
      <c r="K14" s="14" t="inlineStr">
        <is>
          <t>Placa ilegible, despegada, o equipo distinto al de la orden de servicio</t>
        </is>
      </c>
      <c r="L14" s="15" t="inlineStr">
        <is>
          <t>2.1.2</t>
        </is>
      </c>
      <c r="M14" s="14" t="inlineStr">
        <is>
          <t>Registrar el serial real, fotografiarlo y corregir la hoja de vida</t>
        </is>
      </c>
      <c r="N14" s="16" t="inlineStr">
        <is>
          <t>La placa de identificación frontal no es legible o no coincide con el equipo registrado en la orden de servicio.</t>
        </is>
      </c>
      <c r="O14" s="10" t="n"/>
      <c r="P14" s="10" t="n"/>
      <c r="Q14" s="10" t="inlineStr">
        <is>
          <t>Sí</t>
        </is>
      </c>
      <c r="R14" s="10" t="inlineStr">
        <is>
          <t>No</t>
        </is>
      </c>
      <c r="S14" s="11" t="inlineStr"/>
      <c r="T14" s="11" t="inlineStr">
        <is>
          <t>MT_U7D80D0J_APMA370_260116</t>
        </is>
      </c>
      <c r="U14" s="17" t="inlineStr">
        <is>
          <t>Pendiente</t>
        </is>
      </c>
      <c r="V14" s="17" t="n"/>
      <c r="W14" s="10">
        <f>IF($G14&lt;&gt;"Numérico","",IF($V14="","Sin dato",IF(AND(OR(NOT(ISNUMBER($O14)),$V14&gt;=$O14),OR(NOT(ISNUMBER($P14)),$V14&lt;=$P14)),"Dentro de rango","Fuera de rango")))</f>
        <v/>
      </c>
      <c r="X14" s="17" t="n"/>
      <c r="Y14" s="18" t="n"/>
      <c r="Z14" s="16">
        <f>IF(OR($U14="",$U14="Conforme",$U14="No aplica",$U14="Pendiente"),"",$N14&amp;IF($W14="Fuera de rango"," Valor medido: "&amp;TEXT($V14,"0.####")&amp;IF($H14="",""," "&amp;$H14)&amp;IF(AND(ISNUMBER($O14),$V14&lt;$O14),", por debajo del límite inferior de "&amp;TEXT($O14,"0.####")&amp;IF($H14="",""," "&amp;$H14),"")&amp;IF(AND(ISNUMBER($P14),$V14&gt;$P14),", por encima del límite superior de "&amp;TEXT($P14,"0.####")&amp;IF($H14="",""," "&amp;$H14),"")&amp;".","")&amp;IF($Y14="",""," "&amp;$Y14&amp;IF(RIGHT($Y14,1)=".","","."))&amp;" Acción recomendada: "&amp;$M14&amp;IF(RIGHT($M14,1)=".","",".")&amp;IF($J14="Bloqueante"," El equipo no se libera hasta resolver este hallazgo.",IF($J14="Cobrable"," Se incluye en la cotización de repuestos y consumibles."," Se deja registrado como observación.")))</f>
        <v/>
      </c>
    </row>
    <row r="15" ht="48" customHeight="1">
      <c r="A15" s="10" t="inlineStr">
        <is>
          <t>2.1.2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Placa de número de serie posterior</t>
        </is>
      </c>
      <c r="E15" s="11" t="inlineStr">
        <is>
          <t>Presencia y legibilidad de la placa de datos metálica HORIBA en el panel trasero</t>
        </is>
      </c>
      <c r="F15" s="12" t="inlineStr">
        <is>
          <t>Retirar el equipo del rack lo suficiente para ver el panel trasero, o usar espejo de inspección, y leer la placa metálica de datos HORIBA. Verificar que coincida con el serial frontal.</t>
        </is>
      </c>
      <c r="G15" s="10" t="inlineStr">
        <is>
          <t>Texto</t>
        </is>
      </c>
      <c r="H15" s="10" t="inlineStr"/>
      <c r="I15" s="11" t="inlineStr">
        <is>
          <t>Debe ser legible y coincidir con el serial frontal y la etiqueta de la cabina</t>
        </is>
      </c>
      <c r="J15" s="13" t="inlineStr">
        <is>
          <t>Alerta</t>
        </is>
      </c>
      <c r="K15" s="14" t="inlineStr">
        <is>
          <t>Placa ilegible o no coincide con la frontal</t>
        </is>
      </c>
      <c r="L15" s="15" t="inlineStr">
        <is>
          <t>2.1.1</t>
        </is>
      </c>
      <c r="M15" s="14" t="inlineStr">
        <is>
          <t>Verificar contra la documentación de fábrica y reportar la discrepancia antes de intervenir</t>
        </is>
      </c>
      <c r="N15" s="16" t="inlineStr">
        <is>
          <t>La placa de datos del fabricante en el panel posterior no es legible o no coincide con la identificación frontal del equipo.</t>
        </is>
      </c>
      <c r="O15" s="10" t="n"/>
      <c r="P15" s="10" t="n"/>
      <c r="Q15" s="10" t="inlineStr">
        <is>
          <t>Sí</t>
        </is>
      </c>
      <c r="R15" s="10" t="inlineStr">
        <is>
          <t>No</t>
        </is>
      </c>
      <c r="S15" s="11" t="inlineStr"/>
      <c r="T15" s="11" t="inlineStr">
        <is>
          <t>MT_U7D80D0J_APMA370_260116</t>
        </is>
      </c>
      <c r="U15" s="17" t="inlineStr">
        <is>
          <t>Pendiente</t>
        </is>
      </c>
      <c r="V15" s="17" t="n"/>
      <c r="W15" s="10">
        <f>IF($G15&lt;&gt;"Numérico","",IF($V15="","Sin dato",IF(AND(OR(NOT(ISNUMBER($O15)),$V15&gt;=$O15),OR(NOT(ISNUMBER($P15)),$V15&lt;=$P15)),"Dentro de rango","Fuera de rango")))</f>
        <v/>
      </c>
      <c r="X15" s="17" t="n"/>
      <c r="Y15" s="18" t="n"/>
      <c r="Z15" s="16">
        <f>IF(OR($U15="",$U15="Conforme",$U15="No aplica",$U15="Pendiente"),"",$N15&amp;IF($W15="Fuera de rango"," Valor medido: "&amp;TEXT($V15,"0.####")&amp;IF($H15="",""," "&amp;$H15)&amp;IF(AND(ISNUMBER($O15),$V15&lt;$O15),", por debajo del límite inferior de "&amp;TEXT($O15,"0.####")&amp;IF($H15="",""," "&amp;$H15),"")&amp;IF(AND(ISNUMBER($P15),$V15&gt;$P15),", por encima del límite superior de "&amp;TEXT($P15,"0.####")&amp;IF($H15="",""," "&amp;$H15),"")&amp;".","")&amp;IF($Y15="",""," "&amp;$Y15&amp;IF(RIGHT($Y15,1)=".","","."))&amp;" Acción recomendada: "&amp;$M15&amp;IF(RIGHT($M15,1)=".","",".")&amp;IF($J15="Bloqueante"," El equipo no se libera hasta resolver este hallazgo.",IF($J15="Cobrable"," Se incluye en la cotización de repuestos y consumibles."," Se deja registrado como observación.")))</f>
        <v/>
      </c>
    </row>
    <row r="16" ht="48" customHeight="1">
      <c r="A16" s="10" t="inlineStr">
        <is>
          <t>2.2.1</t>
        </is>
      </c>
      <c r="B16" s="10" t="inlineStr">
        <is>
          <t>2. Identificación y trazabilidad</t>
        </is>
      </c>
      <c r="C16" s="10" t="inlineStr">
        <is>
          <t>2.2 Identificación lógica</t>
        </is>
      </c>
      <c r="D16" s="11" t="inlineStr">
        <is>
          <t>ID del equipo (Machine ID)</t>
        </is>
      </c>
      <c r="E16" s="11" t="inlineStr">
        <is>
          <t>Configuración del código ID del analizador para identificación en red</t>
        </is>
      </c>
      <c r="F16" s="12" t="inlineStr">
        <is>
          <t>Ir a MENU / SYSTEM / MACHINE ID y leer el valor configurado. Contrastarlo con el mapa de direcciones del sistema de adquisición de la estación.</t>
        </is>
      </c>
      <c r="G16" s="10" t="inlineStr">
        <is>
          <t>Numérico</t>
        </is>
      </c>
      <c r="H16" s="10" t="inlineStr"/>
      <c r="I16" s="11" t="inlineStr">
        <is>
          <t>El ID configurado en el menú SYSTEM debe coincidir con el asignado por el sistema de adquisición</t>
        </is>
      </c>
      <c r="J16" s="13" t="inlineStr">
        <is>
          <t>Alerta</t>
        </is>
      </c>
      <c r="K16" s="14" t="inlineStr">
        <is>
          <t>ID distinto al asignado en el sistema de adquisición</t>
        </is>
      </c>
      <c r="L16" s="15" t="inlineStr">
        <is>
          <t>7.5.1</t>
        </is>
      </c>
      <c r="M16" s="14" t="inlineStr">
        <is>
          <t>Corregir el ID en MENU/SYSTEM y confirmar la llegada del dato al datalogger</t>
        </is>
      </c>
      <c r="N16" s="16" t="inlineStr">
        <is>
          <t>El identificador del analizador no coincide con el asignado en el sistema de adquisición de datos de la estación.</t>
        </is>
      </c>
      <c r="O16" s="10" t="n">
        <v>0</v>
      </c>
      <c r="P16" s="10" t="n">
        <v>255</v>
      </c>
      <c r="Q16" s="10" t="inlineStr">
        <is>
          <t>Sí</t>
        </is>
      </c>
      <c r="R16" s="10" t="inlineStr">
        <is>
          <t>No</t>
        </is>
      </c>
      <c r="S16" s="11" t="inlineStr"/>
      <c r="T16" s="11" t="inlineStr">
        <is>
          <t>P-ST-018-MAN OPER APMA 370 V2</t>
        </is>
      </c>
      <c r="U16" s="17" t="inlineStr">
        <is>
          <t>Pendiente</t>
        </is>
      </c>
      <c r="V16" s="17" t="n"/>
      <c r="W16" s="10">
        <f>IF($G16&lt;&gt;"Numérico","",IF($V16="","Sin dato",IF(AND(OR(NOT(ISNUMBER($O16)),$V16&gt;=$O16),OR(NOT(ISNUMBER($P16)),$V16&lt;=$P16)),"Dentro de rango","Fuera de rango")))</f>
        <v/>
      </c>
      <c r="X16" s="17" t="n"/>
      <c r="Y16" s="18" t="n"/>
      <c r="Z16" s="16">
        <f>IF(OR($U16="",$U16="Conforme",$U16="No aplica",$U16="Pendiente"),"",$N16&amp;IF($W16="Fuera de rango"," Valor medido: "&amp;TEXT($V16,"0.####")&amp;IF($H16="",""," "&amp;$H16)&amp;IF(AND(ISNUMBER($O16),$V16&lt;$O16),", por debajo del límite inferior de "&amp;TEXT($O16,"0.####")&amp;IF($H16="",""," "&amp;$H16),"")&amp;IF(AND(ISNUMBER($P16),$V16&gt;$P16),", por encima del límite superior de "&amp;TEXT($P16,"0.####")&amp;IF($H16="",""," "&amp;$H16),"")&amp;".","")&amp;IF($Y16="",""," "&amp;$Y16&amp;IF(RIGHT($Y16,1)=".","","."))&amp;" Acción recomendada: "&amp;$M16&amp;IF(RIGHT($M16,1)=".","",".")&amp;IF($J16="Bloqueante"," El equipo no se libera hasta resolver este hallazgo.",IF($J16="Cobrable"," Se incluye en la cotización de repuestos y consumibles."," Se deja registrado como observación.")))</f>
        <v/>
      </c>
    </row>
    <row r="17" ht="48" customHeight="1">
      <c r="A17" s="10" t="inlineStr">
        <is>
          <t>2.3.1</t>
        </is>
      </c>
      <c r="B17" s="10" t="inlineStr">
        <is>
          <t>2. Identificación y trazabilidad</t>
        </is>
      </c>
      <c r="C17" s="10" t="inlineStr">
        <is>
          <t>2.3 Etiquetas de seguridad</t>
        </is>
      </c>
      <c r="D17" s="11" t="inlineStr">
        <is>
          <t>Señalización de choque eléctrico</t>
        </is>
      </c>
      <c r="E17" s="11" t="inlineStr">
        <is>
          <t>Etiquetas de advertencia de alto voltaje en cubiertas de placas y transformadores</t>
        </is>
      </c>
      <c r="F17" s="12" t="inlineStr">
        <is>
          <t>Con el equipo apagado y desconectado, retirar la cubierta superior y verificar visualmente la presencia y legibilidad de las etiquetas de advertencia sobre cubiertas de tarjetas y transformador.</t>
        </is>
      </c>
      <c r="G17" s="10" t="inlineStr">
        <is>
          <t>Presente / Ausente</t>
        </is>
      </c>
      <c r="H17" s="10" t="inlineStr"/>
      <c r="I17" s="11" t="inlineStr">
        <is>
          <t>Deben estar adheridas y legibles las advertencias Choque eléctrico 1, 2 y 3</t>
        </is>
      </c>
      <c r="J17" s="13" t="inlineStr">
        <is>
          <t>Alerta</t>
        </is>
      </c>
      <c r="K17" s="14" t="inlineStr">
        <is>
          <t>Etiqueta desprendida o ilegible por limpieza con solventes</t>
        </is>
      </c>
      <c r="L17" s="15" t="inlineStr">
        <is>
          <t>Nodo terminal — actuar directamente</t>
        </is>
      </c>
      <c r="M17" s="14" t="inlineStr">
        <is>
          <t>Reponer la etiqueta de seguridad y dejar constancia del faltante</t>
        </is>
      </c>
      <c r="N17" s="16" t="inlineStr">
        <is>
          <t>Faltan o no son legibles las etiquetas de advertencia de riesgo eléctrico en el interior del analizador.</t>
        </is>
      </c>
      <c r="O17" s="10" t="n"/>
      <c r="P17" s="10" t="n"/>
      <c r="Q17" s="10" t="inlineStr">
        <is>
          <t>Sí</t>
        </is>
      </c>
      <c r="R17" s="10" t="inlineStr">
        <is>
          <t>Sí</t>
        </is>
      </c>
      <c r="S17" s="11" t="inlineStr"/>
      <c r="T17" s="11" t="inlineStr">
        <is>
          <t>P-ST-019-MAN MTTO APMA370 V2</t>
        </is>
      </c>
      <c r="U17" s="17" t="inlineStr">
        <is>
          <t>Pendiente</t>
        </is>
      </c>
      <c r="V17" s="17" t="n"/>
      <c r="W17" s="10">
        <f>IF($G17&lt;&gt;"Numérico","",IF($V17="","Sin dato",IF(AND(OR(NOT(ISNUMBER($O17)),$V17&gt;=$O17),OR(NOT(ISNUMBER($P17)),$V17&lt;=$P17)),"Dentro de rango","Fuera de rango")))</f>
        <v/>
      </c>
      <c r="X17" s="17" t="n"/>
      <c r="Y17" s="18" t="n"/>
      <c r="Z17" s="16">
        <f>IF(OR($U17="",$U17="Conforme",$U17="No aplica",$U17="Pendiente"),"",$N17&amp;IF($W17="Fuera de rango"," Valor medido: "&amp;TEXT($V17,"0.####")&amp;IF($H17="",""," "&amp;$H17)&amp;IF(AND(ISNUMBER($O17),$V17&lt;$O17),", por debajo del límite inferior de "&amp;TEXT($O17,"0.####")&amp;IF($H17="",""," "&amp;$H17),"")&amp;IF(AND(ISNUMBER($P17),$V17&gt;$P17),", por encima del límite superior de "&amp;TEXT($P17,"0.####")&amp;IF($H17="",""," "&amp;$H17),"")&amp;".","")&amp;IF($Y17="",""," "&amp;$Y17&amp;IF(RIGHT($Y17,1)=".","","."))&amp;" Acción recomendada: "&amp;$M17&amp;IF(RIGHT($M17,1)=".","",".")&amp;IF($J17="Bloqueante"," El equipo no se libera hasta resolver este hallazgo.",IF($J17="Cobrable"," Se incluye en la cotización de repuestos y consumibles."," Se deja registrado como observación.")))</f>
        <v/>
      </c>
    </row>
    <row r="18" ht="48" customHeight="1">
      <c r="A18" s="10" t="inlineStr">
        <is>
          <t>2.3.2</t>
        </is>
      </c>
      <c r="B18" s="10" t="inlineStr">
        <is>
          <t>2. Identificación y trazabilidad</t>
        </is>
      </c>
      <c r="C18" s="10" t="inlineStr">
        <is>
          <t>2.3 Etiquetas de seguridad</t>
        </is>
      </c>
      <c r="D18" s="11" t="inlineStr">
        <is>
          <t>Señalización de componentes calientes</t>
        </is>
      </c>
      <c r="E18" s="11" t="inlineStr">
        <is>
          <t>Etiquetas adhesivas amarillas de advertencia térmica en zonas de alta temperatura</t>
        </is>
      </c>
      <c r="F18" s="12" t="inlineStr">
        <is>
          <t>Con el equipo frío y desconectado, retirar la cubierta superior y verificar la presencia de las etiquetas amarillas de advertencia térmica sobre la carcasa del catalizador y de la bomba.</t>
        </is>
      </c>
      <c r="G18" s="10" t="inlineStr">
        <is>
          <t>Presente / Ausente</t>
        </is>
      </c>
      <c r="H18" s="10" t="inlineStr"/>
      <c r="I18" s="11" t="inlineStr">
        <is>
          <t>Deben estar adheridas las etiquetas de calor sobre la carcasa del catalizador y de la bomba</t>
        </is>
      </c>
      <c r="J18" s="13" t="inlineStr">
        <is>
          <t>Alerta</t>
        </is>
      </c>
      <c r="K18" s="14" t="inlineStr">
        <is>
          <t>Etiqueta desprendida por el calor del catalizador o de la bomba</t>
        </is>
      </c>
      <c r="L18" s="15" t="inlineStr">
        <is>
          <t>Nodo terminal — actuar directamente</t>
        </is>
      </c>
      <c r="M18" s="14" t="inlineStr">
        <is>
          <t>Reponer la etiqueta de advertencia térmica</t>
        </is>
      </c>
      <c r="N18" s="16" t="inlineStr">
        <is>
          <t>Faltan o no son legibles las etiquetas de advertencia de superficies calientes sobre el catalizador y la bomba.</t>
        </is>
      </c>
      <c r="O18" s="10" t="n"/>
      <c r="P18" s="10" t="n"/>
      <c r="Q18" s="10" t="inlineStr">
        <is>
          <t>Sí</t>
        </is>
      </c>
      <c r="R18" s="10" t="inlineStr">
        <is>
          <t>Sí</t>
        </is>
      </c>
      <c r="S18" s="11" t="inlineStr"/>
      <c r="T18" s="11" t="inlineStr">
        <is>
          <t>P-ST-019-MAN MTTO APMA370 V2</t>
        </is>
      </c>
      <c r="U18" s="17" t="inlineStr">
        <is>
          <t>Pendiente</t>
        </is>
      </c>
      <c r="V18" s="17" t="n"/>
      <c r="W18" s="10">
        <f>IF($G18&lt;&gt;"Numérico","",IF($V18="","Sin dato",IF(AND(OR(NOT(ISNUMBER($O18)),$V18&gt;=$O18),OR(NOT(ISNUMBER($P18)),$V18&lt;=$P18)),"Dentro de rango","Fuera de rango")))</f>
        <v/>
      </c>
      <c r="X18" s="17" t="n"/>
      <c r="Y18" s="18" t="n"/>
      <c r="Z18" s="16">
        <f>IF(OR($U18="",$U18="Conforme",$U18="No aplica",$U18="Pendiente"),"",$N18&amp;IF($W18="Fuera de rango"," Valor medido: "&amp;TEXT($V18,"0.####")&amp;IF($H18="",""," "&amp;$H18)&amp;IF(AND(ISNUMBER($O18),$V18&lt;$O18),", por debajo del límite inferior de "&amp;TEXT($O18,"0.####")&amp;IF($H18="",""," "&amp;$H18),"")&amp;IF(AND(ISNUMBER($P18),$V18&gt;$P18),", por encima del límite superior de "&amp;TEXT($P18,"0.####")&amp;IF($H18="",""," "&amp;$H18),"")&amp;".","")&amp;IF($Y18="",""," "&amp;$Y18&amp;IF(RIGHT($Y18,1)=".","","."))&amp;" Acción recomendada: "&amp;$M18&amp;IF(RIGHT($M18,1)=".","",".")&amp;IF($J18="Bloqueante"," El equipo no se libera hasta resolver este hallazgo.",IF($J18="Cobrable"," Se incluye en la cotización de repuestos y consumibles."," Se deja registrado como observación.")))</f>
        <v/>
      </c>
    </row>
    <row r="19" ht="48" customHeight="1">
      <c r="A19" s="10" t="inlineStr">
        <is>
          <t>3.1.1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calibración de cero</t>
        </is>
      </c>
      <c r="E19" s="11" t="inlineStr">
        <is>
          <t>Factor de corrección de cero almacenado tras el último ajuste manual o AIC</t>
        </is>
      </c>
      <c r="F19" s="12" t="inlineStr">
        <is>
          <t>Ir a MENU / CAL. y leer el valor del coeficiente ZERO en pantalla. Anotarlo antes de realizar cualquier calibración; si parpadea, indica alarma de cero.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Debe estar dentro del rango operativo; fuera de él parpadea la alarma ZERO</t>
        </is>
      </c>
      <c r="J19" s="13" t="inlineStr">
        <is>
          <t>Bloqueante</t>
        </is>
      </c>
      <c r="K19" s="14" t="inlineStr">
        <is>
          <t>Aire cero contaminado, calentamiento insuficiente, catalizador CAT-1 agotado o humedad en la línea de referencia</t>
        </is>
      </c>
      <c r="L19" s="15" t="inlineStr">
        <is>
          <t>1.3.1 ; 6.4.1 ; 4.3.1 ; 5.3.2 ; 3.2.1</t>
        </is>
      </c>
      <c r="M19" s="14" t="inlineStr">
        <is>
          <t>Inyectar aire cero de cilindro certificado para descartar el generador; si persiste, seguir la rama de catalizador y humedad</t>
        </is>
      </c>
      <c r="N19" s="16" t="inlineStr">
        <is>
          <t>El coeficiente de calibración de cero se encuentra fuera del rango admisible, por lo que la calibración del punto cero no es válida.</t>
        </is>
      </c>
      <c r="O19" s="10" t="n">
        <v>-3500</v>
      </c>
      <c r="P19" s="10" t="n">
        <v>3500</v>
      </c>
      <c r="Q19" s="10" t="inlineStr">
        <is>
          <t>Sí</t>
        </is>
      </c>
      <c r="R19" s="10" t="inlineStr">
        <is>
          <t>No</t>
        </is>
      </c>
      <c r="S19" s="11" t="inlineStr"/>
      <c r="T19" s="11" t="inlineStr">
        <is>
          <t>P-ST-018-MAN OPER APMA 370 V2</t>
        </is>
      </c>
      <c r="U19" s="17" t="inlineStr">
        <is>
          <t>Pendiente</t>
        </is>
      </c>
      <c r="V19" s="17" t="n"/>
      <c r="W19" s="10">
        <f>IF($G19&lt;&gt;"Numérico","",IF($V19="","Sin dato",IF(AND(OR(NOT(ISNUMBER($O19)),$V19&gt;=$O19),OR(NOT(ISNUMBER($P19)),$V19&lt;=$P19)),"Dentro de rango","Fuera de rango")))</f>
        <v/>
      </c>
      <c r="X19" s="17" t="n"/>
      <c r="Y19" s="18" t="n"/>
      <c r="Z19" s="16">
        <f>IF(OR($U19="",$U19="Conforme",$U19="No aplica",$U19="Pendiente"),"",$N19&amp;IF($W19="Fuera de rango"," Valor medido: "&amp;TEXT($V19,"0.####")&amp;IF($H19="",""," "&amp;$H19)&amp;IF(AND(ISNUMBER($O19),$V19&lt;$O19),", por debajo del límite inferior de "&amp;TEXT($O19,"0.####")&amp;IF($H19="",""," "&amp;$H19),"")&amp;IF(AND(ISNUMBER($P19),$V19&gt;$P19),", por encima del límite superior de "&amp;TEXT($P19,"0.####")&amp;IF($H19="",""," "&amp;$H19),"")&amp;".","")&amp;IF($Y19="",""," "&amp;$Y19&amp;IF(RIGHT($Y19,1)=".","","."))&amp;" Acción recomendada: "&amp;$M19&amp;IF(RIGHT($M19,1)=".","",".")&amp;IF($J19="Bloqueante"," El equipo no se libera hasta resolver este hallazgo.",IF($J19="Cobrable"," Se incluye en la cotización de repuestos y consumibles."," Se deja registrado como observación.")))</f>
        <v/>
      </c>
    </row>
    <row r="20" ht="48" customHeight="1">
      <c r="A20" s="10" t="inlineStr">
        <is>
          <t>3.1.2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</t>
        </is>
      </c>
      <c r="E20" s="11" t="inlineStr">
        <is>
          <t>Ganancia del detector de CO calibrada con gas patrón y almacenada en memoria</t>
        </is>
      </c>
      <c r="F20" s="12" t="inlineStr">
        <is>
          <t>Ir a MENU / CAL. y leer el valor del coeficiente SPAN en pantalla. Anotarlo antes de calibrar; si parpadea, indica alarma de span.</t>
        </is>
      </c>
      <c r="G20" s="10" t="inlineStr">
        <is>
          <t>Numérico</t>
        </is>
      </c>
      <c r="H20" s="10" t="inlineStr"/>
      <c r="I20" s="11" t="inlineStr">
        <is>
          <t>Debe estar dentro de los límites de amplificación admitidos; fuera de él parpadea la alarma SPAN</t>
        </is>
      </c>
      <c r="J20" s="13" t="inlineStr">
        <is>
          <t>Bloqueante</t>
        </is>
      </c>
      <c r="K20" s="14" t="inlineStr">
        <is>
          <t>Concentración del patrón mal configurada, caudal de exceso insuficiente, o pérdida de intensidad óptica</t>
        </is>
      </c>
      <c r="L20" s="15" t="inlineStr">
        <is>
          <t>3.2.1 ; 3.2.2 ; 6.1.1 ; 6.2.2 ; 6.2.1</t>
        </is>
      </c>
      <c r="M20" s="14" t="inlineStr">
        <is>
          <t>Confirmar SPAN CONC. contra el certificado del cilindro y volver a calibrar</t>
        </is>
      </c>
      <c r="N20" s="16" t="inlineStr">
        <is>
          <t>El coeficiente de calibración de span se encuentra fuera del rango admisible, por lo que la calibración de sensibilidad no es válida.</t>
        </is>
      </c>
      <c r="O20" s="10" t="n">
        <v>0.5</v>
      </c>
      <c r="P20" s="10" t="n">
        <v>2</v>
      </c>
      <c r="Q20" s="10" t="inlineStr">
        <is>
          <t>Sí</t>
        </is>
      </c>
      <c r="R20" s="10" t="inlineStr">
        <is>
          <t>No</t>
        </is>
      </c>
      <c r="S20" s="11" t="inlineStr"/>
      <c r="T20" s="11" t="inlineStr">
        <is>
          <t>P-ST-018-MAN OPER APMA 370 V2</t>
        </is>
      </c>
      <c r="U20" s="17" t="inlineStr">
        <is>
          <t>Pendiente</t>
        </is>
      </c>
      <c r="V20" s="17" t="n"/>
      <c r="W20" s="10">
        <f>IF($G20&lt;&gt;"Numérico","",IF($V20="","Sin dato",IF(AND(OR(NOT(ISNUMBER($O20)),$V20&gt;=$O20),OR(NOT(ISNUMBER($P20)),$V20&lt;=$P20)),"Dentro de rango","Fuera de rango")))</f>
        <v/>
      </c>
      <c r="X20" s="17" t="n"/>
      <c r="Y20" s="18" t="n"/>
      <c r="Z20" s="16">
        <f>IF(OR($U20="",$U20="Conforme",$U20="No aplica",$U20="Pendiente"),"",$N20&amp;IF($W20="Fuera de rango"," Valor medido: "&amp;TEXT($V20,"0.####")&amp;IF($H20="",""," "&amp;$H20)&amp;IF(AND(ISNUMBER($O20),$V20&lt;$O20),", por debajo del límite inferior de "&amp;TEXT($O20,"0.####")&amp;IF($H20="",""," "&amp;$H20),"")&amp;IF(AND(ISNUMBER($P20),$V20&gt;$P20),", por encima del límite superior de "&amp;TEXT($P20,"0.####")&amp;IF($H20="",""," "&amp;$H20),"")&amp;".","")&amp;IF($Y20="",""," "&amp;$Y20&amp;IF(RIGHT($Y20,1)=".","","."))&amp;" Acción recomendada: "&amp;$M20&amp;IF(RIGHT($M20,1)=".","",".")&amp;IF($J20="Bloqueante"," El equipo no se libera hasta resolver este hallazgo.",IF($J20="Cobrable"," Se incluye en la cotización de repuestos y consumibles."," Se deja registrado como observación.")))</f>
        <v/>
      </c>
    </row>
    <row r="21" ht="48" customHeight="1">
      <c r="A21" s="10" t="inlineStr">
        <is>
          <t>3.2.1</t>
        </is>
      </c>
      <c r="B21" s="10" t="inlineStr">
        <is>
          <t>3. Estado de calibración</t>
        </is>
      </c>
      <c r="C21" s="10" t="inlineStr">
        <is>
          <t>3.2 Suministro de gases patrón</t>
        </is>
      </c>
      <c r="D21" s="11" t="inlineStr">
        <is>
          <t>Presión de entrada de gas patrón</t>
        </is>
      </c>
      <c r="E21" s="11" t="inlineStr">
        <is>
          <t>Presión de entrega de gases de referencia (cero y span) en las entradas traseras</t>
        </is>
      </c>
      <c r="F21" s="12" t="inlineStr">
        <is>
          <t>Conectar un manómetro de baja presión en la línea de gas patrón, aguas arriba de la entrada CAL GAS INLET, y leer la presión con el gas fluyendo. Ajustar en el regulador del cilindro.</t>
        </is>
      </c>
      <c r="G21" s="10" t="inlineStr">
        <is>
          <t>Numérico</t>
        </is>
      </c>
      <c r="H21" s="10" t="inlineStr">
        <is>
          <t>kPa</t>
        </is>
      </c>
      <c r="I21" s="11" t="inlineStr">
        <is>
          <t>Deben entregarse ligeramente por encima de la presión atmosférica para generar overflow</t>
        </is>
      </c>
      <c r="J21" s="13" t="inlineStr">
        <is>
          <t>Bloqueante</t>
        </is>
      </c>
      <c r="K21" s="14" t="inlineStr">
        <is>
          <t>Regulador del cilindro mal ajustado o cilindro despresurizado</t>
        </is>
      </c>
      <c r="L21" s="15" t="inlineStr">
        <is>
          <t>3.2.2</t>
        </is>
      </c>
      <c r="M21" s="14" t="inlineStr">
        <is>
          <t>Reajustar el regulador de doble etapa hasta lograr overflow estable</t>
        </is>
      </c>
      <c r="N21" s="16" t="inlineStr">
        <is>
          <t>La presión de entrega del gas patrón no es la adecuada, lo que compromete la validez de la calibración.</t>
        </is>
      </c>
      <c r="O21" s="10" t="n">
        <v>0</v>
      </c>
      <c r="P21" s="10" t="n">
        <v>0.5</v>
      </c>
      <c r="Q21" s="10" t="inlineStr">
        <is>
          <t>Sí</t>
        </is>
      </c>
      <c r="R21" s="10" t="inlineStr">
        <is>
          <t>No</t>
        </is>
      </c>
      <c r="S21" s="11" t="inlineStr"/>
      <c r="T21" s="11" t="inlineStr">
        <is>
          <t>P-ST-018-MAN OPER APMA 370 V2</t>
        </is>
      </c>
      <c r="U21" s="17" t="inlineStr">
        <is>
          <t>Pendiente</t>
        </is>
      </c>
      <c r="V21" s="17" t="n"/>
      <c r="W21" s="10">
        <f>IF($G21&lt;&gt;"Numérico","",IF($V21="","Sin dato",IF(AND(OR(NOT(ISNUMBER($O21)),$V21&gt;=$O21),OR(NOT(ISNUMBER($P21)),$V21&lt;=$P21)),"Dentro de rango","Fuera de rango")))</f>
        <v/>
      </c>
      <c r="X21" s="17" t="n"/>
      <c r="Y21" s="18" t="n"/>
      <c r="Z21" s="16">
        <f>IF(OR($U21="",$U21="Conforme",$U21="No aplica",$U21="Pendiente"),"",$N21&amp;IF($W21="Fuera de rango"," Valor medido: "&amp;TEXT($V21,"0.####")&amp;IF($H21="",""," "&amp;$H21)&amp;IF(AND(ISNUMBER($O21),$V21&lt;$O21),", por debajo del límite inferior de "&amp;TEXT($O21,"0.####")&amp;IF($H21="",""," "&amp;$H21),"")&amp;IF(AND(ISNUMBER($P21),$V21&gt;$P21),", por encima del límite superior de "&amp;TEXT($P21,"0.####")&amp;IF($H21="",""," "&amp;$H21),"")&amp;".","")&amp;IF($Y21="",""," "&amp;$Y21&amp;IF(RIGHT($Y21,1)=".","","."))&amp;" Acción recomendada: "&amp;$M21&amp;IF(RIGHT($M21,1)=".","",".")&amp;IF($J21="Bloqueante"," El equipo no se libera hasta resolver este hallazgo.",IF($J21="Cobrable"," Se incluye en la cotización de repuestos y consumibles."," Se deja registrado como observación.")))</f>
        <v/>
      </c>
    </row>
    <row r="22" ht="48" customHeight="1">
      <c r="A22" s="10" t="inlineStr">
        <is>
          <t>3.2.2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Caudal de exceso de gas de calibración (OVER FLOW)</t>
        </is>
      </c>
      <c r="E22" s="11" t="inlineStr">
        <is>
          <t>Caudal excedente medido por el sensor de flujo opcional de calibración</t>
        </is>
      </c>
      <c r="F22" s="12" t="inlineStr">
        <is>
          <t>Con el gas patrón fluyendo, leer el caudal de exceso en MENU / MAINTENANCE / ANALOG INPUT, o medirlo con flujómetro de burbuja en la salida de venteo del arreglo de calibración.</t>
        </is>
      </c>
      <c r="G22" s="10" t="inlineStr">
        <is>
          <t>Numérico</t>
        </is>
      </c>
      <c r="H22" s="10" t="inlineStr">
        <is>
          <t>L/min</t>
        </is>
      </c>
      <c r="I22" s="11" t="inlineStr">
        <is>
          <t>Caudal mínimo 1,2 L/min para que el analizador absorba gas patrón sin aspirar aire ambiente. Límite superior PENDIENTE DE VALIDAR</t>
        </is>
      </c>
      <c r="J22" s="13" t="inlineStr">
        <is>
          <t>Bloqueante</t>
        </is>
      </c>
      <c r="K22" s="14" t="inlineStr">
        <is>
          <t>Caudal insuficiente: el analizador aspira aire ambiente mezclado con el patrón</t>
        </is>
      </c>
      <c r="L22" s="15" t="inlineStr">
        <is>
          <t>3.2.1 ; 5.3.2</t>
        </is>
      </c>
      <c r="M22" s="14" t="inlineStr">
        <is>
          <t>Subir el caudal por encima de 1,2 L/min y repetir la calibración</t>
        </is>
      </c>
      <c r="N22" s="16" t="inlineStr">
        <is>
          <t>El caudal de exceso del gas de calibración es insuficiente: el analizador aspira aire ambiente mezclado con el gas patrón.</t>
        </is>
      </c>
      <c r="O22" s="10" t="n">
        <v>1.2</v>
      </c>
      <c r="P22" s="10" t="n"/>
      <c r="Q22" s="10" t="inlineStr">
        <is>
          <t>Sí</t>
        </is>
      </c>
      <c r="R22" s="10" t="inlineStr">
        <is>
          <t>No</t>
        </is>
      </c>
      <c r="S22" s="11" t="inlineStr"/>
      <c r="T22" s="11" t="inlineStr">
        <is>
          <t>P-ST-018-MAN OPER APMA 370 V2</t>
        </is>
      </c>
      <c r="U22" s="17" t="inlineStr">
        <is>
          <t>Pendiente</t>
        </is>
      </c>
      <c r="V22" s="17" t="n"/>
      <c r="W22" s="10">
        <f>IF($G22&lt;&gt;"Numérico","",IF($V22="","Sin dato",IF(AND(OR(NOT(ISNUMBER($O22)),$V22&gt;=$O22),OR(NOT(ISNUMBER($P22)),$V22&lt;=$P22)),"Dentro de rango","Fuera de rango")))</f>
        <v/>
      </c>
      <c r="X22" s="17" t="n"/>
      <c r="Y22" s="18" t="n"/>
      <c r="Z22" s="16">
        <f>IF(OR($U22="",$U22="Conforme",$U22="No aplica",$U22="Pendiente"),"",$N22&amp;IF($W22="Fuera de rango"," Valor medido: "&amp;TEXT($V22,"0.####")&amp;IF($H22="",""," "&amp;$H22)&amp;IF(AND(ISNUMBER($O22),$V22&lt;$O22),", por debajo del límite inferior de "&amp;TEXT($O22,"0.####")&amp;IF($H22="",""," "&amp;$H22),"")&amp;IF(AND(ISNUMBER($P22),$V22&gt;$P22),", por encima del límite superior de "&amp;TEXT($P22,"0.####")&amp;IF($H22="",""," "&amp;$H22),"")&amp;".","")&amp;IF($Y22="",""," "&amp;$Y22&amp;IF(RIGHT($Y22,1)=".","","."))&amp;" Acción recomendada: "&amp;$M22&amp;IF(RIGHT($M22,1)=".","",".")&amp;IF($J22="Bloqueante"," El equipo no se libera hasta resolver este hallazgo.",IF($J22="Cobrable"," Se incluye en la cotización de repuestos y consumibles."," Se deja registrado como observación.")))</f>
        <v/>
      </c>
    </row>
    <row r="23" ht="48" customHeight="1">
      <c r="A23" s="10" t="inlineStr">
        <is>
          <t>3.3.1</t>
        </is>
      </c>
      <c r="B23" s="10" t="inlineStr">
        <is>
          <t>3. Estado de calibración</t>
        </is>
      </c>
      <c r="C23" s="10" t="inlineStr">
        <is>
          <t>3.3 Secuencia de autocalibración (AIC)</t>
        </is>
      </c>
      <c r="D23" s="11" t="inlineStr">
        <is>
          <t>Tiempo de espera (WAIT) en AIC</t>
        </is>
      </c>
      <c r="E23" s="11" t="inlineStr">
        <is>
          <t>Tiempo configurado para purgar la celda y estabilizar lecturas tras conmutar la línea de gas</t>
        </is>
      </c>
      <c r="F23" s="12" t="inlineStr">
        <is>
          <t>Ir a MENU / MAINTENANCE / AIC y leer el tiempo WAIT configurado. Anotarlo y compararlo con el mínimo recomendado por el fabricante.</t>
        </is>
      </c>
      <c r="G23" s="10" t="inlineStr">
        <is>
          <t>Numérico</t>
        </is>
      </c>
      <c r="H23" s="10" t="inlineStr">
        <is>
          <t>minutos</t>
        </is>
      </c>
      <c r="I23" s="11" t="inlineStr">
        <is>
          <t>Tiempo mínimo de retardo tras conmutar la línea de gas; el fabricante recomienda 3 min o más</t>
        </is>
      </c>
      <c r="J23" s="13" t="inlineStr">
        <is>
          <t>Alerta</t>
        </is>
      </c>
      <c r="K23" s="14" t="inlineStr">
        <is>
          <t>Tiempo insuficiente para purgar la línea de calibración</t>
        </is>
      </c>
      <c r="L23" s="15" t="inlineStr">
        <is>
          <t>Nodo terminal — actuar directamente</t>
        </is>
      </c>
      <c r="M23" s="14" t="inlineStr">
        <is>
          <t>Subir el WAIT a 3 min o más, según la longitud de la línea instalada</t>
        </is>
      </c>
      <c r="N23" s="16" t="inlineStr">
        <is>
          <t>El tiempo de espera de la secuencia de autocalibración es insuficiente para purgar la línea antes de tomar la lectura.</t>
        </is>
      </c>
      <c r="O23" s="10" t="n">
        <v>3</v>
      </c>
      <c r="P23" s="10" t="n">
        <v>999</v>
      </c>
      <c r="Q23" s="10" t="inlineStr">
        <is>
          <t>Sí</t>
        </is>
      </c>
      <c r="R23" s="10" t="inlineStr">
        <is>
          <t>No</t>
        </is>
      </c>
      <c r="S23" s="11" t="inlineStr"/>
      <c r="T23" s="11" t="inlineStr">
        <is>
          <t>P-ST-018-MAN OPER APMA 370 V2</t>
        </is>
      </c>
      <c r="U23" s="17" t="inlineStr">
        <is>
          <t>Pendiente</t>
        </is>
      </c>
      <c r="V23" s="17" t="n"/>
      <c r="W23" s="10">
        <f>IF($G23&lt;&gt;"Numérico","",IF($V23="","Sin dato",IF(AND(OR(NOT(ISNUMBER($O23)),$V23&gt;=$O23),OR(NOT(ISNUMBER($P23)),$V23&lt;=$P23)),"Dentro de rango","Fuera de rango")))</f>
        <v/>
      </c>
      <c r="X23" s="17" t="n"/>
      <c r="Y23" s="18" t="n"/>
      <c r="Z23" s="16">
        <f>IF(OR($U23="",$U23="Conforme",$U23="No aplica",$U23="Pendiente"),"",$N23&amp;IF($W23="Fuera de rango"," Valor medido: "&amp;TEXT($V23,"0.####")&amp;IF($H23="",""," "&amp;$H23)&amp;IF(AND(ISNUMBER($O23),$V23&lt;$O23),", por debajo del límite inferior de "&amp;TEXT($O23,"0.####")&amp;IF($H23="",""," "&amp;$H23),"")&amp;IF(AND(ISNUMBER($P23),$V23&gt;$P23),", por encima del límite superior de "&amp;TEXT($P23,"0.####")&amp;IF($H23="",""," "&amp;$H23),"")&amp;".","")&amp;IF($Y23="",""," "&amp;$Y23&amp;IF(RIGHT($Y23,1)=".","","."))&amp;" Acción recomendada: "&amp;$M23&amp;IF(RIGHT($M23,1)=".","",".")&amp;IF($J23="Bloqueante"," El equipo no se libera hasta resolver este hallazgo.",IF($J23="Cobrable"," Se incluye en la cotización de repuestos y consumibles."," Se deja registrado como observación.")))</f>
        <v/>
      </c>
    </row>
    <row r="24" ht="48" customHeight="1">
      <c r="A24" s="10" t="inlineStr">
        <is>
          <t>3.3.2</t>
        </is>
      </c>
      <c r="B24" s="10" t="inlineStr">
        <is>
          <t>3. Estado de calibración</t>
        </is>
      </c>
      <c r="C24" s="10" t="inlineStr">
        <is>
          <t>3.3 Secuencia de autocalibración (AIC)</t>
        </is>
      </c>
      <c r="D24" s="11" t="inlineStr">
        <is>
          <t>Tiempo de sostenimiento (HOLD) en AIC</t>
        </is>
      </c>
      <c r="E24" s="11" t="inlineStr">
        <is>
          <t>Tiempo de retención y chequeo de lecturas de salida al finalizar el AIC</t>
        </is>
      </c>
      <c r="F24" s="12" t="inlineStr">
        <is>
          <t>Ir a MENU / MAINTENANCE / AIC y leer el tiempo HOLD configurado. Anotarlo junto con el resto de parámetros de la secuencia.</t>
        </is>
      </c>
      <c r="G24" s="10" t="inlineStr">
        <is>
          <t>Numérico</t>
        </is>
      </c>
      <c r="H24" s="10" t="inlineStr">
        <is>
          <t>minutos</t>
        </is>
      </c>
      <c r="I24" s="11" t="inlineStr">
        <is>
          <t>Tiempo de validación posterior a la calibración física de las señales analógicas</t>
        </is>
      </c>
      <c r="J24" s="13" t="inlineStr">
        <is>
          <t>Alerta</t>
        </is>
      </c>
      <c r="K24" s="14" t="inlineStr">
        <is>
          <t>Parámetro distinto al acordado con la red de monitoreo</t>
        </is>
      </c>
      <c r="L24" s="15" t="inlineStr">
        <is>
          <t>Nodo terminal — actuar directamente</t>
        </is>
      </c>
      <c r="M24" s="14" t="inlineStr">
        <is>
          <t>Ajustar el HOLD al valor definido por el operador de la red</t>
        </is>
      </c>
      <c r="N24" s="16" t="inlineStr">
        <is>
          <t>El tiempo de sostenimiento de la secuencia de autocalibración no corresponde al definido para la red de monitoreo.</t>
        </is>
      </c>
      <c r="O24" s="10" t="n">
        <v>0</v>
      </c>
      <c r="P24" s="10" t="n">
        <v>999</v>
      </c>
      <c r="Q24" s="10" t="inlineStr">
        <is>
          <t>Sí</t>
        </is>
      </c>
      <c r="R24" s="10" t="inlineStr">
        <is>
          <t>No</t>
        </is>
      </c>
      <c r="S24" s="11" t="inlineStr"/>
      <c r="T24" s="11" t="inlineStr">
        <is>
          <t>P-ST-018-MAN OPER APMA 370 V2</t>
        </is>
      </c>
      <c r="U24" s="17" t="inlineStr">
        <is>
          <t>Pendiente</t>
        </is>
      </c>
      <c r="V24" s="17" t="n"/>
      <c r="W24" s="10">
        <f>IF($G24&lt;&gt;"Numérico","",IF($V24="","Sin dato",IF(AND(OR(NOT(ISNUMBER($O24)),$V24&gt;=$O24),OR(NOT(ISNUMBER($P24)),$V24&lt;=$P24)),"Dentro de rango","Fuera de rango")))</f>
        <v/>
      </c>
      <c r="X24" s="17" t="n"/>
      <c r="Y24" s="18" t="n"/>
      <c r="Z24" s="16">
        <f>IF(OR($U24="",$U24="Conforme",$U24="No aplica",$U24="Pendiente"),"",$N24&amp;IF($W24="Fuera de rango"," Valor medido: "&amp;TEXT($V24,"0.####")&amp;IF($H24="",""," "&amp;$H24)&amp;IF(AND(ISNUMBER($O24),$V24&lt;$O24),", por debajo del límite inferior de "&amp;TEXT($O24,"0.####")&amp;IF($H24="",""," "&amp;$H24),"")&amp;IF(AND(ISNUMBER($P24),$V24&gt;$P24),", por encima del límite superior de "&amp;TEXT($P24,"0.####")&amp;IF($H24="",""," "&amp;$H24),"")&amp;".","")&amp;IF($Y24="",""," "&amp;$Y24&amp;IF(RIGHT($Y24,1)=".","","."))&amp;" Acción recomendada: "&amp;$M24&amp;IF(RIGHT($M24,1)=".","",".")&amp;IF($J24="Bloqueante"," El equipo no se libera hasta resolver este hallazgo.",IF($J24="Cobrable"," Se incluye en la cotización de repuestos y consumibles."," Se deja registrado como observación.")))</f>
        <v/>
      </c>
    </row>
    <row r="25" ht="48" customHeight="1">
      <c r="A25" s="10" t="inlineStr">
        <is>
          <t>3.3.3</t>
        </is>
      </c>
      <c r="B25" s="10" t="inlineStr">
        <is>
          <t>3. Estado de calibración</t>
        </is>
      </c>
      <c r="C25" s="10" t="inlineStr">
        <is>
          <t>3.3 Secuencia de autocalibración (AIC)</t>
        </is>
      </c>
      <c r="D25" s="11" t="inlineStr">
        <is>
          <t>Activación de calibración (CAL) en AIC</t>
        </is>
      </c>
      <c r="E25" s="11" t="inlineStr">
        <is>
          <t>Selección de la corrección física del factor cero/span durante el AIC</t>
        </is>
      </c>
      <c r="F25" s="12" t="inlineStr">
        <is>
          <t>Ir a MENU / MAINTENANCE / AIC y leer el ajuste CAL (YES / NO). Confirmar con el responsable de la red si la política es corregir factores o solo verificar.</t>
        </is>
      </c>
      <c r="G25" s="10" t="inlineStr">
        <is>
          <t>Sí/No</t>
        </is>
      </c>
      <c r="H25" s="10" t="inlineStr"/>
      <c r="I25" s="11" t="inlineStr">
        <is>
          <t>Define si se corrigen factores (YES) o solo se realiza lectura de verificación (NO)</t>
        </is>
      </c>
      <c r="J25" s="13" t="inlineStr">
        <is>
          <t>Alerta</t>
        </is>
      </c>
      <c r="K25" s="14" t="inlineStr">
        <is>
          <t>Ajuste incoherente con la política de la red (corregir factores vs. solo verificar)</t>
        </is>
      </c>
      <c r="L25" s="15" t="inlineStr">
        <is>
          <t>Nodo terminal — actuar directamente</t>
        </is>
      </c>
      <c r="M25" s="14" t="inlineStr">
        <is>
          <t>Definirlo con el responsable de la red y dejarlo documentado</t>
        </is>
      </c>
      <c r="N25" s="16" t="inlineStr">
        <is>
          <t>La opción de corrección automática de la secuencia de autocalibración no corresponde a la política definida para la estación.</t>
        </is>
      </c>
      <c r="O25" s="10" t="n"/>
      <c r="P25" s="10" t="n"/>
      <c r="Q25" s="10" t="inlineStr">
        <is>
          <t>Sí</t>
        </is>
      </c>
      <c r="R25" s="10" t="inlineStr">
        <is>
          <t>No</t>
        </is>
      </c>
      <c r="S25" s="11" t="inlineStr"/>
      <c r="T25" s="11" t="inlineStr">
        <is>
          <t>P-ST-018-MAN OPER APMA 370 V2</t>
        </is>
      </c>
      <c r="U25" s="17" t="inlineStr">
        <is>
          <t>Pendiente</t>
        </is>
      </c>
      <c r="V25" s="17" t="n"/>
      <c r="W25" s="10">
        <f>IF($G25&lt;&gt;"Numérico","",IF($V25="","Sin dato",IF(AND(OR(NOT(ISNUMBER($O25)),$V25&gt;=$O25),OR(NOT(ISNUMBER($P25)),$V25&lt;=$P25)),"Dentro de rango","Fuera de rango")))</f>
        <v/>
      </c>
      <c r="X25" s="17" t="n"/>
      <c r="Y25" s="18" t="n"/>
      <c r="Z25" s="16">
        <f>IF(OR($U25="",$U25="Conforme",$U25="No aplica",$U25="Pendiente"),"",$N25&amp;IF($W25="Fuera de rango"," Valor medido: "&amp;TEXT($V25,"0.####")&amp;IF($H25="",""," "&amp;$H25)&amp;IF(AND(ISNUMBER($O25),$V25&lt;$O25),", por debajo del límite inferior de "&amp;TEXT($O25,"0.####")&amp;IF($H25="",""," "&amp;$H25),"")&amp;IF(AND(ISNUMBER($P25),$V25&gt;$P25),", por encima del límite superior de "&amp;TEXT($P25,"0.####")&amp;IF($H25="",""," "&amp;$H25),"")&amp;".","")&amp;IF($Y25="",""," "&amp;$Y25&amp;IF(RIGHT($Y25,1)=".","","."))&amp;" Acción recomendada: "&amp;$M25&amp;IF(RIGHT($M25,1)=".","",".")&amp;IF($J25="Bloqueante"," El equipo no se libera hasta resolver este hallazgo.",IF($J25="Cobrable"," Se incluye en la cotización de repuestos y consumibles."," Se deja registrado como observación.")))</f>
        <v/>
      </c>
    </row>
    <row r="26" ht="48" customHeight="1">
      <c r="A26" s="10" t="inlineStr">
        <is>
          <t>4.1.1</t>
        </is>
      </c>
      <c r="B26" s="10" t="inlineStr">
        <is>
          <t>4. Línea de muestreo y acondicionamiento</t>
        </is>
      </c>
      <c r="C26" s="10" t="inlineStr">
        <is>
          <t>4.1 Conectores neumáticos traseros</t>
        </is>
      </c>
      <c r="D26" s="11" t="inlineStr">
        <is>
          <t>Férula de Sample Inlet (Sleeve)</t>
        </is>
      </c>
      <c r="E26" s="11" t="inlineStr">
        <is>
          <t>Presencia del casquillo de teflón de sellado interno en la entrada de muestra</t>
        </is>
      </c>
      <c r="F26" s="12" t="inlineStr">
        <is>
          <t>Aflojar la tuerca del puerto SAMPLE INLET en el panel trasero, extraer la manguera y verificar que la férula de teflón esté montada sobre el tubo. Volver a montar sin sobreapretar.</t>
        </is>
      </c>
      <c r="G26" s="10" t="inlineStr">
        <is>
          <t>Presente / Ausente</t>
        </is>
      </c>
      <c r="H26" s="10" t="inlineStr"/>
      <c r="I26" s="11" t="inlineStr">
        <is>
          <t>Debe estar montada la férula para asegurar acople hermético libre de aire falso</t>
        </is>
      </c>
      <c r="J26" s="13" t="inlineStr">
        <is>
          <t>Bloqueante</t>
        </is>
      </c>
      <c r="K26" s="14" t="inlineStr">
        <is>
          <t>Férula ausente o mal montada: ingreso de aire falso por la entrada de muestra</t>
        </is>
      </c>
      <c r="L26" s="15" t="inlineStr">
        <is>
          <t>5.3.2 ; 5.1.1 ; 3.1.1</t>
        </is>
      </c>
      <c r="M26" s="14" t="inlineStr">
        <is>
          <t>Instalar la férula, reapretar y repetir la prueba de estanqueidad antes de calibrar</t>
        </is>
      </c>
      <c r="N26" s="16" t="inlineStr">
        <is>
          <t>Falta la férula de sellado en la entrada de muestra, lo que permite el ingreso de aire ambiente y altera la medición.</t>
        </is>
      </c>
      <c r="O26" s="10" t="n"/>
      <c r="P26" s="10" t="n"/>
      <c r="Q26" s="10" t="inlineStr">
        <is>
          <t>Sí</t>
        </is>
      </c>
      <c r="R26" s="10" t="inlineStr">
        <is>
          <t>Sí</t>
        </is>
      </c>
      <c r="S26" s="11" t="inlineStr">
        <is>
          <t>Sleeve / SO2001-6 (3030021777)</t>
        </is>
      </c>
      <c r="T26" s="11" t="inlineStr">
        <is>
          <t>MT_P4B4CK60_APMA370_220511</t>
        </is>
      </c>
      <c r="U26" s="17" t="inlineStr">
        <is>
          <t>Pendiente</t>
        </is>
      </c>
      <c r="V26" s="17" t="n"/>
      <c r="W26" s="10">
        <f>IF($G26&lt;&gt;"Numérico","",IF($V26="","Sin dato",IF(AND(OR(NOT(ISNUMBER($O26)),$V26&gt;=$O26),OR(NOT(ISNUMBER($P26)),$V26&lt;=$P26)),"Dentro de rango","Fuera de rango")))</f>
        <v/>
      </c>
      <c r="X26" s="17" t="n"/>
      <c r="Y26" s="18" t="n"/>
      <c r="Z26" s="16">
        <f>IF(OR($U26="",$U26="Conforme",$U26="No aplica",$U26="Pendiente"),"",$N26&amp;IF($W26="Fuera de rango"," Valor medido: "&amp;TEXT($V26,"0.####")&amp;IF($H26="",""," "&amp;$H26)&amp;IF(AND(ISNUMBER($O26),$V26&lt;$O26),", por debajo del límite inferior de "&amp;TEXT($O26,"0.####")&amp;IF($H26="",""," "&amp;$H26),"")&amp;IF(AND(ISNUMBER($P26),$V26&gt;$P26),", por encima del límite superior de "&amp;TEXT($P26,"0.####")&amp;IF($H26="",""," "&amp;$H26),"")&amp;".","")&amp;IF($Y26="",""," "&amp;$Y26&amp;IF(RIGHT($Y26,1)=".","","."))&amp;" Acción recomendada: "&amp;$M26&amp;IF(RIGHT($M26,1)=".","",".")&amp;IF($J26="Bloqueante"," El equipo no se libera hasta resolver este hallazgo.",IF($J26="Cobrable"," Se incluye en la cotización de repuestos y consumibles."," Se deja registrado como observación.")))</f>
        <v/>
      </c>
    </row>
    <row r="27" ht="48" customHeight="1">
      <c r="A27" s="10" t="inlineStr">
        <is>
          <t>4.1.2</t>
        </is>
      </c>
      <c r="B27" s="10" t="inlineStr">
        <is>
          <t>4. Línea de muestreo y acondicionamiento</t>
        </is>
      </c>
      <c r="C27" s="10" t="inlineStr">
        <is>
          <t>4.1 Conectores neumáticos traseros</t>
        </is>
      </c>
      <c r="D27" s="11" t="inlineStr">
        <is>
          <t>Tuerca de Sample Inlet (Cap Nut)</t>
        </is>
      </c>
      <c r="E27" s="11" t="inlineStr">
        <is>
          <t>Presencia de la tuerca plástica de rosca fina en la entrada de muestra</t>
        </is>
      </c>
      <c r="F27" s="12" t="inlineStr">
        <is>
          <t>Inspeccionar visualmente el puerto SAMPLE INLET y comprobar que la tuerca de PVDF esté presente y roscada. Verificar el apriete manualmente, sin herramienta.</t>
        </is>
      </c>
      <c r="G27" s="10" t="inlineStr">
        <is>
          <t>Presente / Ausente</t>
        </is>
      </c>
      <c r="H27" s="10" t="inlineStr"/>
      <c r="I27" s="11" t="inlineStr">
        <is>
          <t>Debe estar presente y roscada firmemente la tuerca PVDF para sellar la tubería</t>
        </is>
      </c>
      <c r="J27" s="13" t="inlineStr">
        <is>
          <t>Bloqueante</t>
        </is>
      </c>
      <c r="K27" s="14" t="inlineStr">
        <is>
          <t>Tuerca ausente, fisurada o floja</t>
        </is>
      </c>
      <c r="L27" s="15" t="inlineStr">
        <is>
          <t>5.3.2 ; 4.1.1</t>
        </is>
      </c>
      <c r="M27" s="14" t="inlineStr">
        <is>
          <t>Reponer la tuerca de PVDF y repetir la prueba de estanqueidad</t>
        </is>
      </c>
      <c r="N27" s="16" t="inlineStr">
        <is>
          <t>La tuerca de sellado de la entrada de muestra está ausente, fisurada o floja, con riesgo de fuga.</t>
        </is>
      </c>
      <c r="O27" s="10" t="n"/>
      <c r="P27" s="10" t="n"/>
      <c r="Q27" s="10" t="inlineStr">
        <is>
          <t>Sí</t>
        </is>
      </c>
      <c r="R27" s="10" t="inlineStr">
        <is>
          <t>Sí</t>
        </is>
      </c>
      <c r="S27" s="11" t="inlineStr">
        <is>
          <t>Cap Nut / S020020-6PVDF (3030021779)</t>
        </is>
      </c>
      <c r="T27" s="11" t="inlineStr">
        <is>
          <t>MT_P4B4CK60_APMA370_220511</t>
        </is>
      </c>
      <c r="U27" s="17" t="inlineStr">
        <is>
          <t>Pendiente</t>
        </is>
      </c>
      <c r="V27" s="17" t="n"/>
      <c r="W27" s="10">
        <f>IF($G27&lt;&gt;"Numérico","",IF($V27="","Sin dato",IF(AND(OR(NOT(ISNUMBER($O27)),$V27&gt;=$O27),OR(NOT(ISNUMBER($P27)),$V27&lt;=$P27)),"Dentro de rango","Fuera de rango")))</f>
        <v/>
      </c>
      <c r="X27" s="17" t="n"/>
      <c r="Y27" s="18" t="n"/>
      <c r="Z27" s="16">
        <f>IF(OR($U27="",$U27="Conforme",$U27="No aplica",$U27="Pendiente"),"",$N27&amp;IF($W27="Fuera de rango"," Valor medido: "&amp;TEXT($V27,"0.####")&amp;IF($H27="",""," "&amp;$H27)&amp;IF(AND(ISNUMBER($O27),$V27&lt;$O27),", por debajo del límite inferior de "&amp;TEXT($O27,"0.####")&amp;IF($H27="",""," "&amp;$H27),"")&amp;IF(AND(ISNUMBER($P27),$V27&gt;$P27),", por encima del límite superior de "&amp;TEXT($P27,"0.####")&amp;IF($H27="",""," "&amp;$H27),"")&amp;".","")&amp;IF($Y27="",""," "&amp;$Y27&amp;IF(RIGHT($Y27,1)=".","","."))&amp;" Acción recomendada: "&amp;$M27&amp;IF(RIGHT($M27,1)=".","",".")&amp;IF($J27="Bloqueante"," El equipo no se libera hasta resolver este hallazgo.",IF($J27="Cobrable"," Se incluye en la cotización de repuestos y consumibles."," Se deja registrado como observación.")))</f>
        <v/>
      </c>
    </row>
    <row r="28" ht="48" customHeight="1">
      <c r="A28" s="10" t="inlineStr">
        <is>
          <t>4.1.3</t>
        </is>
      </c>
      <c r="B28" s="10" t="inlineStr">
        <is>
          <t>4. Línea de muestreo y acondicionamiento</t>
        </is>
      </c>
      <c r="C28" s="10" t="inlineStr">
        <is>
          <t>4.1 Conectores neumáticos traseros</t>
        </is>
      </c>
      <c r="D28" s="11" t="inlineStr">
        <is>
          <t>Férula de Exhaust (Sleeve)</t>
        </is>
      </c>
      <c r="E28" s="11" t="inlineStr">
        <is>
          <t>Presencia del casquillo de teflón de sellado interno en la salida de escape</t>
        </is>
      </c>
      <c r="F28" s="12" t="inlineStr">
        <is>
          <t>Aflojar la tuerca del puerto EXHAUST, extraer la manguera y verificar que la férula de teflón esté montada sobre el tubo. Volver a montar sin sobreapretar.</t>
        </is>
      </c>
      <c r="G28" s="10" t="inlineStr">
        <is>
          <t>Presente / Ausente</t>
        </is>
      </c>
      <c r="H28" s="10" t="inlineStr"/>
      <c r="I28" s="11" t="inlineStr">
        <is>
          <t>Debe estar montada la férula para evitar fugas de gases de escape hacia la cabina</t>
        </is>
      </c>
      <c r="J28" s="13" t="inlineStr">
        <is>
          <t>Bloqueante</t>
        </is>
      </c>
      <c r="K28" s="14" t="inlineStr">
        <is>
          <t>Férula ausente: fuga de gases de escape hacia la cabina</t>
        </is>
      </c>
      <c r="L28" s="15" t="inlineStr">
        <is>
          <t>5.3.2</t>
        </is>
      </c>
      <c r="M28" s="14" t="inlineStr">
        <is>
          <t>Instalar la férula y verificar que el escape quede canalizado</t>
        </is>
      </c>
      <c r="N28" s="16" t="inlineStr">
        <is>
          <t>Falta la férula de sellado en la salida de escape, lo que permite la fuga de los gases de descarga hacia la cabina.</t>
        </is>
      </c>
      <c r="O28" s="10" t="n"/>
      <c r="P28" s="10" t="n"/>
      <c r="Q28" s="10" t="inlineStr">
        <is>
          <t>Sí</t>
        </is>
      </c>
      <c r="R28" s="10" t="inlineStr">
        <is>
          <t>Sí</t>
        </is>
      </c>
      <c r="S28" s="11" t="inlineStr">
        <is>
          <t>Sleeve / SO2001-6 (3030021777)</t>
        </is>
      </c>
      <c r="T28" s="11" t="inlineStr">
        <is>
          <t>MT_P4B4CK60_APMA370_220511</t>
        </is>
      </c>
      <c r="U28" s="17" t="inlineStr">
        <is>
          <t>Pendiente</t>
        </is>
      </c>
      <c r="V28" s="17" t="n"/>
      <c r="W28" s="10">
        <f>IF($G28&lt;&gt;"Numérico","",IF($V28="","Sin dato",IF(AND(OR(NOT(ISNUMBER($O28)),$V28&gt;=$O28),OR(NOT(ISNUMBER($P28)),$V28&lt;=$P28)),"Dentro de rango","Fuera de rango")))</f>
        <v/>
      </c>
      <c r="X28" s="17" t="n"/>
      <c r="Y28" s="18" t="n"/>
      <c r="Z28" s="16">
        <f>IF(OR($U28="",$U28="Conforme",$U28="No aplica",$U28="Pendiente"),"",$N28&amp;IF($W28="Fuera de rango"," Valor medido: "&amp;TEXT($V28,"0.####")&amp;IF($H28="",""," "&amp;$H28)&amp;IF(AND(ISNUMBER($O28),$V28&lt;$O28),", por debajo del límite inferior de "&amp;TEXT($O28,"0.####")&amp;IF($H28="",""," "&amp;$H28),"")&amp;IF(AND(ISNUMBER($P28),$V28&gt;$P28),", por encima del límite superior de "&amp;TEXT($P28,"0.####")&amp;IF($H28="",""," "&amp;$H28),"")&amp;".","")&amp;IF($Y28="",""," "&amp;$Y28&amp;IF(RIGHT($Y28,1)=".","","."))&amp;" Acción recomendada: "&amp;$M28&amp;IF(RIGHT($M28,1)=".","",".")&amp;IF($J28="Bloqueante"," El equipo no se libera hasta resolver este hallazgo.",IF($J28="Cobrable"," Se incluye en la cotización de repuestos y consumibles."," Se deja registrado como observación.")))</f>
        <v/>
      </c>
    </row>
    <row r="29" ht="48" customHeight="1">
      <c r="A29" s="10" t="inlineStr">
        <is>
          <t>4.1.4</t>
        </is>
      </c>
      <c r="B29" s="10" t="inlineStr">
        <is>
          <t>4. Línea de muestreo y acondicionamiento</t>
        </is>
      </c>
      <c r="C29" s="10" t="inlineStr">
        <is>
          <t>4.1 Conectores neumáticos traseros</t>
        </is>
      </c>
      <c r="D29" s="11" t="inlineStr">
        <is>
          <t>Tuerca de Exhaust (Cap Nut)</t>
        </is>
      </c>
      <c r="E29" s="11" t="inlineStr">
        <is>
          <t>Presencia de la tuerca plástica de rosca fina en la salida de escape</t>
        </is>
      </c>
      <c r="F29" s="12" t="inlineStr">
        <is>
          <t>Inspeccionar visualmente el puerto EXHAUST y comprobar que la tuerca de PVDF esté presente y roscada. Verificar el apriete manualmente, sin herramienta.</t>
        </is>
      </c>
      <c r="G29" s="10" t="inlineStr">
        <is>
          <t>Presente / Ausente</t>
        </is>
      </c>
      <c r="H29" s="10" t="inlineStr"/>
      <c r="I29" s="11" t="inlineStr">
        <is>
          <t>Debe estar presente y roscada firmemente la tuerca PVDF para canalizar el escape</t>
        </is>
      </c>
      <c r="J29" s="13" t="inlineStr">
        <is>
          <t>Bloqueante</t>
        </is>
      </c>
      <c r="K29" s="14" t="inlineStr">
        <is>
          <t>Tuerca ausente o floja en la salida de escape</t>
        </is>
      </c>
      <c r="L29" s="15" t="inlineStr">
        <is>
          <t>5.3.2 ; 4.1.3</t>
        </is>
      </c>
      <c r="M29" s="14" t="inlineStr">
        <is>
          <t>Reponer la tuerca de PVDF y reapretar</t>
        </is>
      </c>
      <c r="N29" s="16" t="inlineStr">
        <is>
          <t>La tuerca de sellado de la salida de escape está ausente, fisurada o floja.</t>
        </is>
      </c>
      <c r="O29" s="10" t="n"/>
      <c r="P29" s="10" t="n"/>
      <c r="Q29" s="10" t="inlineStr">
        <is>
          <t>Sí</t>
        </is>
      </c>
      <c r="R29" s="10" t="inlineStr">
        <is>
          <t>Sí</t>
        </is>
      </c>
      <c r="S29" s="11" t="inlineStr">
        <is>
          <t>Cap Nut / S020020-6PVDF (3030021779)</t>
        </is>
      </c>
      <c r="T29" s="11" t="inlineStr">
        <is>
          <t>MT_P4B4CK60_APMA370_220511</t>
        </is>
      </c>
      <c r="U29" s="17" t="inlineStr">
        <is>
          <t>Pendiente</t>
        </is>
      </c>
      <c r="V29" s="17" t="n"/>
      <c r="W29" s="10">
        <f>IF($G29&lt;&gt;"Numérico","",IF($V29="","Sin dato",IF(AND(OR(NOT(ISNUMBER($O29)),$V29&gt;=$O29),OR(NOT(ISNUMBER($P29)),$V29&lt;=$P29)),"Dentro de rango","Fuera de rango")))</f>
        <v/>
      </c>
      <c r="X29" s="17" t="n"/>
      <c r="Y29" s="18" t="n"/>
      <c r="Z29" s="16">
        <f>IF(OR($U29="",$U29="Conforme",$U29="No aplica",$U29="Pendiente"),"",$N29&amp;IF($W29="Fuera de rango"," Valor medido: "&amp;TEXT($V29,"0.####")&amp;IF($H29="",""," "&amp;$H29)&amp;IF(AND(ISNUMBER($O29),$V29&lt;$O29),", por debajo del límite inferior de "&amp;TEXT($O29,"0.####")&amp;IF($H29="",""," "&amp;$H29),"")&amp;IF(AND(ISNUMBER($P29),$V29&gt;$P29),", por encima del límite superior de "&amp;TEXT($P29,"0.####")&amp;IF($H29="",""," "&amp;$H29),"")&amp;".","")&amp;IF($Y29="",""," "&amp;$Y29&amp;IF(RIGHT($Y29,1)=".","","."))&amp;" Acción recomendada: "&amp;$M29&amp;IF(RIGHT($M29,1)=".","",".")&amp;IF($J29="Bloqueante"," El equipo no se libera hasta resolver este hallazgo.",IF($J29="Cobrable"," Se incluye en la cotización de repuestos y consumibles."," Se deja registrado como observación.")))</f>
        <v/>
      </c>
    </row>
    <row r="30" ht="48" customHeight="1">
      <c r="A30" s="10" t="inlineStr">
        <is>
          <t>4.1.5</t>
        </is>
      </c>
      <c r="B30" s="10" t="inlineStr">
        <is>
          <t>4. Línea de muestreo y acondicionamiento</t>
        </is>
      </c>
      <c r="C30" s="10" t="inlineStr">
        <is>
          <t>4.1 Conectores neumáticos traseros</t>
        </is>
      </c>
      <c r="D30" s="11" t="inlineStr">
        <is>
          <t>Panel Mount Union (SO21521-6 PVDF)</t>
        </is>
      </c>
      <c r="E30" s="11" t="inlineStr">
        <is>
          <t>Estado físico e integridad del racor plástico de montaje de panel</t>
        </is>
      </c>
      <c r="F30" s="12" t="inlineStr">
        <is>
          <t>Con las mangueras retiradas, inspeccionar el racor pasamuros del panel trasero buscando fisuras en la rosca, deformación o material fatigado. Iluminar con linterna.</t>
        </is>
      </c>
      <c r="G30" s="10" t="inlineStr">
        <is>
          <t>OK / No OK</t>
        </is>
      </c>
      <c r="H30" s="10" t="inlineStr"/>
      <c r="I30" s="11" t="inlineStr">
        <is>
          <t>Racor libre de fisuras en su rosca o fatiga de material por sobreajuste</t>
        </is>
      </c>
      <c r="J30" s="13" t="inlineStr">
        <is>
          <t>Bloqueante</t>
        </is>
      </c>
      <c r="K30" s="14" t="inlineStr">
        <is>
          <t>Racor fisurado por sobreapriete o fatiga del plástico</t>
        </is>
      </c>
      <c r="L30" s="15" t="inlineStr">
        <is>
          <t>5.3.2</t>
        </is>
      </c>
      <c r="M30" s="14" t="inlineStr">
        <is>
          <t>Reemplazar el racor pasamuros y repetir la prueba de estanqueidad</t>
        </is>
      </c>
      <c r="N30" s="16" t="inlineStr">
        <is>
          <t>El racor de montaje del panel posterior presenta fisuras o fatiga del material, con riesgo de fuga.</t>
        </is>
      </c>
      <c r="O30" s="10" t="n"/>
      <c r="P30" s="10" t="n"/>
      <c r="Q30" s="10" t="inlineStr">
        <is>
          <t>Sí</t>
        </is>
      </c>
      <c r="R30" s="10" t="inlineStr">
        <is>
          <t>Sí</t>
        </is>
      </c>
      <c r="S30" s="11" t="inlineStr">
        <is>
          <t>Panel mount union SO21521- 6(PVDF)SP SW1=14 (3030021548)</t>
        </is>
      </c>
      <c r="T30" s="11" t="inlineStr">
        <is>
          <t>MT_191TE0NC_APMA370_241226</t>
        </is>
      </c>
      <c r="U30" s="17" t="inlineStr">
        <is>
          <t>Pendiente</t>
        </is>
      </c>
      <c r="V30" s="17" t="n"/>
      <c r="W30" s="10">
        <f>IF($G30&lt;&gt;"Numérico","",IF($V30="","Sin dato",IF(AND(OR(NOT(ISNUMBER($O30)),$V30&gt;=$O30),OR(NOT(ISNUMBER($P30)),$V30&lt;=$P30)),"Dentro de rango","Fuera de rango")))</f>
        <v/>
      </c>
      <c r="X30" s="17" t="n"/>
      <c r="Y30" s="18" t="n"/>
      <c r="Z30" s="16">
        <f>IF(OR($U30="",$U30="Conforme",$U30="No aplica",$U30="Pendiente"),"",$N30&amp;IF($W30="Fuera de rango"," Valor medido: "&amp;TEXT($V30,"0.####")&amp;IF($H30="",""," "&amp;$H30)&amp;IF(AND(ISNUMBER($O30),$V30&lt;$O30),", por debajo del límite inferior de "&amp;TEXT($O30,"0.####")&amp;IF($H30="",""," "&amp;$H30),"")&amp;IF(AND(ISNUMBER($P30),$V30&gt;$P30),", por encima del límite superior de "&amp;TEXT($P30,"0.####")&amp;IF($H30="",""," "&amp;$H30),"")&amp;".","")&amp;IF($Y30="",""," "&amp;$Y30&amp;IF(RIGHT($Y30,1)=".","","."))&amp;" Acción recomendada: "&amp;$M30&amp;IF(RIGHT($M30,1)=".","",".")&amp;IF($J30="Bloqueante"," El equipo no se libera hasta resolver este hallazgo.",IF($J30="Cobrable"," Se incluye en la cotización de repuestos y consumibles."," Se deja registrado como observación.")))</f>
        <v/>
      </c>
    </row>
    <row r="31" ht="48" customHeight="1">
      <c r="A31" s="10" t="inlineStr">
        <is>
          <t>4.2.1</t>
        </is>
      </c>
      <c r="B31" s="10" t="inlineStr">
        <is>
          <t>4. Línea de muestreo y acondicionamiento</t>
        </is>
      </c>
      <c r="C31" s="10" t="inlineStr">
        <is>
          <t>4.2 Portafiltros frontal</t>
        </is>
      </c>
      <c r="D31" s="11" t="inlineStr">
        <is>
          <t>Colmatación del filtro de partículas PA-10L</t>
        </is>
      </c>
      <c r="E31" s="11" t="inlineStr">
        <is>
          <t>Nivel de colmatación, hollín, polvo o humedad en el filtro frontal de teflón de 54 mm</t>
        </is>
      </c>
      <c r="F31" s="12" t="inlineStr">
        <is>
          <t>Abrir la puerta frontal, desenroscar el vaso del portafiltros, extraer el elemento y compararlo contra un filtro nuevo sobre fondo blanco. Fotografiar antes de reemplazar.</t>
        </is>
      </c>
      <c r="G31" s="10" t="inlineStr">
        <is>
          <t>OK / No OK</t>
        </is>
      </c>
      <c r="H31" s="10" t="inlineStr"/>
      <c r="I31" s="11" t="inlineStr">
        <is>
          <t>Filtro de teflón blanco uniforme, sin partículas ni manchas oscuras que estrangulen el caudal</t>
        </is>
      </c>
      <c r="J31" s="13" t="inlineStr">
        <is>
          <t>Cobrable</t>
        </is>
      </c>
      <c r="K31" s="14" t="inlineStr">
        <is>
          <t>Filtro saturado de material particulado, hollín o humedad</t>
        </is>
      </c>
      <c r="L31" s="15" t="inlineStr">
        <is>
          <t>5.1.2 ; 5.1.1 ; 8.1.1</t>
        </is>
      </c>
      <c r="M31" s="14" t="inlineStr">
        <is>
          <t>Reemplazar el elemento filtrante y reiniciar su horómetro</t>
        </is>
      </c>
      <c r="N31" s="16" t="inlineStr">
        <is>
          <t>El filtro de partículas se encuentra colmatado, lo que restringe el caudal de muestra.</t>
        </is>
      </c>
      <c r="O31" s="10" t="n"/>
      <c r="P31" s="10" t="n"/>
      <c r="Q31" s="10" t="inlineStr">
        <is>
          <t>Sí</t>
        </is>
      </c>
      <c r="R31" s="10" t="inlineStr">
        <is>
          <t>Sí</t>
        </is>
      </c>
      <c r="S31" s="11" t="inlineStr">
        <is>
          <t>Filter Element PA-10L diámetro 54*0.5t (24pc/set) (3200043947; alt. 3200043947-1PC)</t>
        </is>
      </c>
      <c r="T31" s="11" t="inlineStr">
        <is>
          <t>MT_56X1BA8G_APMA370_260109</t>
        </is>
      </c>
      <c r="U31" s="17" t="inlineStr">
        <is>
          <t>Pendiente</t>
        </is>
      </c>
      <c r="V31" s="17" t="n"/>
      <c r="W31" s="10">
        <f>IF($G31&lt;&gt;"Numérico","",IF($V31="","Sin dato",IF(AND(OR(NOT(ISNUMBER($O31)),$V31&gt;=$O31),OR(NOT(ISNUMBER($P31)),$V31&lt;=$P31)),"Dentro de rango","Fuera de rango")))</f>
        <v/>
      </c>
      <c r="X31" s="17" t="n"/>
      <c r="Y31" s="18" t="n"/>
      <c r="Z31" s="16">
        <f>IF(OR($U31="",$U31="Conforme",$U31="No aplica",$U31="Pendiente"),"",$N31&amp;IF($W31="Fuera de rango"," Valor medido: "&amp;TEXT($V31,"0.####")&amp;IF($H31="",""," "&amp;$H31)&amp;IF(AND(ISNUMBER($O31),$V31&lt;$O31),", por debajo del límite inferior de "&amp;TEXT($O31,"0.####")&amp;IF($H31="",""," "&amp;$H31),"")&amp;IF(AND(ISNUMBER($P31),$V31&gt;$P31),", por encima del límite superior de "&amp;TEXT($P31,"0.####")&amp;IF($H31="",""," "&amp;$H31),"")&amp;".","")&amp;IF($Y31="",""," "&amp;$Y31&amp;IF(RIGHT($Y31,1)=".","","."))&amp;" Acción recomendada: "&amp;$M31&amp;IF(RIGHT($M31,1)=".","",".")&amp;IF($J31="Bloqueante"," El equipo no se libera hasta resolver este hallazgo.",IF($J31="Cobrable"," Se incluye en la cotización de repuestos y consumibles."," Se deja registrado como observación.")))</f>
        <v/>
      </c>
    </row>
    <row r="32" ht="48" customHeight="1">
      <c r="A32" s="10" t="inlineStr">
        <is>
          <t>4.2.2</t>
        </is>
      </c>
      <c r="B32" s="10" t="inlineStr">
        <is>
          <t>4. Línea de muestreo y acondicionamiento</t>
        </is>
      </c>
      <c r="C32" s="10" t="inlineStr">
        <is>
          <t>4.2 Portafiltros frontal</t>
        </is>
      </c>
      <c r="D32" s="11" t="inlineStr">
        <is>
          <t>Empaque del filtro frontal (PA-10L)</t>
        </is>
      </c>
      <c r="E32" s="11" t="inlineStr">
        <is>
          <t>Flexibilidad y ausencia de grietas en la junta elástica plana del portafiltros</t>
        </is>
      </c>
      <c r="F32" s="12" t="inlineStr">
        <is>
          <t>Con el portafiltros abierto, retirar el empaque plano, flexionarlo entre los dedos y buscar grietas, aplastamiento permanente o pérdida de elasticidad.</t>
        </is>
      </c>
      <c r="G32" s="10" t="inlineStr">
        <is>
          <t>OK / No OK</t>
        </is>
      </c>
      <c r="H32" s="10" t="inlineStr"/>
      <c r="I32" s="11" t="inlineStr">
        <is>
          <t>Empaque blando, sin aplastamientos ni deformaciones permanentes que provoquen fugas</t>
        </is>
      </c>
      <c r="J32" s="13" t="inlineStr">
        <is>
          <t>Cobrable</t>
        </is>
      </c>
      <c r="K32" s="14" t="inlineStr">
        <is>
          <t>Empaque endurecido o aplastado: fuga en el portafiltros</t>
        </is>
      </c>
      <c r="L32" s="15" t="inlineStr">
        <is>
          <t>5.3.2</t>
        </is>
      </c>
      <c r="M32" s="14" t="inlineStr">
        <is>
          <t>Reemplazar el empaque y repetir la prueba de estanqueidad</t>
        </is>
      </c>
      <c r="N32" s="16" t="inlineStr">
        <is>
          <t>El empaque del portafiltros ha perdido elasticidad y no garantiza el sello del alojamiento del filtro.</t>
        </is>
      </c>
      <c r="O32" s="10" t="n"/>
      <c r="P32" s="10" t="n"/>
      <c r="Q32" s="10" t="inlineStr">
        <is>
          <t>Sí</t>
        </is>
      </c>
      <c r="R32" s="10" t="inlineStr">
        <is>
          <t>Sí</t>
        </is>
      </c>
      <c r="S32" s="11" t="inlineStr">
        <is>
          <t>F-Packing FPM (3200044273)</t>
        </is>
      </c>
      <c r="T32" s="11" t="inlineStr">
        <is>
          <t>P-ST-019-MAN MTTO APMA370 V2</t>
        </is>
      </c>
      <c r="U32" s="17" t="inlineStr">
        <is>
          <t>Pendiente</t>
        </is>
      </c>
      <c r="V32" s="17" t="n"/>
      <c r="W32" s="10">
        <f>IF($G32&lt;&gt;"Numérico","",IF($V32="","Sin dato",IF(AND(OR(NOT(ISNUMBER($O32)),$V32&gt;=$O32),OR(NOT(ISNUMBER($P32)),$V32&lt;=$P32)),"Dentro de rango","Fuera de rango")))</f>
        <v/>
      </c>
      <c r="X32" s="17" t="n"/>
      <c r="Y32" s="18" t="n"/>
      <c r="Z32" s="16">
        <f>IF(OR($U32="",$U32="Conforme",$U32="No aplica",$U32="Pendiente"),"",$N32&amp;IF($W32="Fuera de rango"," Valor medido: "&amp;TEXT($V32,"0.####")&amp;IF($H32="",""," "&amp;$H32)&amp;IF(AND(ISNUMBER($O32),$V32&lt;$O32),", por debajo del límite inferior de "&amp;TEXT($O32,"0.####")&amp;IF($H32="",""," "&amp;$H32),"")&amp;IF(AND(ISNUMBER($P32),$V32&gt;$P32),", por encima del límite superior de "&amp;TEXT($P32,"0.####")&amp;IF($H32="",""," "&amp;$H32),"")&amp;".","")&amp;IF($Y32="",""," "&amp;$Y32&amp;IF(RIGHT($Y32,1)=".","","."))&amp;" Acción recomendada: "&amp;$M32&amp;IF(RIGHT($M32,1)=".","",".")&amp;IF($J32="Bloqueante"," El equipo no se libera hasta resolver este hallazgo.",IF($J32="Cobrable"," Se incluye en la cotización de repuestos y consumibles."," Se deja registrado como observación.")))</f>
        <v/>
      </c>
    </row>
    <row r="33" ht="48" customHeight="1">
      <c r="A33" s="10" t="inlineStr">
        <is>
          <t>4.2.3</t>
        </is>
      </c>
      <c r="B33" s="10" t="inlineStr">
        <is>
          <t>4. Línea de muestreo y acondicionamiento</t>
        </is>
      </c>
      <c r="C33" s="10" t="inlineStr">
        <is>
          <t>4.2 Portafiltros frontal</t>
        </is>
      </c>
      <c r="D33" s="11" t="inlineStr">
        <is>
          <t>Junta tórica del portafiltros (O-Ring)</t>
        </is>
      </c>
      <c r="E33" s="11" t="inlineStr">
        <is>
          <t>Resequedad, microfisuras o deformación de la junta tórica de la tapa del filtro</t>
        </is>
      </c>
      <c r="F33" s="12" t="inlineStr">
        <is>
          <t>Retirar la junta tórica de la tapa del portafiltros, limpiarla y examinarla estirándola suavemente contra la luz, buscando microfisuras, resequedad o deformación.</t>
        </is>
      </c>
      <c r="G33" s="10" t="inlineStr">
        <is>
          <t>OK / No OK</t>
        </is>
      </c>
      <c r="H33" s="10" t="inlineStr"/>
      <c r="I33" s="11" t="inlineStr">
        <is>
          <t>Junta de vitón elástica y ligeramente lubricada para garantizar hermetismo de la tapa</t>
        </is>
      </c>
      <c r="J33" s="13" t="inlineStr">
        <is>
          <t>Cobrable</t>
        </is>
      </c>
      <c r="K33" s="14" t="inlineStr">
        <is>
          <t>Junta reseca o con microfisuras: fuga en la tapa</t>
        </is>
      </c>
      <c r="L33" s="15" t="inlineStr">
        <is>
          <t>5.3.2</t>
        </is>
      </c>
      <c r="M33" s="14" t="inlineStr">
        <is>
          <t>Reemplazar la junta tórica y lubricarla levemente al montar</t>
        </is>
      </c>
      <c r="N33" s="16" t="inlineStr">
        <is>
          <t>La junta tórica de la tapa del portafiltros presenta resequedad o microfisuras y no garantiza la hermeticidad.</t>
        </is>
      </c>
      <c r="O33" s="10" t="n"/>
      <c r="P33" s="10" t="n"/>
      <c r="Q33" s="10" t="inlineStr">
        <is>
          <t>Sí</t>
        </is>
      </c>
      <c r="R33" s="10" t="inlineStr">
        <is>
          <t>Sí</t>
        </is>
      </c>
      <c r="S33" s="11" t="inlineStr">
        <is>
          <t>O-Ring JISB2401 G70 (3200043785)</t>
        </is>
      </c>
      <c r="T33" s="11" t="inlineStr">
        <is>
          <t>P-ST-019-MAN MTTO APMA370 V2</t>
        </is>
      </c>
      <c r="U33" s="17" t="inlineStr">
        <is>
          <t>Pendiente</t>
        </is>
      </c>
      <c r="V33" s="17" t="n"/>
      <c r="W33" s="10">
        <f>IF($G33&lt;&gt;"Numérico","",IF($V33="","Sin dato",IF(AND(OR(NOT(ISNUMBER($O33)),$V33&gt;=$O33),OR(NOT(ISNUMBER($P33)),$V33&lt;=$P33)),"Dentro de rango","Fuera de rango")))</f>
        <v/>
      </c>
      <c r="X33" s="17" t="n"/>
      <c r="Y33" s="18" t="n"/>
      <c r="Z33" s="16">
        <f>IF(OR($U33="",$U33="Conforme",$U33="No aplica",$U33="Pendiente"),"",$N33&amp;IF($W33="Fuera de rango"," Valor medido: "&amp;TEXT($V33,"0.####")&amp;IF($H33="",""," "&amp;$H33)&amp;IF(AND(ISNUMBER($O33),$V33&lt;$O33),", por debajo del límite inferior de "&amp;TEXT($O33,"0.####")&amp;IF($H33="",""," "&amp;$H33),"")&amp;IF(AND(ISNUMBER($P33),$V33&gt;$P33),", por encima del límite superior de "&amp;TEXT($P33,"0.####")&amp;IF($H33="",""," "&amp;$H33),"")&amp;".","")&amp;IF($Y33="",""," "&amp;$Y33&amp;IF(RIGHT($Y33,1)=".","","."))&amp;" Acción recomendada: "&amp;$M33&amp;IF(RIGHT($M33,1)=".","",".")&amp;IF($J33="Bloqueante"," El equipo no se libera hasta resolver este hallazgo.",IF($J33="Cobrable"," Se incluye en la cotización de repuestos y consumibles."," Se deja registrado como observación.")))</f>
        <v/>
      </c>
    </row>
    <row r="34" ht="48" customHeight="1">
      <c r="A34" s="10" t="inlineStr">
        <is>
          <t>4.3.1</t>
        </is>
      </c>
      <c r="B34" s="10" t="inlineStr">
        <is>
          <t>4. Línea de muestreo y acondicionamiento</t>
        </is>
      </c>
      <c r="C34" s="10" t="inlineStr">
        <is>
          <t>4.3 Acondicionamiento de la muestra</t>
        </is>
      </c>
      <c r="D34" s="11" t="inlineStr">
        <is>
          <t>Trampa de humedad (Mist Catcher BAA)</t>
        </is>
      </c>
      <c r="E34" s="11" t="inlineStr">
        <is>
          <t>Acumulación de agua condensada y saturación del depurador de humedad</t>
        </is>
      </c>
      <c r="F34" s="12" t="inlineStr">
        <is>
          <t>Con el equipo apagado, retirar la cubierta superior, desmontar la trampa Mist Catcher y verificar si hay agua acumulada en el depósito y el estado del relleno. Vaciar y secar si aplica.</t>
        </is>
      </c>
      <c r="G34" s="10" t="inlineStr">
        <is>
          <t>OK / No OK</t>
        </is>
      </c>
      <c r="H34" s="10" t="inlineStr"/>
      <c r="I34" s="11" t="inlineStr">
        <is>
          <t>El depósito debe estar libre de condensados y el relleno sin saturación física</t>
        </is>
      </c>
      <c r="J34" s="13" t="inlineStr">
        <is>
          <t>Cobrable</t>
        </is>
      </c>
      <c r="K34" s="14" t="inlineStr">
        <is>
          <t>Condensado acumulado por línea de muestreo sin trampa, o shelter con oscilación térmica</t>
        </is>
      </c>
      <c r="L34" s="15" t="inlineStr">
        <is>
          <t>4.3.2 ; 3.1.1 ; 10.4.1</t>
        </is>
      </c>
      <c r="M34" s="14" t="inlineStr">
        <is>
          <t>Vaciar y secar la trampa, purgar el circuito con aire seco y corregir el origen del condensado</t>
        </is>
      </c>
      <c r="N34" s="16" t="inlineStr">
        <is>
          <t>La trampa de humedad presenta acumulación de condensado, con riesgo de arrastre de agua hacia el sistema de medición.</t>
        </is>
      </c>
      <c r="O34" s="10" t="n"/>
      <c r="P34" s="10" t="n"/>
      <c r="Q34" s="10" t="inlineStr">
        <is>
          <t>Sí</t>
        </is>
      </c>
      <c r="R34" s="10" t="inlineStr">
        <is>
          <t>Sí</t>
        </is>
      </c>
      <c r="S34" s="11" t="inlineStr">
        <is>
          <t>Sin artículo en el catálogo (Mist Catcher MC-1) — PENDIENTE DE CREAR EN ZOHO</t>
        </is>
      </c>
      <c r="T34" s="11" t="inlineStr">
        <is>
          <t>MT_V440EL8D_APMA370_260430</t>
        </is>
      </c>
      <c r="U34" s="17" t="inlineStr">
        <is>
          <t>Pendiente</t>
        </is>
      </c>
      <c r="V34" s="17" t="n"/>
      <c r="W34" s="10">
        <f>IF($G34&lt;&gt;"Numérico","",IF($V34="","Sin dato",IF(AND(OR(NOT(ISNUMBER($O34)),$V34&gt;=$O34),OR(NOT(ISNUMBER($P34)),$V34&lt;=$P34)),"Dentro de rango","Fuera de rango")))</f>
        <v/>
      </c>
      <c r="X34" s="17" t="n"/>
      <c r="Y34" s="18" t="n"/>
      <c r="Z34" s="16">
        <f>IF(OR($U34="",$U34="Conforme",$U34="No aplica",$U34="Pendiente"),"",$N34&amp;IF($W34="Fuera de rango"," Valor medido: "&amp;TEXT($V34,"0.####")&amp;IF($H34="",""," "&amp;$H34)&amp;IF(AND(ISNUMBER($O34),$V34&lt;$O34),", por debajo del límite inferior de "&amp;TEXT($O34,"0.####")&amp;IF($H34="",""," "&amp;$H34),"")&amp;IF(AND(ISNUMBER($P34),$V34&gt;$P34),", por encima del límite superior de "&amp;TEXT($P34,"0.####")&amp;IF($H34="",""," "&amp;$H34),"")&amp;".","")&amp;IF($Y34="",""," "&amp;$Y34&amp;IF(RIGHT($Y34,1)=".","","."))&amp;" Acción recomendada: "&amp;$M34&amp;IF(RIGHT($M34,1)=".","",".")&amp;IF($J34="Bloqueante"," El equipo no se libera hasta resolver este hallazgo.",IF($J34="Cobrable"," Se incluye en la cotización de repuestos y consumibles."," Se deja registrado como observación.")))</f>
        <v/>
      </c>
    </row>
    <row r="35" ht="48" customHeight="1">
      <c r="A35" s="10" t="inlineStr">
        <is>
          <t>4.3.2</t>
        </is>
      </c>
      <c r="B35" s="10" t="inlineStr">
        <is>
          <t>4. Línea de muestreo y acondicionamiento</t>
        </is>
      </c>
      <c r="C35" s="10" t="inlineStr">
        <is>
          <t>4.3 Acondicionamiento de la muestra</t>
        </is>
      </c>
      <c r="D35" s="11" t="inlineStr">
        <is>
          <t>Líneas de teflón internas</t>
        </is>
      </c>
      <c r="E35" s="11" t="inlineStr">
        <is>
          <t>Estrangulamientos, dobleces agudos o acumulación de suciedad en mangueras neumáticas</t>
        </is>
      </c>
      <c r="F35" s="12" t="inlineStr">
        <is>
          <t>Con la cubierta superior retirada, recorrer visualmente cada tramo de manguera interna buscando dobleces agudos, aplastamientos, decoloración o suciedad. Verificar el asiento de cada racor.</t>
        </is>
      </c>
      <c r="G35" s="10" t="inlineStr">
        <is>
          <t>OK / No OK</t>
        </is>
      </c>
      <c r="H35" s="10" t="inlineStr"/>
      <c r="I35" s="11" t="inlineStr">
        <is>
          <t>Tuberías de teflón translúcidas, firmes en sus racores y sin dobleces que restrinjan el flujo</t>
        </is>
      </c>
      <c r="J35" s="13" t="inlineStr">
        <is>
          <t>Cobrable</t>
        </is>
      </c>
      <c r="K35" s="14" t="inlineStr">
        <is>
          <t>Manguera doblada, aplastada o con suciedad interna</t>
        </is>
      </c>
      <c r="L35" s="15" t="inlineStr">
        <is>
          <t>5.1.1 ; 5.1.2</t>
        </is>
      </c>
      <c r="M35" s="14" t="inlineStr">
        <is>
          <t>Rectificar el trazado o reemplazar el tramo afectado</t>
        </is>
      </c>
      <c r="N35" s="16" t="inlineStr">
        <is>
          <t>Las líneas neumáticas internas presentan dobleces, aplastamientos o suciedad que restringen el paso del gas de muestra.</t>
        </is>
      </c>
      <c r="O35" s="10" t="n"/>
      <c r="P35" s="10" t="n"/>
      <c r="Q35" s="10" t="inlineStr">
        <is>
          <t>Sí</t>
        </is>
      </c>
      <c r="R35" s="10" t="inlineStr">
        <is>
          <t>Sí</t>
        </is>
      </c>
      <c r="S35" s="11" t="inlineStr"/>
      <c r="T35" s="11" t="inlineStr">
        <is>
          <t>MT_U403C0JJ_APMA370_21033001</t>
        </is>
      </c>
      <c r="U35" s="17" t="inlineStr">
        <is>
          <t>Pendiente</t>
        </is>
      </c>
      <c r="V35" s="17" t="n"/>
      <c r="W35" s="10">
        <f>IF($G35&lt;&gt;"Numérico","",IF($V35="","Sin dato",IF(AND(OR(NOT(ISNUMBER($O35)),$V35&gt;=$O35),OR(NOT(ISNUMBER($P35)),$V35&lt;=$P35)),"Dentro de rango","Fuera de rango")))</f>
        <v/>
      </c>
      <c r="X35" s="17" t="n"/>
      <c r="Y35" s="18" t="n"/>
      <c r="Z35" s="16">
        <f>IF(OR($U35="",$U35="Conforme",$U35="No aplica",$U35="Pendiente"),"",$N35&amp;IF($W35="Fuera de rango"," Valor medido: "&amp;TEXT($V35,"0.####")&amp;IF($H35="",""," "&amp;$H35)&amp;IF(AND(ISNUMBER($O35),$V35&lt;$O35),", por debajo del límite inferior de "&amp;TEXT($O35,"0.####")&amp;IF($H35="",""," "&amp;$H35),"")&amp;IF(AND(ISNUMBER($P35),$V35&gt;$P35),", por encima del límite superior de "&amp;TEXT($P35,"0.####")&amp;IF($H35="",""," "&amp;$H35),"")&amp;".","")&amp;IF($Y35="",""," "&amp;$Y35&amp;IF(RIGHT($Y35,1)=".","","."))&amp;" Acción recomendada: "&amp;$M35&amp;IF(RIGHT($M35,1)=".","",".")&amp;IF($J35="Bloqueante"," El equipo no se libera hasta resolver este hallazgo.",IF($J35="Cobrable"," Se incluye en la cotización de repuestos y consumibles."," Se deja registrado como observación.")))</f>
        <v/>
      </c>
    </row>
    <row r="36" ht="48" customHeight="1">
      <c r="A36" s="10" t="inlineStr">
        <is>
          <t>5.1.1</t>
        </is>
      </c>
      <c r="B36" s="10" t="inlineStr">
        <is>
          <t>5. Sistema neumático</t>
        </is>
      </c>
      <c r="C36" s="10" t="inlineStr">
        <is>
          <t>5.1 Caudal y presión de muestra</t>
        </is>
      </c>
      <c r="D36" s="11" t="inlineStr">
        <is>
          <t>Caudal volumétrico de muestra (SAMPLE)</t>
        </is>
      </c>
      <c r="E36" s="11" t="inlineStr">
        <is>
          <t>Caudal de gas de muestra a través de la celda de medida en ANALOG INPUT</t>
        </is>
      </c>
      <c r="F36" s="12" t="inlineStr">
        <is>
          <t>Leer el valor SAMPLE en MENU / MAINTENANCE / ANALOG INPUT. Para verificación independiente, medir con flujómetro de burbuja en el puerto SAMPLE INLET con la línea desconectada.</t>
        </is>
      </c>
      <c r="G36" s="10" t="inlineStr">
        <is>
          <t>Numérico</t>
        </is>
      </c>
      <c r="H36" s="10" t="inlineStr">
        <is>
          <t>L/min</t>
        </is>
      </c>
      <c r="I36" s="11" t="inlineStr">
        <is>
          <t>Caudal nominal de muestreo; fuera de 1,0 a 2,0 L/min se activa la alarma FLOW 1</t>
        </is>
      </c>
      <c r="J36" s="13" t="inlineStr">
        <is>
          <t>Bloqueante</t>
        </is>
      </c>
      <c r="K36" s="14" t="inlineStr">
        <is>
          <t>Filtro colmatado, fuga en el circuito, o diafragma de bomba desgastado</t>
        </is>
      </c>
      <c r="L36" s="15" t="inlineStr">
        <is>
          <t>4.2.1 ; 5.1.2 ; 5.2.2 ; 5.3.2</t>
        </is>
      </c>
      <c r="M36" s="14" t="inlineStr">
        <is>
          <t>Medir el caudal real con flujómetro de burbuja en SAMPLE INLET y recorrer la rama en ese orden</t>
        </is>
      </c>
      <c r="N36" s="16" t="inlineStr">
        <is>
          <t>El caudal de muestra se encuentra fuera del rango de operación especificado por el fabricante.</t>
        </is>
      </c>
      <c r="O36" s="10" t="n">
        <v>1</v>
      </c>
      <c r="P36" s="10" t="n">
        <v>2</v>
      </c>
      <c r="Q36" s="10" t="inlineStr">
        <is>
          <t>Sí</t>
        </is>
      </c>
      <c r="R36" s="10" t="inlineStr">
        <is>
          <t>No</t>
        </is>
      </c>
      <c r="S36" s="11" t="inlineStr"/>
      <c r="T36" s="11" t="inlineStr">
        <is>
          <t>P-ST-018-MAN OPER APMA 370 V2</t>
        </is>
      </c>
      <c r="U36" s="17" t="inlineStr">
        <is>
          <t>Pendiente</t>
        </is>
      </c>
      <c r="V36" s="17" t="n"/>
      <c r="W36" s="10">
        <f>IF($G36&lt;&gt;"Numérico","",IF($V36="","Sin dato",IF(AND(OR(NOT(ISNUMBER($O36)),$V36&gt;=$O36),OR(NOT(ISNUMBER($P36)),$V36&lt;=$P36)),"Dentro de rango","Fuera de rango")))</f>
        <v/>
      </c>
      <c r="X36" s="17" t="n"/>
      <c r="Y36" s="18" t="n"/>
      <c r="Z36" s="16">
        <f>IF(OR($U36="",$U36="Conforme",$U36="No aplica",$U36="Pendiente"),"",$N36&amp;IF($W36="Fuera de rango"," Valor medido: "&amp;TEXT($V36,"0.####")&amp;IF($H36="",""," "&amp;$H36)&amp;IF(AND(ISNUMBER($O36),$V36&lt;$O36),", por debajo del límite inferior de "&amp;TEXT($O36,"0.####")&amp;IF($H36="",""," "&amp;$H36),"")&amp;IF(AND(ISNUMBER($P36),$V36&gt;$P36),", por encima del límite superior de "&amp;TEXT($P36,"0.####")&amp;IF($H36="",""," "&amp;$H36),"")&amp;".","")&amp;IF($Y36="",""," "&amp;$Y36&amp;IF(RIGHT($Y36,1)=".","","."))&amp;" Acción recomendada: "&amp;$M36&amp;IF(RIGHT($M36,1)=".","",".")&amp;IF($J36="Bloqueante"," El equipo no se libera hasta resolver este hallazgo.",IF($J36="Cobrable"," Se incluye en la cotización de repuestos y consumibles."," Se deja registrado como observación.")))</f>
        <v/>
      </c>
    </row>
    <row r="37" ht="48" customHeight="1">
      <c r="A37" s="10" t="inlineStr">
        <is>
          <t>5.1.2</t>
        </is>
      </c>
      <c r="B37" s="10" t="inlineStr">
        <is>
          <t>5. Sistema neumático</t>
        </is>
      </c>
      <c r="C37" s="10" t="inlineStr">
        <is>
          <t>5.1 Caudal y presión de muestra</t>
        </is>
      </c>
      <c r="D37" s="11" t="inlineStr">
        <is>
          <t>Presión de succión de la bomba (PUMP)</t>
        </is>
      </c>
      <c r="E37" s="11" t="inlineStr">
        <is>
          <t>Presión de succión generada por la bomba de muestreo en la celda óptica</t>
        </is>
      </c>
      <c r="F37" s="12" t="inlineStr">
        <is>
          <t>Leer el valor PUMP en MENU / MAINTENANCE / ANALOG INPUT con el equipo en operación normal y la línea de muestra conectada. Anotar el valor estabilizado.</t>
        </is>
      </c>
      <c r="G37" s="10" t="inlineStr">
        <is>
          <t>Numérico</t>
        </is>
      </c>
      <c r="H37" s="10" t="inlineStr">
        <is>
          <t>kPa</t>
        </is>
      </c>
      <c r="I37" s="11" t="inlineStr">
        <is>
          <t>Lectura en ANALOG INPUT; un valor mayor o igual a 65 kPa activa la alarma PRE1</t>
        </is>
      </c>
      <c r="J37" s="13" t="inlineStr">
        <is>
          <t>Bloqueante</t>
        </is>
      </c>
      <c r="K37" s="14" t="inlineStr">
        <is>
          <t>Vacío alto: obstrucción aguas arriba. Vacío bajo: fuga o diafragma roto</t>
        </is>
      </c>
      <c r="L37" s="15" t="inlineStr">
        <is>
          <t>4.2.1 ; 4.3.2 ; 5.2.2 ; 5.3.2</t>
        </is>
      </c>
      <c r="M37" s="14" t="inlineStr">
        <is>
          <t>Desconectar la línea en SAMPLE INLET: si la presión cae, la obstrucción está aguas arriba; si no, está dentro del equipo</t>
        </is>
      </c>
      <c r="N37" s="16" t="inlineStr">
        <is>
          <t>La presión de succión de la bomba está fuera del rango de operación, lo que indica una obstrucción o una fuga en el circuito neumático.</t>
        </is>
      </c>
      <c r="O37" s="10" t="n">
        <v>0</v>
      </c>
      <c r="P37" s="10" t="n">
        <v>65</v>
      </c>
      <c r="Q37" s="10" t="inlineStr">
        <is>
          <t>Sí</t>
        </is>
      </c>
      <c r="R37" s="10" t="inlineStr">
        <is>
          <t>No</t>
        </is>
      </c>
      <c r="S37" s="11" t="inlineStr"/>
      <c r="T37" s="11" t="inlineStr">
        <is>
          <t>P-ST-018-MAN OPER APMA 370 V2</t>
        </is>
      </c>
      <c r="U37" s="17" t="inlineStr">
        <is>
          <t>Pendiente</t>
        </is>
      </c>
      <c r="V37" s="17" t="n"/>
      <c r="W37" s="10">
        <f>IF($G37&lt;&gt;"Numérico","",IF($V37="","Sin dato",IF(AND(OR(NOT(ISNUMBER($O37)),$V37&gt;=$O37),OR(NOT(ISNUMBER($P37)),$V37&lt;=$P37)),"Dentro de rango","Fuera de rango")))</f>
        <v/>
      </c>
      <c r="X37" s="17" t="n"/>
      <c r="Y37" s="18" t="n"/>
      <c r="Z37" s="16">
        <f>IF(OR($U37="",$U37="Conforme",$U37="No aplica",$U37="Pendiente"),"",$N37&amp;IF($W37="Fuera de rango"," Valor medido: "&amp;TEXT($V37,"0.####")&amp;IF($H37="",""," "&amp;$H37)&amp;IF(AND(ISNUMBER($O37),$V37&lt;$O37),", por debajo del límite inferior de "&amp;TEXT($O37,"0.####")&amp;IF($H37="",""," "&amp;$H37),"")&amp;IF(AND(ISNUMBER($P37),$V37&gt;$P37),", por encima del límite superior de "&amp;TEXT($P37,"0.####")&amp;IF($H37="",""," "&amp;$H37),"")&amp;".","")&amp;IF($Y37="",""," "&amp;$Y37&amp;IF(RIGHT($Y37,1)=".","","."))&amp;" Acción recomendada: "&amp;$M37&amp;IF(RIGHT($M37,1)=".","",".")&amp;IF($J37="Bloqueante"," El equipo no se libera hasta resolver este hallazgo.",IF($J37="Cobrable"," Se incluye en la cotización de repuestos y consumibles."," Se deja registrado como observación.")))</f>
        <v/>
      </c>
    </row>
    <row r="38" ht="48" customHeight="1">
      <c r="A38" s="10" t="inlineStr">
        <is>
          <t>5.2.1</t>
        </is>
      </c>
      <c r="B38" s="10" t="inlineStr">
        <is>
          <t>5. Sistema neumático</t>
        </is>
      </c>
      <c r="C38" s="10" t="inlineStr">
        <is>
          <t>5.2 Bomba de muestreo</t>
        </is>
      </c>
      <c r="D38" s="11" t="inlineStr">
        <is>
          <t>Vibración y ruido mecánico de la bomba (P-1-B)</t>
        </is>
      </c>
      <c r="E38" s="11" t="inlineStr">
        <is>
          <t>Estabilidad del motor y rodamientos de la bomba de muestreo (verificación auditiva y táctil)</t>
        </is>
      </c>
      <c r="F38" s="12" t="inlineStr">
        <is>
          <t>Con el equipo en marcha y la cubierta retirada, escuchar la bomba y apoyar la mano sobre su carcasa para detectar vibración anormal, golpeteo metálico u oscilación excesiva.</t>
        </is>
      </c>
      <c r="G38" s="10" t="inlineStr">
        <is>
          <t>OK / No OK</t>
        </is>
      </c>
      <c r="H38" s="10" t="inlineStr"/>
      <c r="I38" s="11" t="inlineStr">
        <is>
          <t>Operación continua y estable, sin golpes metálicos ni oscilación mecánica excesiva</t>
        </is>
      </c>
      <c r="J38" s="13" t="inlineStr">
        <is>
          <t>Cobrable</t>
        </is>
      </c>
      <c r="K38" s="14" t="inlineStr">
        <is>
          <t>Diafragma roto (siseo de aire) o rodamiento y motor dañados (golpeteo metálico)</t>
        </is>
      </c>
      <c r="L38" s="15" t="inlineStr">
        <is>
          <t>5.2.2 ; 5.2.3 ; 5.1.2</t>
        </is>
      </c>
      <c r="M38" s="14" t="inlineStr">
        <is>
          <t>Discriminar por el tipo de ruido y reemplazar diafragmas o la unidad de bomba completa</t>
        </is>
      </c>
      <c r="N38" s="16" t="inlineStr">
        <is>
          <t>La bomba de muestreo presenta ruido o vibración anormal, señal de desgaste mecánico interno.</t>
        </is>
      </c>
      <c r="O38" s="10" t="n"/>
      <c r="P38" s="10" t="n"/>
      <c r="Q38" s="10" t="inlineStr">
        <is>
          <t>Sí</t>
        </is>
      </c>
      <c r="R38" s="10" t="inlineStr">
        <is>
          <t>Sí</t>
        </is>
      </c>
      <c r="S38" s="11" t="inlineStr">
        <is>
          <t>Pump GD-6EH-100 (100～120V) APMA / APNA / APSA / APHA (3014059459)</t>
        </is>
      </c>
      <c r="T38" s="11" t="inlineStr">
        <is>
          <t>P-ST-019-MAN MTTO APMA370 V2</t>
        </is>
      </c>
      <c r="U38" s="17" t="inlineStr">
        <is>
          <t>Pendiente</t>
        </is>
      </c>
      <c r="V38" s="17" t="n"/>
      <c r="W38" s="10">
        <f>IF($G38&lt;&gt;"Numérico","",IF($V38="","Sin dato",IF(AND(OR(NOT(ISNUMBER($O38)),$V38&gt;=$O38),OR(NOT(ISNUMBER($P38)),$V38&lt;=$P38)),"Dentro de rango","Fuera de rango")))</f>
        <v/>
      </c>
      <c r="X38" s="17" t="n"/>
      <c r="Y38" s="18" t="n"/>
      <c r="Z38" s="16">
        <f>IF(OR($U38="",$U38="Conforme",$U38="No aplica",$U38="Pendiente"),"",$N38&amp;IF($W38="Fuera de rango"," Valor medido: "&amp;TEXT($V38,"0.####")&amp;IF($H38="",""," "&amp;$H38)&amp;IF(AND(ISNUMBER($O38),$V38&lt;$O38),", por debajo del límite inferior de "&amp;TEXT($O38,"0.####")&amp;IF($H38="",""," "&amp;$H38),"")&amp;IF(AND(ISNUMBER($P38),$V38&gt;$P38),", por encima del límite superior de "&amp;TEXT($P38,"0.####")&amp;IF($H38="",""," "&amp;$H38),"")&amp;".","")&amp;IF($Y38="",""," "&amp;$Y38&amp;IF(RIGHT($Y38,1)=".","","."))&amp;" Acción recomendada: "&amp;$M38&amp;IF(RIGHT($M38,1)=".","",".")&amp;IF($J38="Bloqueante"," El equipo no se libera hasta resolver este hallazgo.",IF($J38="Cobrable"," Se incluye en la cotización de repuestos y consumibles."," Se deja registrado como observación.")))</f>
        <v/>
      </c>
    </row>
    <row r="39" ht="48" customHeight="1">
      <c r="A39" s="10" t="inlineStr">
        <is>
          <t>5.2.2</t>
        </is>
      </c>
      <c r="B39" s="10" t="inlineStr">
        <is>
          <t>5. Sistema neumático</t>
        </is>
      </c>
      <c r="C39" s="10" t="inlineStr">
        <is>
          <t>5.2 Bomba de muestreo</t>
        </is>
      </c>
      <c r="D39" s="11" t="inlineStr">
        <is>
          <t>Desgaste de diafragmas de la bomba (P-1-D)</t>
        </is>
      </c>
      <c r="E39" s="11" t="inlineStr">
        <is>
          <t>Resequedad, porosidad o fisuras de los dos diafragmas de EPDM de la bomba</t>
        </is>
      </c>
      <c r="F39" s="12" t="inlineStr">
        <is>
          <t>Apagar el equipo, desmontar los dos cabezales de la bomba y extraer los diafragmas. Examinarlos contra la luz buscando porosidades, fisuras radiales o endurecimiento del EPDM.</t>
        </is>
      </c>
      <c r="G39" s="10" t="inlineStr">
        <is>
          <t>OK / No OK</t>
        </is>
      </c>
      <c r="H39" s="10" t="inlineStr"/>
      <c r="I39" s="11" t="inlineStr">
        <is>
          <t>Diafragmas de EPDM elásticos y sin fisuras, para evitar caídas de vacío y de caudal</t>
        </is>
      </c>
      <c r="J39" s="13" t="inlineStr">
        <is>
          <t>Cobrable</t>
        </is>
      </c>
      <c r="K39" s="14" t="inlineStr">
        <is>
          <t>Fatiga del EPDM por horas de servicio, o arrastre de condensado hacia el cabezal</t>
        </is>
      </c>
      <c r="L39" s="15" t="inlineStr">
        <is>
          <t>8.1.2 ; 4.3.1</t>
        </is>
      </c>
      <c r="M39" s="14" t="inlineStr">
        <is>
          <t>Reemplazar el juego de diafragmas, reiniciar el horómetro y corregir el origen del condensado</t>
        </is>
      </c>
      <c r="N39" s="16" t="inlineStr">
        <is>
          <t>Los diafragmas de la bomba de muestreo presentan desgaste, fisuras o pérdida de elasticidad.</t>
        </is>
      </c>
      <c r="O39" s="10" t="n"/>
      <c r="P39" s="10" t="n"/>
      <c r="Q39" s="10" t="inlineStr">
        <is>
          <t>Sí</t>
        </is>
      </c>
      <c r="R39" s="10" t="inlineStr">
        <is>
          <t>Sí</t>
        </is>
      </c>
      <c r="S39" s="11" t="inlineStr">
        <is>
          <t>Diaphragm Assy GS, GD series EPDM - APMA / APOA / APHA (3200044033) · Diaphragm Assy GS, Gdseries EPDM (3200602390)</t>
        </is>
      </c>
      <c r="T39" s="11" t="inlineStr">
        <is>
          <t>MT_2V0CY0DC_APMA370_250930</t>
        </is>
      </c>
      <c r="U39" s="17" t="inlineStr">
        <is>
          <t>Pendiente</t>
        </is>
      </c>
      <c r="V39" s="17" t="n"/>
      <c r="W39" s="10">
        <f>IF($G39&lt;&gt;"Numérico","",IF($V39="","Sin dato",IF(AND(OR(NOT(ISNUMBER($O39)),$V39&gt;=$O39),OR(NOT(ISNUMBER($P39)),$V39&lt;=$P39)),"Dentro de rango","Fuera de rango")))</f>
        <v/>
      </c>
      <c r="X39" s="17" t="n"/>
      <c r="Y39" s="18" t="n"/>
      <c r="Z39" s="16">
        <f>IF(OR($U39="",$U39="Conforme",$U39="No aplica",$U39="Pendiente"),"",$N39&amp;IF($W39="Fuera de rango"," Valor medido: "&amp;TEXT($V39,"0.####")&amp;IF($H39="",""," "&amp;$H39)&amp;IF(AND(ISNUMBER($O39),$V39&lt;$O39),", por debajo del límite inferior de "&amp;TEXT($O39,"0.####")&amp;IF($H39="",""," "&amp;$H39),"")&amp;IF(AND(ISNUMBER($P39),$V39&gt;$P39),", por encima del límite superior de "&amp;TEXT($P39,"0.####")&amp;IF($H39="",""," "&amp;$H39),"")&amp;".","")&amp;IF($Y39="",""," "&amp;$Y39&amp;IF(RIGHT($Y39,1)=".","","."))&amp;" Acción recomendada: "&amp;$M39&amp;IF(RIGHT($M39,1)=".","",".")&amp;IF($J39="Bloqueante"," El equipo no se libera hasta resolver este hallazgo.",IF($J39="Cobrable"," Se incluye en la cotización de repuestos y consumibles."," Se deja registrado como observación.")))</f>
        <v/>
      </c>
    </row>
    <row r="40" ht="48" customHeight="1">
      <c r="A40" s="10" t="inlineStr">
        <is>
          <t>5.2.3</t>
        </is>
      </c>
      <c r="B40" s="10" t="inlineStr">
        <is>
          <t>5. Sistema neumático</t>
        </is>
      </c>
      <c r="C40" s="10" t="inlineStr">
        <is>
          <t>5.2 Bomba de muestreo</t>
        </is>
      </c>
      <c r="D40" s="11" t="inlineStr">
        <is>
          <t>Limpieza de cabezales y válvulas de la bomba</t>
        </is>
      </c>
      <c r="E40" s="11" t="inlineStr">
        <is>
          <t>Acumulación de depósitos, residuos o polvo negro en las válvulas planas de teflón</t>
        </is>
      </c>
      <c r="F40" s="12" t="inlineStr">
        <is>
          <t>Con los cabezales desmontados, limpiar las cámaras y las charnelas de válvula con paño libre de pelusa y verificar que las válvulas planas asienten sin residuos ni deformación.</t>
        </is>
      </c>
      <c r="G40" s="10" t="inlineStr">
        <is>
          <t>OK / No OK</t>
        </is>
      </c>
      <c r="H40" s="10" t="inlineStr"/>
      <c r="I40" s="11" t="inlineStr">
        <is>
          <t>Cámaras del cabezal y charnelas de válvula limpias para garantizar sellado hermético</t>
        </is>
      </c>
      <c r="J40" s="13" t="inlineStr">
        <is>
          <t>Cobrable</t>
        </is>
      </c>
      <c r="K40" s="14" t="inlineStr">
        <is>
          <t>Depósitos de polvo negro por filtro colmatado o por operación sin filtro</t>
        </is>
      </c>
      <c r="L40" s="15" t="inlineStr">
        <is>
          <t>4.2.1</t>
        </is>
      </c>
      <c r="M40" s="14" t="inlineStr">
        <is>
          <t>Limpiar cámaras y válvulas planas, y corregir la causa aguas arriba</t>
        </is>
      </c>
      <c r="N40" s="16" t="inlineStr">
        <is>
          <t>Los cabezales y las válvulas de la bomba presentan acumulación de depósitos que afectan su sellado.</t>
        </is>
      </c>
      <c r="O40" s="10" t="n"/>
      <c r="P40" s="10" t="n"/>
      <c r="Q40" s="10" t="inlineStr">
        <is>
          <t>Sí</t>
        </is>
      </c>
      <c r="R40" s="10" t="inlineStr">
        <is>
          <t>Sí</t>
        </is>
      </c>
      <c r="S40" s="11" t="inlineStr">
        <is>
          <t>Sin artículo propio; se atiende con el kit de diafragma de la bomba</t>
        </is>
      </c>
      <c r="T40" s="11" t="inlineStr">
        <is>
          <t>MT_U403C0JJ_APMA370_21033001</t>
        </is>
      </c>
      <c r="U40" s="17" t="inlineStr">
        <is>
          <t>Pendiente</t>
        </is>
      </c>
      <c r="V40" s="17" t="n"/>
      <c r="W40" s="10">
        <f>IF($G40&lt;&gt;"Numérico","",IF($V40="","Sin dato",IF(AND(OR(NOT(ISNUMBER($O40)),$V40&gt;=$O40),OR(NOT(ISNUMBER($P40)),$V40&lt;=$P40)),"Dentro de rango","Fuera de rango")))</f>
        <v/>
      </c>
      <c r="X40" s="17" t="n"/>
      <c r="Y40" s="18" t="n"/>
      <c r="Z40" s="16">
        <f>IF(OR($U40="",$U40="Conforme",$U40="No aplica",$U40="Pendiente"),"",$N40&amp;IF($W40="Fuera de rango"," Valor medido: "&amp;TEXT($V40,"0.####")&amp;IF($H40="",""," "&amp;$H40)&amp;IF(AND(ISNUMBER($O40),$V40&lt;$O40),", por debajo del límite inferior de "&amp;TEXT($O40,"0.####")&amp;IF($H40="",""," "&amp;$H40),"")&amp;IF(AND(ISNUMBER($P40),$V40&gt;$P40),", por encima del límite superior de "&amp;TEXT($P40,"0.####")&amp;IF($H40="",""," "&amp;$H40),"")&amp;".","")&amp;IF($Y40="",""," "&amp;$Y40&amp;IF(RIGHT($Y40,1)=".","","."))&amp;" Acción recomendada: "&amp;$M40&amp;IF(RIGHT($M40,1)=".","",".")&amp;IF($J40="Bloqueante"," El equipo no se libera hasta resolver este hallazgo.",IF($J40="Cobrable"," Se incluye en la cotización de repuestos y consumibles."," Se deja registrado como observación.")))</f>
        <v/>
      </c>
    </row>
    <row r="41" ht="48" customHeight="1">
      <c r="A41" s="10" t="inlineStr">
        <is>
          <t>5.3.1</t>
        </is>
      </c>
      <c r="B41" s="10" t="inlineStr">
        <is>
          <t>5. Sistema neumático</t>
        </is>
      </c>
      <c r="C41" s="10" t="inlineStr">
        <is>
          <t>5.3 Válvulas y estanqueidad</t>
        </is>
      </c>
      <c r="D41" s="11" t="inlineStr">
        <is>
          <t>Conmutación de la válvula de modulación (SV-2)</t>
        </is>
      </c>
      <c r="E41" s="11" t="inlineStr">
        <is>
          <t>Conmutación cíclica entre gas de muestra y aire de referencia</t>
        </is>
      </c>
      <c r="F41" s="12" t="inlineStr">
        <is>
          <t>Con el equipo en operación y la cubierta retirada, escuchar y palpar la electroválvula SV-2 para confirmar la conmutación cíclica constante. Verificar que no se detenga ni suene irregular.</t>
        </is>
      </c>
      <c r="G41" s="10" t="inlineStr">
        <is>
          <t>OK / No OK</t>
        </is>
      </c>
      <c r="H41" s="10" t="inlineStr"/>
      <c r="I41" s="11" t="inlineStr">
        <is>
          <t>Debe conmutar neumáticamente de forma cíclica a una frecuencia constante de 1 Hz</t>
        </is>
      </c>
      <c r="J41" s="13" t="inlineStr">
        <is>
          <t>Bloqueante</t>
        </is>
      </c>
      <c r="K41" s="14" t="inlineStr">
        <is>
          <t>Bobina quemada, vástago atascado o fuga interna en la válvula</t>
        </is>
      </c>
      <c r="L41" s="15" t="inlineStr">
        <is>
          <t>6.1.1 ; 6.1.2 ; 9.3.1</t>
        </is>
      </c>
      <c r="M41" s="14" t="inlineStr">
        <is>
          <t>Reemplazar la unidad de electroválvula y verificar que la modulación vuelva a ser rítmica</t>
        </is>
      </c>
      <c r="N41" s="16" t="inlineStr">
        <is>
          <t>La electroválvula de modulación no conmuta de forma constante, lo que invalida la medición diferencial del analizador.</t>
        </is>
      </c>
      <c r="O41" s="10" t="n"/>
      <c r="P41" s="10" t="n"/>
      <c r="Q41" s="10" t="inlineStr">
        <is>
          <t>Sí</t>
        </is>
      </c>
      <c r="R41" s="10" t="inlineStr">
        <is>
          <t>Sí</t>
        </is>
      </c>
      <c r="S41" s="11" t="inlineStr">
        <is>
          <t>SV Unit WTB-3K-N1F-3 APMA / APOA (3014034340)</t>
        </is>
      </c>
      <c r="T41" s="11" t="inlineStr">
        <is>
          <t>P-ST-019-MAN MTTO APMA370 V2</t>
        </is>
      </c>
      <c r="U41" s="17" t="inlineStr">
        <is>
          <t>Pendiente</t>
        </is>
      </c>
      <c r="V41" s="17" t="n"/>
      <c r="W41" s="10">
        <f>IF($G41&lt;&gt;"Numérico","",IF($V41="","Sin dato",IF(AND(OR(NOT(ISNUMBER($O41)),$V41&gt;=$O41),OR(NOT(ISNUMBER($P41)),$V41&lt;=$P41)),"Dentro de rango","Fuera de rango")))</f>
        <v/>
      </c>
      <c r="X41" s="17" t="n"/>
      <c r="Y41" s="18" t="n"/>
      <c r="Z41" s="16">
        <f>IF(OR($U41="",$U41="Conforme",$U41="No aplica",$U41="Pendiente"),"",$N41&amp;IF($W41="Fuera de rango"," Valor medido: "&amp;TEXT($V41,"0.####")&amp;IF($H41="",""," "&amp;$H41)&amp;IF(AND(ISNUMBER($O41),$V41&lt;$O41),", por debajo del límite inferior de "&amp;TEXT($O41,"0.####")&amp;IF($H41="",""," "&amp;$H41),"")&amp;IF(AND(ISNUMBER($P41),$V41&gt;$P41),", por encima del límite superior de "&amp;TEXT($P41,"0.####")&amp;IF($H41="",""," "&amp;$H41),"")&amp;".","")&amp;IF($Y41="",""," "&amp;$Y41&amp;IF(RIGHT($Y41,1)=".","","."))&amp;" Acción recomendada: "&amp;$M41&amp;IF(RIGHT($M41,1)=".","",".")&amp;IF($J41="Bloqueante"," El equipo no se libera hasta resolver este hallazgo.",IF($J41="Cobrable"," Se incluye en la cotización de repuestos y consumibles."," Se deja registrado como observación.")))</f>
        <v/>
      </c>
    </row>
    <row r="42" ht="48" customHeight="1">
      <c r="A42" s="10" t="inlineStr">
        <is>
          <t>5.3.2</t>
        </is>
      </c>
      <c r="B42" s="10" t="inlineStr">
        <is>
          <t>5. Sistema neumático</t>
        </is>
      </c>
      <c r="C42" s="10" t="inlineStr">
        <is>
          <t>5.3 Válvulas y estanqueidad</t>
        </is>
      </c>
      <c r="D42" s="11" t="inlineStr">
        <is>
          <t>Prueba de estanqueidad (Leak Test)</t>
        </is>
      </c>
      <c r="E42" s="11" t="inlineStr">
        <is>
          <t>Mantenimiento del vacío sellando el puerto de entrada para detectar fugas</t>
        </is>
      </c>
      <c r="F42" s="12" t="inlineStr">
        <is>
          <t>Sellar el puerto SAMPLE INLET con un tapón, dejar la bomba en marcha y observar en ANALOG INPUT que la lectura de presión se estabilice y se mantenga sin fluctuaciones. Restituir la línea al terminar.</t>
        </is>
      </c>
      <c r="G42" s="10" t="inlineStr">
        <is>
          <t>OK / No OK</t>
        </is>
      </c>
      <c r="H42" s="10" t="inlineStr"/>
      <c r="I42" s="11" t="inlineStr">
        <is>
          <t>El circuito neumático debe mantener el vacío estable sin fluctuaciones tras aislar la succión</t>
        </is>
      </c>
      <c r="J42" s="13" t="inlineStr">
        <is>
          <t>Bloqueante</t>
        </is>
      </c>
      <c r="K42" s="14" t="inlineStr">
        <is>
          <t>Fuga en conexiones traseras, portafiltros o mangueras internas</t>
        </is>
      </c>
      <c r="L42" s="15" t="inlineStr">
        <is>
          <t>4.1.1 ; 4.1.2 ; 4.2.3 ; 4.2.2 ; 4.3.2</t>
        </is>
      </c>
      <c r="M42" s="14" t="inlineStr">
        <is>
          <t>Recorrer los puntos de sello en ese orden hasta ubicar la fuga y repetir la prueba</t>
        </is>
      </c>
      <c r="N42" s="16" t="inlineStr">
        <is>
          <t>El circuito neumático no mantiene el vacío durante la prueba de estanqueidad: existe una fuga que permite el ingreso de aire ambiente.</t>
        </is>
      </c>
      <c r="O42" s="10" t="n"/>
      <c r="P42" s="10" t="n"/>
      <c r="Q42" s="10" t="inlineStr">
        <is>
          <t>Sí</t>
        </is>
      </c>
      <c r="R42" s="10" t="inlineStr">
        <is>
          <t>Sí</t>
        </is>
      </c>
      <c r="S42" s="11" t="inlineStr"/>
      <c r="T42" s="11" t="inlineStr">
        <is>
          <t>GZ0000117746B SM E APXX-370 (Service Manual)</t>
        </is>
      </c>
      <c r="U42" s="17" t="inlineStr">
        <is>
          <t>Pendiente</t>
        </is>
      </c>
      <c r="V42" s="17" t="n"/>
      <c r="W42" s="10">
        <f>IF($G42&lt;&gt;"Numérico","",IF($V42="","Sin dato",IF(AND(OR(NOT(ISNUMBER($O42)),$V42&gt;=$O42),OR(NOT(ISNUMBER($P42)),$V42&lt;=$P42)),"Dentro de rango","Fuera de rango")))</f>
        <v/>
      </c>
      <c r="X42" s="17" t="n"/>
      <c r="Y42" s="18" t="n"/>
      <c r="Z42" s="16">
        <f>IF(OR($U42="",$U42="Conforme",$U42="No aplica",$U42="Pendiente"),"",$N42&amp;IF($W42="Fuera de rango"," Valor medido: "&amp;TEXT($V42,"0.####")&amp;IF($H42="",""," "&amp;$H42)&amp;IF(AND(ISNUMBER($O42),$V42&lt;$O42),", por debajo del límite inferior de "&amp;TEXT($O42,"0.####")&amp;IF($H42="",""," "&amp;$H42),"")&amp;IF(AND(ISNUMBER($P42),$V42&gt;$P42),", por encima del límite superior de "&amp;TEXT($P42,"0.####")&amp;IF($H42="",""," "&amp;$H42),"")&amp;".","")&amp;IF($Y42="",""," "&amp;$Y42&amp;IF(RIGHT($Y42,1)=".","","."))&amp;" Acción recomendada: "&amp;$M42&amp;IF(RIGHT($M42,1)=".","",".")&amp;IF($J42="Bloqueante"," El equipo no se libera hasta resolver este hallazgo.",IF($J42="Cobrable"," Se incluye en la cotización de repuestos y consumibles."," Se deja registrado como observación.")))</f>
        <v/>
      </c>
    </row>
    <row r="43" ht="48" customHeight="1">
      <c r="A43" s="10" t="inlineStr">
        <is>
          <t>6.1.1</t>
        </is>
      </c>
      <c r="B43" s="10" t="inlineStr">
        <is>
          <t>6. Banco de medición y óptica</t>
        </is>
      </c>
      <c r="C43" s="10" t="inlineStr">
        <is>
          <t>6.1 Señales del banco NDIR (modulación de flujo cruzado)</t>
        </is>
      </c>
      <c r="D43" s="11" t="inlineStr">
        <is>
          <t>Tensión de señal principal (SIGNAL MAIN)</t>
        </is>
      </c>
      <c r="E43" s="11" t="inlineStr">
        <is>
          <t>Tensión analógica del canal de medición de CO en ANALOG INPUT</t>
        </is>
      </c>
      <c r="F43" s="12" t="inlineStr">
        <is>
          <t>Ir a MENU / MAINTENANCE / ANALOG INPUT, ubicar SIGNAL (MAIN) y anotar el valor con el equipo midiendo aire ambiente estabilizado.</t>
        </is>
      </c>
      <c r="G43" s="10" t="inlineStr">
        <is>
          <t>Numérico</t>
        </is>
      </c>
      <c r="H43" s="10" t="inlineStr">
        <is>
          <t>mV</t>
        </is>
      </c>
      <c r="I43" s="11" t="inlineStr">
        <is>
          <t>Representa la energía infrarroja del detector para el monóxido de carbono</t>
        </is>
      </c>
      <c r="J43" s="13" t="inlineStr">
        <is>
          <t>Bloqueante</t>
        </is>
      </c>
      <c r="K43" s="14" t="inlineStr">
        <is>
          <t>Suspensión del banco óptico desmontada, humedad en la celda, o lámpara IR degradada</t>
        </is>
      </c>
      <c r="L43" s="15" t="inlineStr">
        <is>
          <t>6.3.1 ; 6.2.2 ; 6.2.1 ; 4.3.1</t>
        </is>
      </c>
      <c r="M43" s="14" t="inlineStr">
        <is>
          <t>Verificar primero que el bloque óptico flote libre; después óptica y lámpara</t>
        </is>
      </c>
      <c r="N43" s="16" t="inlineStr">
        <is>
          <t>La señal del canal de medición se encuentra fuera de su nivel de operación o presenta inestabilidad.</t>
        </is>
      </c>
      <c r="O43" s="10" t="n">
        <v>0</v>
      </c>
      <c r="P43" s="10" t="n">
        <v>3000</v>
      </c>
      <c r="Q43" s="10" t="inlineStr">
        <is>
          <t>Sí</t>
        </is>
      </c>
      <c r="R43" s="10" t="inlineStr">
        <is>
          <t>No</t>
        </is>
      </c>
      <c r="S43" s="11" t="inlineStr"/>
      <c r="T43" s="11" t="inlineStr">
        <is>
          <t>P-ST-018-MAN OPER APMA 370 V2</t>
        </is>
      </c>
      <c r="U43" s="17" t="inlineStr">
        <is>
          <t>Pendiente</t>
        </is>
      </c>
      <c r="V43" s="17" t="n"/>
      <c r="W43" s="10">
        <f>IF($G43&lt;&gt;"Numérico","",IF($V43="","Sin dato",IF(AND(OR(NOT(ISNUMBER($O43)),$V43&gt;=$O43),OR(NOT(ISNUMBER($P43)),$V43&lt;=$P43)),"Dentro de rango","Fuera de rango")))</f>
        <v/>
      </c>
      <c r="X43" s="17" t="n"/>
      <c r="Y43" s="18" t="n"/>
      <c r="Z43" s="16">
        <f>IF(OR($U43="",$U43="Conforme",$U43="No aplica",$U43="Pendiente"),"",$N43&amp;IF($W43="Fuera de rango"," Valor medido: "&amp;TEXT($V43,"0.####")&amp;IF($H43="",""," "&amp;$H43)&amp;IF(AND(ISNUMBER($O43),$V43&lt;$O43),", por debajo del límite inferior de "&amp;TEXT($O43,"0.####")&amp;IF($H43="",""," "&amp;$H43),"")&amp;IF(AND(ISNUMBER($P43),$V43&gt;$P43),", por encima del límite superior de "&amp;TEXT($P43,"0.####")&amp;IF($H43="",""," "&amp;$H43),"")&amp;".","")&amp;IF($Y43="",""," "&amp;$Y43&amp;IF(RIGHT($Y43,1)=".","","."))&amp;" Acción recomendada: "&amp;$M43&amp;IF(RIGHT($M43,1)=".","",".")&amp;IF($J43="Bloqueante"," El equipo no se libera hasta resolver este hallazgo.",IF($J43="Cobrable"," Se incluye en la cotización de repuestos y consumibles."," Se deja registrado como observación.")))</f>
        <v/>
      </c>
    </row>
    <row r="44" ht="48" customHeight="1">
      <c r="A44" s="10" t="inlineStr">
        <is>
          <t>6.1.2</t>
        </is>
      </c>
      <c r="B44" s="10" t="inlineStr">
        <is>
          <t>6. Banco de medición y óptica</t>
        </is>
      </c>
      <c r="C44" s="10" t="inlineStr">
        <is>
          <t>6.1 Señales del banco NDIR (modulación de flujo cruzado)</t>
        </is>
      </c>
      <c r="D44" s="11" t="inlineStr">
        <is>
          <t>Tensión de señal de compensación (SIGNAL COMP)</t>
        </is>
      </c>
      <c r="E44" s="11" t="inlineStr">
        <is>
          <t>Tensión analógica del canal de referencia para corregir interferentes</t>
        </is>
      </c>
      <c r="F44" s="12" t="inlineStr">
        <is>
          <t>En la misma pantalla ANALOG INPUT, ubicar SIGNAL (COMP) y anotar el valor con el equipo estabilizado. Registrar ambos valores en la misma lectura.</t>
        </is>
      </c>
      <c r="G44" s="10" t="inlineStr">
        <is>
          <t>Numérico</t>
        </is>
      </c>
      <c r="H44" s="10" t="inlineStr">
        <is>
          <t>mV</t>
        </is>
      </c>
      <c r="I44" s="11" t="inlineStr">
        <is>
          <t>Empleada por el firmware para corregir el efecto de otros componentes de la muestra</t>
        </is>
      </c>
      <c r="J44" s="13" t="inlineStr">
        <is>
          <t>Bloqueante</t>
        </is>
      </c>
      <c r="K44" s="14" t="inlineStr">
        <is>
          <t>Contaminación del canal de compensación o desfase de la tarjeta ADC</t>
        </is>
      </c>
      <c r="L44" s="15" t="inlineStr">
        <is>
          <t>6.2.2 ; 6.3.1 ; 7.1.2</t>
        </is>
      </c>
      <c r="M44" s="14" t="inlineStr">
        <is>
          <t>Limpiar la óptica; si persiste, recalibrar fase y atenuador del canal COMP en modo servicio</t>
        </is>
      </c>
      <c r="N44" s="16" t="inlineStr">
        <is>
          <t>La señal del canal de compensación se encuentra fuera de su nivel de operación o presenta inestabilidad.</t>
        </is>
      </c>
      <c r="O44" s="10" t="n">
        <v>0</v>
      </c>
      <c r="P44" s="10" t="n">
        <v>3000</v>
      </c>
      <c r="Q44" s="10" t="inlineStr">
        <is>
          <t>Sí</t>
        </is>
      </c>
      <c r="R44" s="10" t="inlineStr">
        <is>
          <t>No</t>
        </is>
      </c>
      <c r="S44" s="11" t="inlineStr"/>
      <c r="T44" s="11" t="inlineStr">
        <is>
          <t>P-ST-018-MAN OPER APMA 370 V2</t>
        </is>
      </c>
      <c r="U44" s="17" t="inlineStr">
        <is>
          <t>Pendiente</t>
        </is>
      </c>
      <c r="V44" s="17" t="n"/>
      <c r="W44" s="10">
        <f>IF($G44&lt;&gt;"Numérico","",IF($V44="","Sin dato",IF(AND(OR(NOT(ISNUMBER($O44)),$V44&gt;=$O44),OR(NOT(ISNUMBER($P44)),$V44&lt;=$P44)),"Dentro de rango","Fuera de rango")))</f>
        <v/>
      </c>
      <c r="X44" s="17" t="n"/>
      <c r="Y44" s="18" t="n"/>
      <c r="Z44" s="16">
        <f>IF(OR($U44="",$U44="Conforme",$U44="No aplica",$U44="Pendiente"),"",$N44&amp;IF($W44="Fuera de rango"," Valor medido: "&amp;TEXT($V44,"0.####")&amp;IF($H44="",""," "&amp;$H44)&amp;IF(AND(ISNUMBER($O44),$V44&lt;$O44),", por debajo del límite inferior de "&amp;TEXT($O44,"0.####")&amp;IF($H44="",""," "&amp;$H44),"")&amp;IF(AND(ISNUMBER($P44),$V44&gt;$P44),", por encima del límite superior de "&amp;TEXT($P44,"0.####")&amp;IF($H44="",""," "&amp;$H44),"")&amp;".","")&amp;IF($Y44="",""," "&amp;$Y44&amp;IF(RIGHT($Y44,1)=".","","."))&amp;" Acción recomendada: "&amp;$M44&amp;IF(RIGHT($M44,1)=".","",".")&amp;IF($J44="Bloqueante"," El equipo no se libera hasta resolver este hallazgo.",IF($J44="Cobrable"," Se incluye en la cotización de repuestos y consumibles."," Se deja registrado como observación.")))</f>
        <v/>
      </c>
    </row>
    <row r="45" ht="48" customHeight="1">
      <c r="A45" s="10" t="inlineStr">
        <is>
          <t>6.2.1</t>
        </is>
      </c>
      <c r="B45" s="10" t="inlineStr">
        <is>
          <t>6. Banco de medición y óptica</t>
        </is>
      </c>
      <c r="C45" s="10" t="inlineStr">
        <is>
          <t>6.2 Fuente infrarroja y celda óptica</t>
        </is>
      </c>
      <c r="D45" s="11" t="inlineStr">
        <is>
          <t>Lámpara infrarroja (IR Lamp)</t>
        </is>
      </c>
      <c r="E45" s="11" t="inlineStr">
        <is>
          <t>Desgaste térmico, estabilidad del haz e integridad del filamento de la fuente IR</t>
        </is>
      </c>
      <c r="F45" s="12" t="inlineStr">
        <is>
          <t>Con el equipo apagado y frío, retirar la cubierta y examinar la ampolla de la lámpara IR contra la luz buscando ennegrecimiento interno o filamento deformado. No tocar el vidrio con los dedos.</t>
        </is>
      </c>
      <c r="G45" s="10" t="inlineStr">
        <is>
          <t>OK / No OK</t>
        </is>
      </c>
      <c r="H45" s="10" t="inlineStr"/>
      <c r="I45" s="11" t="inlineStr">
        <is>
          <t>Filamento activo de forma continua y ampolla libre de manchas severas (indican desgaste)</t>
        </is>
      </c>
      <c r="J45" s="13" t="inlineStr">
        <is>
          <t>Bloqueante</t>
        </is>
      </c>
      <c r="K45" s="14" t="inlineStr">
        <is>
          <t>Filamento con microfisuras o ampolla ennegrecida por horas de servicio</t>
        </is>
      </c>
      <c r="L45" s="15" t="inlineStr">
        <is>
          <t>6.1.1 ; 3.1.2</t>
        </is>
      </c>
      <c r="M45" s="14" t="inlineStr">
        <is>
          <t>Reemplazar la lámpara IR y recalibrar cero y span</t>
        </is>
      </c>
      <c r="N45" s="16" t="inlineStr">
        <is>
          <t>La lámpara infrarroja del banco de medición presenta desgaste, lo que reduce la energía disponible para la medición.</t>
        </is>
      </c>
      <c r="O45" s="10" t="n"/>
      <c r="P45" s="10" t="n"/>
      <c r="Q45" s="10" t="inlineStr">
        <is>
          <t>Sí</t>
        </is>
      </c>
      <c r="R45" s="10" t="inlineStr">
        <is>
          <t>Sí</t>
        </is>
      </c>
      <c r="S45" s="11" t="inlineStr">
        <is>
          <t>Sin artículo en el catálogo (lámpara IR del APMA) — PENDIENTE DE CREAR EN ZOHO</t>
        </is>
      </c>
      <c r="T45" s="11" t="inlineStr">
        <is>
          <t>MT_2V0CY0DC_APMA370_250930 / Service Manual</t>
        </is>
      </c>
      <c r="U45" s="17" t="inlineStr">
        <is>
          <t>Pendiente</t>
        </is>
      </c>
      <c r="V45" s="17" t="n"/>
      <c r="W45" s="10">
        <f>IF($G45&lt;&gt;"Numérico","",IF($V45="","Sin dato",IF(AND(OR(NOT(ISNUMBER($O45)),$V45&gt;=$O45),OR(NOT(ISNUMBER($P45)),$V45&lt;=$P45)),"Dentro de rango","Fuera de rango")))</f>
        <v/>
      </c>
      <c r="X45" s="17" t="n"/>
      <c r="Y45" s="18" t="n"/>
      <c r="Z45" s="16">
        <f>IF(OR($U45="",$U45="Conforme",$U45="No aplica",$U45="Pendiente"),"",$N45&amp;IF($W45="Fuera de rango"," Valor medido: "&amp;TEXT($V45,"0.####")&amp;IF($H45="",""," "&amp;$H45)&amp;IF(AND(ISNUMBER($O45),$V45&lt;$O45),", por debajo del límite inferior de "&amp;TEXT($O45,"0.####")&amp;IF($H45="",""," "&amp;$H45),"")&amp;IF(AND(ISNUMBER($P45),$V45&gt;$P45),", por encima del límite superior de "&amp;TEXT($P45,"0.####")&amp;IF($H45="",""," "&amp;$H45),"")&amp;".","")&amp;IF($Y45="",""," "&amp;$Y45&amp;IF(RIGHT($Y45,1)=".","","."))&amp;" Acción recomendada: "&amp;$M45&amp;IF(RIGHT($M45,1)=".","",".")&amp;IF($J45="Bloqueante"," El equipo no se libera hasta resolver este hallazgo.",IF($J45="Cobrable"," Se incluye en la cotización de repuestos y consumibles."," Se deja registrado como observación.")))</f>
        <v/>
      </c>
    </row>
    <row r="46" ht="48" customHeight="1">
      <c r="A46" s="10" t="inlineStr">
        <is>
          <t>6.2.2</t>
        </is>
      </c>
      <c r="B46" s="10" t="inlineStr">
        <is>
          <t>6. Banco de medición y óptica</t>
        </is>
      </c>
      <c r="C46" s="10" t="inlineStr">
        <is>
          <t>6.2 Fuente infrarroja y celda óptica</t>
        </is>
      </c>
      <c r="D46" s="11" t="inlineStr">
        <is>
          <t>Limpieza de ventanas ópticas y lentes de la celda</t>
        </is>
      </c>
      <c r="E46" s="11" t="inlineStr">
        <is>
          <t>Suciedad, hollín o humedad en las caras translúcidas del tubo de absorción óptica</t>
        </is>
      </c>
      <c r="F46" s="12" t="inlineStr">
        <is>
          <t>Con el equipo apagado y frío, acceder a la celda óptica y examinar las ventanas con linterna, buscando películas, hollín o condensación. Limpiar solo con los materiales indicados en el manual de mantenimiento.</t>
        </is>
      </c>
      <c r="G46" s="10" t="inlineStr">
        <is>
          <t>OK / No OK</t>
        </is>
      </c>
      <c r="H46" s="10" t="inlineStr"/>
      <c r="I46" s="11" t="inlineStr">
        <is>
          <t>Ventanas limpias y translúcidas para garantizar el paso libre del haz infrarrojo</t>
        </is>
      </c>
      <c r="J46" s="13" t="inlineStr">
        <is>
          <t>Cobrable</t>
        </is>
      </c>
      <c r="K46" s="14" t="inlineStr">
        <is>
          <t>Depósitos de hollín, o condensación por humedad en la línea de muestra</t>
        </is>
      </c>
      <c r="L46" s="15" t="inlineStr">
        <is>
          <t>4.3.1 ; 6.1.1</t>
        </is>
      </c>
      <c r="M46" s="14" t="inlineStr">
        <is>
          <t>Limpiar las ventanas con material óptico apropiado y eliminar el origen de la humedad</t>
        </is>
      </c>
      <c r="N46" s="16" t="inlineStr">
        <is>
          <t>Las ventanas ópticas de la celda de medida presentan depósitos o condensación que atenúan la señal.</t>
        </is>
      </c>
      <c r="O46" s="10" t="n"/>
      <c r="P46" s="10" t="n"/>
      <c r="Q46" s="10" t="inlineStr">
        <is>
          <t>Sí</t>
        </is>
      </c>
      <c r="R46" s="10" t="inlineStr">
        <is>
          <t>Sí</t>
        </is>
      </c>
      <c r="S46" s="11" t="inlineStr"/>
      <c r="T46" s="11" t="inlineStr">
        <is>
          <t>MT_2V0CY0DC_APMA370_250930</t>
        </is>
      </c>
      <c r="U46" s="17" t="inlineStr">
        <is>
          <t>Pendiente</t>
        </is>
      </c>
      <c r="V46" s="17" t="n"/>
      <c r="W46" s="10">
        <f>IF($G46&lt;&gt;"Numérico","",IF($V46="","Sin dato",IF(AND(OR(NOT(ISNUMBER($O46)),$V46&gt;=$O46),OR(NOT(ISNUMBER($P46)),$V46&lt;=$P46)),"Dentro de rango","Fuera de rango")))</f>
        <v/>
      </c>
      <c r="X46" s="17" t="n"/>
      <c r="Y46" s="18" t="n"/>
      <c r="Z46" s="16">
        <f>IF(OR($U46="",$U46="Conforme",$U46="No aplica",$U46="Pendiente"),"",$N46&amp;IF($W46="Fuera de rango"," Valor medido: "&amp;TEXT($V46,"0.####")&amp;IF($H46="",""," "&amp;$H46)&amp;IF(AND(ISNUMBER($O46),$V46&lt;$O46),", por debajo del límite inferior de "&amp;TEXT($O46,"0.####")&amp;IF($H46="",""," "&amp;$H46),"")&amp;IF(AND(ISNUMBER($P46),$V46&gt;$P46),", por encima del límite superior de "&amp;TEXT($P46,"0.####")&amp;IF($H46="",""," "&amp;$H46),"")&amp;".","")&amp;IF($Y46="",""," "&amp;$Y46&amp;IF(RIGHT($Y46,1)=".","","."))&amp;" Acción recomendada: "&amp;$M46&amp;IF(RIGHT($M46,1)=".","",".")&amp;IF($J46="Bloqueante"," El equipo no se libera hasta resolver este hallazgo.",IF($J46="Cobrable"," Se incluye en la cotización de repuestos y consumibles."," Se deja registrado como observación.")))</f>
        <v/>
      </c>
    </row>
    <row r="47" ht="48" customHeight="1">
      <c r="A47" s="10" t="inlineStr">
        <is>
          <t>6.3.1</t>
        </is>
      </c>
      <c r="B47" s="10" t="inlineStr">
        <is>
          <t>6. Banco de medición y óptica</t>
        </is>
      </c>
      <c r="C47" s="10" t="inlineStr">
        <is>
          <t>6.3 Suspensión mecánica del banco óptico</t>
        </is>
      </c>
      <c r="D47" s="11" t="inlineStr">
        <is>
          <t>Resortes de amortiguación del banco óptico</t>
        </is>
      </c>
      <c r="E47" s="11" t="inlineStr">
        <is>
          <t>Presencia y tensión de los 3 resortes que suspenden la celda de medida</t>
        </is>
      </c>
      <c r="F47" s="12" t="inlineStr">
        <is>
          <t>Con la cubierta retirada, verificar que los 3 resortes de suspensión del banco óptico estén enganchados en ambos extremos y comparar su longitud libre entre sí para detectar estiramiento.</t>
        </is>
      </c>
      <c r="G47" s="10" t="inlineStr">
        <is>
          <t>OK / No OK</t>
        </is>
      </c>
      <c r="H47" s="10" t="inlineStr"/>
      <c r="I47" s="11" t="inlineStr">
        <is>
          <t>Los 3 resortes deben estar enganchados y libres de estiramientos o deformaciones</t>
        </is>
      </c>
      <c r="J47" s="13" t="inlineStr">
        <is>
          <t>Cobrable</t>
        </is>
      </c>
      <c r="K47" s="14" t="inlineStr">
        <is>
          <t>Resorte desenganchado o estirado tras un transporte o una intervención</t>
        </is>
      </c>
      <c r="L47" s="15" t="inlineStr">
        <is>
          <t>6.1.1 ; 6.3.2 ; 5.2.1</t>
        </is>
      </c>
      <c r="M47" s="14" t="inlineStr">
        <is>
          <t>Reponer los tres resortes y comprobar que la celda no toque el chasis</t>
        </is>
      </c>
      <c r="N47" s="16" t="inlineStr">
        <is>
          <t>El sistema de suspensión del banco óptico está incompleto o deformado, lo que transmite la vibración de la bomba a la medición.</t>
        </is>
      </c>
      <c r="O47" s="10" t="n"/>
      <c r="P47" s="10" t="n"/>
      <c r="Q47" s="10" t="inlineStr">
        <is>
          <t>Sí</t>
        </is>
      </c>
      <c r="R47" s="10" t="inlineStr">
        <is>
          <t>Sí</t>
        </is>
      </c>
      <c r="S47" s="11" t="inlineStr">
        <is>
          <t>Spring //=001= L=64 K=0.59 (3012161550)</t>
        </is>
      </c>
      <c r="T47" s="11" t="inlineStr">
        <is>
          <t>MT_191TE0NC_APMA370_241226 / MT_U7D80D0J_APMA370_260116</t>
        </is>
      </c>
      <c r="U47" s="17" t="inlineStr">
        <is>
          <t>Pendiente</t>
        </is>
      </c>
      <c r="V47" s="17" t="n"/>
      <c r="W47" s="10">
        <f>IF($G47&lt;&gt;"Numérico","",IF($V47="","Sin dato",IF(AND(OR(NOT(ISNUMBER($O47)),$V47&gt;=$O47),OR(NOT(ISNUMBER($P47)),$V47&lt;=$P47)),"Dentro de rango","Fuera de rango")))</f>
        <v/>
      </c>
      <c r="X47" s="17" t="n"/>
      <c r="Y47" s="18" t="n"/>
      <c r="Z47" s="16">
        <f>IF(OR($U47="",$U47="Conforme",$U47="No aplica",$U47="Pendiente"),"",$N47&amp;IF($W47="Fuera de rango"," Valor medido: "&amp;TEXT($V47,"0.####")&amp;IF($H47="",""," "&amp;$H47)&amp;IF(AND(ISNUMBER($O47),$V47&lt;$O47),", por debajo del límite inferior de "&amp;TEXT($O47,"0.####")&amp;IF($H47="",""," "&amp;$H47),"")&amp;IF(AND(ISNUMBER($P47),$V47&gt;$P47),", por encima del límite superior de "&amp;TEXT($P47,"0.####")&amp;IF($H47="",""," "&amp;$H47),"")&amp;".","")&amp;IF($Y47="",""," "&amp;$Y47&amp;IF(RIGHT($Y47,1)=".","","."))&amp;" Acción recomendada: "&amp;$M47&amp;IF(RIGHT($M47,1)=".","",".")&amp;IF($J47="Bloqueante"," El equipo no se libera hasta resolver este hallazgo.",IF($J47="Cobrable"," Se incluye en la cotización de repuestos y consumibles."," Se deja registrado como observación.")))</f>
        <v/>
      </c>
    </row>
    <row r="48" ht="48" customHeight="1">
      <c r="A48" s="10" t="inlineStr">
        <is>
          <t>6.3.2</t>
        </is>
      </c>
      <c r="B48" s="10" t="inlineStr">
        <is>
          <t>6. Banco de medición y óptica</t>
        </is>
      </c>
      <c r="C48" s="10" t="inlineStr">
        <is>
          <t>6.3 Suspensión mecánica del banco óptico</t>
        </is>
      </c>
      <c r="D48" s="11" t="inlineStr">
        <is>
          <t>Topes amortiguadores (Stoppers)</t>
        </is>
      </c>
      <c r="E48" s="11" t="inlineStr">
        <is>
          <t>Estado físico y flexibilidad de los soportes elásticos que limitan la oscilación de la celda</t>
        </is>
      </c>
      <c r="F48" s="12" t="inlineStr">
        <is>
          <t>Inspeccionar los topes de goma en sus zócalos, presionarlos con el dedo para comprobar que conservan elasticidad y verificar que no estén desprendidos ni endurecidos.</t>
        </is>
      </c>
      <c r="G48" s="10" t="inlineStr">
        <is>
          <t>OK / No OK</t>
        </is>
      </c>
      <c r="H48" s="10" t="inlineStr"/>
      <c r="I48" s="11" t="inlineStr">
        <is>
          <t>Stoppers de goma flexibles en su zócalo, para absorber la vibración inducida por la bomba</t>
        </is>
      </c>
      <c r="J48" s="13" t="inlineStr">
        <is>
          <t>Cobrable</t>
        </is>
      </c>
      <c r="K48" s="14" t="inlineStr">
        <is>
          <t>Goma endurecida o desprendida de su zócalo</t>
        </is>
      </c>
      <c r="L48" s="15" t="inlineStr">
        <is>
          <t>6.3.1 ; 6.1.1</t>
        </is>
      </c>
      <c r="M48" s="14" t="inlineStr">
        <is>
          <t>Reemplazar los topes y recentrar el bloque óptico</t>
        </is>
      </c>
      <c r="N48" s="16" t="inlineStr">
        <is>
          <t>Los topes amortiguadores del banco óptico están endurecidos o desprendidos de su alojamiento.</t>
        </is>
      </c>
      <c r="O48" s="10" t="n"/>
      <c r="P48" s="10" t="n"/>
      <c r="Q48" s="10" t="inlineStr">
        <is>
          <t>Sí</t>
        </is>
      </c>
      <c r="R48" s="10" t="inlineStr">
        <is>
          <t>Sí</t>
        </is>
      </c>
      <c r="S48" s="11" t="inlineStr">
        <is>
          <t>Stopper, Spring //For AIA-1X0 (3012165197)</t>
        </is>
      </c>
      <c r="T48" s="11" t="inlineStr">
        <is>
          <t>MT_191TE0NC_APMA370_241226 / MT_U7D80D0J_APMA370_260116</t>
        </is>
      </c>
      <c r="U48" s="17" t="inlineStr">
        <is>
          <t>Pendiente</t>
        </is>
      </c>
      <c r="V48" s="17" t="n"/>
      <c r="W48" s="10">
        <f>IF($G48&lt;&gt;"Numérico","",IF($V48="","Sin dato",IF(AND(OR(NOT(ISNUMBER($O48)),$V48&gt;=$O48),OR(NOT(ISNUMBER($P48)),$V48&lt;=$P48)),"Dentro de rango","Fuera de rango")))</f>
        <v/>
      </c>
      <c r="X48" s="17" t="n"/>
      <c r="Y48" s="18" t="n"/>
      <c r="Z48" s="16">
        <f>IF(OR($U48="",$U48="Conforme",$U48="No aplica",$U48="Pendiente"),"",$N48&amp;IF($W48="Fuera de rango"," Valor medido: "&amp;TEXT($V48,"0.####")&amp;IF($H48="",""," "&amp;$H48)&amp;IF(AND(ISNUMBER($O48),$V48&lt;$O48),", por debajo del límite inferior de "&amp;TEXT($O48,"0.####")&amp;IF($H48="",""," "&amp;$H48),"")&amp;IF(AND(ISNUMBER($P48),$V48&gt;$P48),", por encima del límite superior de "&amp;TEXT($P48,"0.####")&amp;IF($H48="",""," "&amp;$H48),"")&amp;".","")&amp;IF($Y48="",""," "&amp;$Y48&amp;IF(RIGHT($Y48,1)=".","","."))&amp;" Acción recomendada: "&amp;$M48&amp;IF(RIGHT($M48,1)=".","",".")&amp;IF($J48="Bloqueante"," El equipo no se libera hasta resolver este hallazgo.",IF($J48="Cobrable"," Se incluye en la cotización de repuestos y consumibles."," Se deja registrado como observación.")))</f>
        <v/>
      </c>
    </row>
    <row r="49" ht="48" customHeight="1">
      <c r="A49" s="10" t="inlineStr">
        <is>
          <t>6.3.3</t>
        </is>
      </c>
      <c r="B49" s="10" t="inlineStr">
        <is>
          <t>6. Banco de medición y óptica</t>
        </is>
      </c>
      <c r="C49" s="10" t="inlineStr">
        <is>
          <t>6.3 Suspensión mecánica del banco óptico</t>
        </is>
      </c>
      <c r="D49" s="11" t="inlineStr">
        <is>
          <t>Tornillos de tope (Screw Stopper)</t>
        </is>
      </c>
      <c r="E49" s="11" t="inlineStr">
        <is>
          <t>Presencia e integridad de los tornillos M5x20 que limitan el desplazamiento elástico</t>
        </is>
      </c>
      <c r="F49" s="12" t="inlineStr">
        <is>
          <t>Verificar visualmente la presencia de los tornillos M5x20 en los anclajes del chasis y comprobar con destornillador que estén roscados a su posición de ajuste.</t>
        </is>
      </c>
      <c r="G49" s="10" t="inlineStr">
        <is>
          <t>Presente / Ausente</t>
        </is>
      </c>
      <c r="H49" s="10" t="inlineStr"/>
      <c r="I49" s="11" t="inlineStr">
        <is>
          <t>Deben estar presentes y roscados firmemente los tornillos M5x20 en los anclajes del chasis</t>
        </is>
      </c>
      <c r="J49" s="13" t="inlineStr">
        <is>
          <t>Cobrable</t>
        </is>
      </c>
      <c r="K49" s="14" t="inlineStr">
        <is>
          <t>Tornillo ausente o desajustado por vibración continua</t>
        </is>
      </c>
      <c r="L49" s="15" t="inlineStr">
        <is>
          <t>6.3.4 ; 6.3.1</t>
        </is>
      </c>
      <c r="M49" s="14" t="inlineStr">
        <is>
          <t>Reponer y ajustar los tornillos M5x20 a su posición de tope</t>
        </is>
      </c>
      <c r="N49" s="16" t="inlineStr">
        <is>
          <t>Faltan o están desajustados los tornillos de tope de la suspensión del banco óptico.</t>
        </is>
      </c>
      <c r="O49" s="10" t="n"/>
      <c r="P49" s="10" t="n"/>
      <c r="Q49" s="10" t="inlineStr">
        <is>
          <t>Sí</t>
        </is>
      </c>
      <c r="R49" s="10" t="inlineStr">
        <is>
          <t>Sí</t>
        </is>
      </c>
      <c r="S49" s="11" t="inlineStr">
        <is>
          <t>Screw, Stopper //=002=M5X20 For Spring (3012155051)</t>
        </is>
      </c>
      <c r="T49" s="11" t="inlineStr">
        <is>
          <t>MT_U6RF8092_APMA-370_240311 / MT_U7D80D0J_APMA370_260116</t>
        </is>
      </c>
      <c r="U49" s="17" t="inlineStr">
        <is>
          <t>Pendiente</t>
        </is>
      </c>
      <c r="V49" s="17" t="n"/>
      <c r="W49" s="10">
        <f>IF($G49&lt;&gt;"Numérico","",IF($V49="","Sin dato",IF(AND(OR(NOT(ISNUMBER($O49)),$V49&gt;=$O49),OR(NOT(ISNUMBER($P49)),$V49&lt;=$P49)),"Dentro de rango","Fuera de rango")))</f>
        <v/>
      </c>
      <c r="X49" s="17" t="n"/>
      <c r="Y49" s="18" t="n"/>
      <c r="Z49" s="16">
        <f>IF(OR($U49="",$U49="Conforme",$U49="No aplica",$U49="Pendiente"),"",$N49&amp;IF($W49="Fuera de rango"," Valor medido: "&amp;TEXT($V49,"0.####")&amp;IF($H49="",""," "&amp;$H49)&amp;IF(AND(ISNUMBER($O49),$V49&lt;$O49),", por debajo del límite inferior de "&amp;TEXT($O49,"0.####")&amp;IF($H49="",""," "&amp;$H49),"")&amp;IF(AND(ISNUMBER($P49),$V49&gt;$P49),", por encima del límite superior de "&amp;TEXT($P49,"0.####")&amp;IF($H49="",""," "&amp;$H49),"")&amp;".","")&amp;IF($Y49="",""," "&amp;$Y49&amp;IF(RIGHT($Y49,1)=".","","."))&amp;" Acción recomendada: "&amp;$M49&amp;IF(RIGHT($M49,1)=".","",".")&amp;IF($J49="Bloqueante"," El equipo no se libera hasta resolver este hallazgo.",IF($J49="Cobrable"," Se incluye en la cotización de repuestos y consumibles."," Se deja registrado como observación.")))</f>
        <v/>
      </c>
    </row>
    <row r="50" ht="48" customHeight="1">
      <c r="A50" s="10" t="inlineStr">
        <is>
          <t>6.3.4</t>
        </is>
      </c>
      <c r="B50" s="10" t="inlineStr">
        <is>
          <t>6. Banco de medición y óptica</t>
        </is>
      </c>
      <c r="C50" s="10" t="inlineStr">
        <is>
          <t>6.3 Suspensión mecánica del banco óptico</t>
        </is>
      </c>
      <c r="D50" s="11" t="inlineStr">
        <is>
          <t>Tuercas hexagonales de fijación</t>
        </is>
      </c>
      <c r="E50" s="11" t="inlineStr">
        <is>
          <t>Ajuste y torque de las tuercas M5 en los tornillos de los zócalos amortiguadores</t>
        </is>
      </c>
      <c r="F50" s="12" t="inlineStr">
        <is>
          <t>Comprobar con llave del tamaño correspondiente que las tuercas M5 de los zócalos amortiguadores estén ajustadas, sin apretar en exceso para no rigidizar la suspensión.</t>
        </is>
      </c>
      <c r="G50" s="10" t="inlineStr">
        <is>
          <t>OK / No OK</t>
        </is>
      </c>
      <c r="H50" s="10" t="inlineStr"/>
      <c r="I50" s="11" t="inlineStr">
        <is>
          <t>Tuercas M5 ajustadas firmemente para evitar desprendimiento del bloque óptico</t>
        </is>
      </c>
      <c r="J50" s="13" t="inlineStr">
        <is>
          <t>Cobrable</t>
        </is>
      </c>
      <c r="K50" s="14" t="inlineStr">
        <is>
          <t>Tuerca floja por la vibración de la bomba</t>
        </is>
      </c>
      <c r="L50" s="15" t="inlineStr">
        <is>
          <t>6.3.3</t>
        </is>
      </c>
      <c r="M50" s="14" t="inlineStr">
        <is>
          <t>Reapretar sin llegar a rigidizar la suspensión</t>
        </is>
      </c>
      <c r="N50" s="16" t="inlineStr">
        <is>
          <t>Las tuercas de fijación de la suspensión del banco óptico se encuentran flojas.</t>
        </is>
      </c>
      <c r="O50" s="10" t="n"/>
      <c r="P50" s="10" t="n"/>
      <c r="Q50" s="10" t="inlineStr">
        <is>
          <t>Sí</t>
        </is>
      </c>
      <c r="R50" s="10" t="inlineStr">
        <is>
          <t>Sí</t>
        </is>
      </c>
      <c r="S50" s="11" t="inlineStr">
        <is>
          <t>Hexagon Nut // JISB1181(TYP1) M05 (S-ZN3) ROHS (3011000121)</t>
        </is>
      </c>
      <c r="T50" s="11" t="inlineStr">
        <is>
          <t>MT_U6RF8092_APMA-370_240311 / MT_U7D80D0J_APMA370_260116</t>
        </is>
      </c>
      <c r="U50" s="17" t="inlineStr">
        <is>
          <t>Pendiente</t>
        </is>
      </c>
      <c r="V50" s="17" t="n"/>
      <c r="W50" s="10">
        <f>IF($G50&lt;&gt;"Numérico","",IF($V50="","Sin dato",IF(AND(OR(NOT(ISNUMBER($O50)),$V50&gt;=$O50),OR(NOT(ISNUMBER($P50)),$V50&lt;=$P50)),"Dentro de rango","Fuera de rango")))</f>
        <v/>
      </c>
      <c r="X50" s="17" t="n"/>
      <c r="Y50" s="18" t="n"/>
      <c r="Z50" s="16">
        <f>IF(OR($U50="",$U50="Conforme",$U50="No aplica",$U50="Pendiente"),"",$N50&amp;IF($W50="Fuera de rango"," Valor medido: "&amp;TEXT($V50,"0.####")&amp;IF($H50="",""," "&amp;$H50)&amp;IF(AND(ISNUMBER($O50),$V50&lt;$O50),", por debajo del límite inferior de "&amp;TEXT($O50,"0.####")&amp;IF($H50="",""," "&amp;$H50),"")&amp;IF(AND(ISNUMBER($P50),$V50&gt;$P50),", por encima del límite superior de "&amp;TEXT($P50,"0.####")&amp;IF($H50="",""," "&amp;$H50),"")&amp;".","")&amp;IF($Y50="",""," "&amp;$Y50&amp;IF(RIGHT($Y50,1)=".","","."))&amp;" Acción recomendada: "&amp;$M50&amp;IF(RIGHT($M50,1)=".","",".")&amp;IF($J50="Bloqueante"," El equipo no se libera hasta resolver este hallazgo.",IF($J50="Cobrable"," Se incluye en la cotización de repuestos y consumibles."," Se deja registrado como observación.")))</f>
        <v/>
      </c>
    </row>
    <row r="51" ht="48" customHeight="1">
      <c r="A51" s="10" t="inlineStr">
        <is>
          <t>6.4.1</t>
        </is>
      </c>
      <c r="B51" s="10" t="inlineStr">
        <is>
          <t>6. Banco de medición y óptica</t>
        </is>
      </c>
      <c r="C51" s="10" t="inlineStr">
        <is>
          <t>6.4 Purificación de la línea de referencia</t>
        </is>
      </c>
      <c r="D51" s="11" t="inlineStr">
        <is>
          <t>Eficiencia del relleno catalítico de CO (CAT-1)</t>
        </is>
      </c>
      <c r="E51" s="11" t="inlineStr">
        <is>
          <t>Estado y capacidad de conversión del óxido metálico del catalizador interno de CO</t>
        </is>
      </c>
      <c r="F51" s="12" t="inlineStr">
        <is>
          <t>Verificar en el horómetro las horas acumuladas del CAT-1 y comprobar en ANALOG INPUT que la temperatura del catalizador sea estable. Una deriva sostenida del cero sugiere agotamiento del relleno.</t>
        </is>
      </c>
      <c r="G51" s="10" t="inlineStr">
        <is>
          <t>OK / No OK</t>
        </is>
      </c>
      <c r="H51" s="10" t="inlineStr"/>
      <c r="I51" s="11" t="inlineStr">
        <is>
          <t>El catalizador debe asegurar la oxidación del CO en la línea de referencia y evitar derivas del cero</t>
        </is>
      </c>
      <c r="J51" s="13" t="inlineStr">
        <is>
          <t>Bloqueante</t>
        </is>
      </c>
      <c r="K51" s="14" t="inlineStr">
        <is>
          <t>Relleno de óxido metálico agotado o humedecido</t>
        </is>
      </c>
      <c r="L51" s="15" t="inlineStr">
        <is>
          <t>8.1.3 ; 9.1.2 ; 3.1.1 ; 6.4.2</t>
        </is>
      </c>
      <c r="M51" s="14" t="inlineStr">
        <is>
          <t>Reemplazar el relleno del CAT-1, reiniciar el horómetro y recalibrar el cero</t>
        </is>
      </c>
      <c r="N51" s="16" t="inlineStr">
        <is>
          <t>El catalizador de la línea de referencia ha perdido eficiencia, lo que produce deriva del punto cero.</t>
        </is>
      </c>
      <c r="O51" s="10" t="n"/>
      <c r="P51" s="10" t="n"/>
      <c r="Q51" s="10" t="inlineStr">
        <is>
          <t>Sí</t>
        </is>
      </c>
      <c r="R51" s="10" t="inlineStr">
        <is>
          <t>Sí</t>
        </is>
      </c>
      <c r="S51" s="11" t="inlineStr">
        <is>
          <t>Catalyzer Tube HP-10D2 APMA / APSA (3014059457)</t>
        </is>
      </c>
      <c r="T51" s="11" t="inlineStr">
        <is>
          <t>P-ST-019-MAN MTTO APMA370 V2</t>
        </is>
      </c>
      <c r="U51" s="17" t="inlineStr">
        <is>
          <t>Pendiente</t>
        </is>
      </c>
      <c r="V51" s="17" t="n"/>
      <c r="W51" s="10">
        <f>IF($G51&lt;&gt;"Numérico","",IF($V51="","Sin dato",IF(AND(OR(NOT(ISNUMBER($O51)),$V51&gt;=$O51),OR(NOT(ISNUMBER($P51)),$V51&lt;=$P51)),"Dentro de rango","Fuera de rango")))</f>
        <v/>
      </c>
      <c r="X51" s="17" t="n"/>
      <c r="Y51" s="18" t="n"/>
      <c r="Z51" s="16">
        <f>IF(OR($U51="",$U51="Conforme",$U51="No aplica",$U51="Pendiente"),"",$N51&amp;IF($W51="Fuera de rango"," Valor medido: "&amp;TEXT($V51,"0.####")&amp;IF($H51="",""," "&amp;$H51)&amp;IF(AND(ISNUMBER($O51),$V51&lt;$O51),", por debajo del límite inferior de "&amp;TEXT($O51,"0.####")&amp;IF($H51="",""," "&amp;$H51),"")&amp;IF(AND(ISNUMBER($P51),$V51&gt;$P51),", por encima del límite superior de "&amp;TEXT($P51,"0.####")&amp;IF($H51="",""," "&amp;$H51),"")&amp;".","")&amp;IF($Y51="",""," "&amp;$Y51&amp;IF(RIGHT($Y51,1)=".","","."))&amp;" Acción recomendada: "&amp;$M51&amp;IF(RIGHT($M51,1)=".","",".")&amp;IF($J51="Bloqueante"," El equipo no se libera hasta resolver este hallazgo.",IF($J51="Cobrable"," Se incluye en la cotización de repuestos y consumibles."," Se deja registrado como observación.")))</f>
        <v/>
      </c>
    </row>
    <row r="52" ht="48" customHeight="1">
      <c r="A52" s="10" t="inlineStr">
        <is>
          <t>6.4.2</t>
        </is>
      </c>
      <c r="B52" s="10" t="inlineStr">
        <is>
          <t>6. Banco de medición y óptica</t>
        </is>
      </c>
      <c r="C52" s="10" t="inlineStr">
        <is>
          <t>6.4 Purificación de la línea de referencia</t>
        </is>
      </c>
      <c r="D52" s="11" t="inlineStr">
        <is>
          <t>Filtro coalescente interno (DFU9900-05-BK)</t>
        </is>
      </c>
      <c r="E52" s="11" t="inlineStr">
        <is>
          <t>Nivel de colmatación o presencia de aceite en el filtro de microfibra Balston de referencia</t>
        </is>
      </c>
      <c r="F52" s="12" t="inlineStr">
        <is>
          <t>Con el equipo apagado, desmontar el filtro coalescente en línea y examinar el elemento de microfibra contra la luz, buscando oscurecimiento, colmatación o presencia de aceite.</t>
        </is>
      </c>
      <c r="G52" s="10" t="inlineStr">
        <is>
          <t>OK / No OK</t>
        </is>
      </c>
      <c r="H52" s="10" t="inlineStr"/>
      <c r="I52" s="11" t="inlineStr">
        <is>
          <t>Elemento de microfibra limpio, para proteger el catalizador de contaminantes finos</t>
        </is>
      </c>
      <c r="J52" s="13" t="inlineStr">
        <is>
          <t>Cobrable</t>
        </is>
      </c>
      <c r="K52" s="14" t="inlineStr">
        <is>
          <t>Elemento colmatado o con aceite: restringe la línea de referencia</t>
        </is>
      </c>
      <c r="L52" s="15" t="inlineStr">
        <is>
          <t>6.4.1 ; 3.1.1</t>
        </is>
      </c>
      <c r="M52" s="14" t="inlineStr">
        <is>
          <t>Reemplazar el elemento en línea y recalibrar el cero</t>
        </is>
      </c>
      <c r="N52" s="16" t="inlineStr">
        <is>
          <t>El filtro coalescente de la línea de referencia se encuentra colmatado o contaminado.</t>
        </is>
      </c>
      <c r="O52" s="10" t="n"/>
      <c r="P52" s="10" t="n"/>
      <c r="Q52" s="10" t="inlineStr">
        <is>
          <t>Sí</t>
        </is>
      </c>
      <c r="R52" s="10" t="inlineStr">
        <is>
          <t>Sí</t>
        </is>
      </c>
      <c r="S52" s="11" t="inlineStr">
        <is>
          <t>Filter Element DFU9900-05-BK APMA / APHA (3200043957)</t>
        </is>
      </c>
      <c r="T52" s="11" t="inlineStr">
        <is>
          <t>P-ST-019-MAN MTTO APMA370 V2</t>
        </is>
      </c>
      <c r="U52" s="17" t="inlineStr">
        <is>
          <t>Pendiente</t>
        </is>
      </c>
      <c r="V52" s="17" t="n"/>
      <c r="W52" s="10">
        <f>IF($G52&lt;&gt;"Numérico","",IF($V52="","Sin dato",IF(AND(OR(NOT(ISNUMBER($O52)),$V52&gt;=$O52),OR(NOT(ISNUMBER($P52)),$V52&lt;=$P52)),"Dentro de rango","Fuera de rango")))</f>
        <v/>
      </c>
      <c r="X52" s="17" t="n"/>
      <c r="Y52" s="18" t="n"/>
      <c r="Z52" s="16">
        <f>IF(OR($U52="",$U52="Conforme",$U52="No aplica",$U52="Pendiente"),"",$N52&amp;IF($W52="Fuera de rango"," Valor medido: "&amp;TEXT($V52,"0.####")&amp;IF($H52="",""," "&amp;$H52)&amp;IF(AND(ISNUMBER($O52),$V52&lt;$O52),", por debajo del límite inferior de "&amp;TEXT($O52,"0.####")&amp;IF($H52="",""," "&amp;$H52),"")&amp;IF(AND(ISNUMBER($P52),$V52&gt;$P52),", por encima del límite superior de "&amp;TEXT($P52,"0.####")&amp;IF($H52="",""," "&amp;$H52),"")&amp;".","")&amp;IF($Y52="",""," "&amp;$Y52&amp;IF(RIGHT($Y52,1)=".","","."))&amp;" Acción recomendada: "&amp;$M52&amp;IF(RIGHT($M52,1)=".","",".")&amp;IF($J52="Bloqueante"," El equipo no se libera hasta resolver este hallazgo.",IF($J52="Cobrable"," Se incluye en la cotización de repuestos y consumibles."," Se deja registrado como observación.")))</f>
        <v/>
      </c>
    </row>
    <row r="53" ht="48" customHeight="1">
      <c r="A53" s="10" t="inlineStr">
        <is>
          <t>7.1.1</t>
        </is>
      </c>
      <c r="B53" s="10" t="inlineStr">
        <is>
          <t>7. Electrónica y control</t>
        </is>
      </c>
      <c r="C53" s="10" t="inlineStr">
        <is>
          <t>7.1 Tarjetas electrónicas</t>
        </is>
      </c>
      <c r="D53" s="11" t="inlineStr">
        <is>
          <t>Estado de la tarjeta principal CPU (AP-CPU-02)</t>
        </is>
      </c>
      <c r="E53" s="11" t="inlineStr">
        <is>
          <t>Limpieza, sujeción y ausencia de corrosión en integrados y zócalos de la placa CPU</t>
        </is>
      </c>
      <c r="F53" s="12" t="inlineStr">
        <is>
          <t>Con el equipo apagado y desconectado, retirar la cubierta y examinar la tarjeta CPU con linterna, buscando polvo, sulfatación en zócalos, marcas de calor o condensadores abombados.</t>
        </is>
      </c>
      <c r="G53" s="10" t="inlineStr">
        <is>
          <t>OK / No OK</t>
        </is>
      </c>
      <c r="H53" s="10" t="inlineStr"/>
      <c r="I53" s="11" t="inlineStr">
        <is>
          <t>Tarjeta lógica limpia, libre de polvo conductivo o rastros de sobrecalentamiento</t>
        </is>
      </c>
      <c r="J53" s="13" t="inlineStr">
        <is>
          <t>Bloqueante</t>
        </is>
      </c>
      <c r="K53" s="14" t="inlineStr">
        <is>
          <t>Polvo conductivo, sulfatación en zócalos o daño térmico</t>
        </is>
      </c>
      <c r="L53" s="15" t="inlineStr">
        <is>
          <t>7.1.5 ; 9.3.2 ; 7.3.1</t>
        </is>
      </c>
      <c r="M53" s="14" t="inlineStr">
        <is>
          <t>Limpiar y reasentar conectores; si se reemplaza la CPU, inicializarla y recargar la configuración desde CF</t>
        </is>
      </c>
      <c r="N53" s="16" t="inlineStr">
        <is>
          <t>La tarjeta principal de control presenta suciedad, sulfatación o indicios de daño térmico.</t>
        </is>
      </c>
      <c r="O53" s="10" t="n"/>
      <c r="P53" s="10" t="n"/>
      <c r="Q53" s="10" t="inlineStr">
        <is>
          <t>Sí</t>
        </is>
      </c>
      <c r="R53" s="10" t="inlineStr">
        <is>
          <t>Sí</t>
        </is>
      </c>
      <c r="S53" s="11" t="inlineStr">
        <is>
          <t>Printed Board Inst. AP-CPU-02 (AP-370) (3200629662)</t>
        </is>
      </c>
      <c r="T53" s="11" t="inlineStr">
        <is>
          <t>1 - LCD design change AP EN / MT_85HHP0N0_APMA370_20022603</t>
        </is>
      </c>
      <c r="U53" s="17" t="inlineStr">
        <is>
          <t>Pendiente</t>
        </is>
      </c>
      <c r="V53" s="17" t="n"/>
      <c r="W53" s="10">
        <f>IF($G53&lt;&gt;"Numérico","",IF($V53="","Sin dato",IF(AND(OR(NOT(ISNUMBER($O53)),$V53&gt;=$O53),OR(NOT(ISNUMBER($P53)),$V53&lt;=$P53)),"Dentro de rango","Fuera de rango")))</f>
        <v/>
      </c>
      <c r="X53" s="17" t="n"/>
      <c r="Y53" s="18" t="n"/>
      <c r="Z53" s="16">
        <f>IF(OR($U53="",$U53="Conforme",$U53="No aplica",$U53="Pendiente"),"",$N53&amp;IF($W53="Fuera de rango"," Valor medido: "&amp;TEXT($V53,"0.####")&amp;IF($H53="",""," "&amp;$H53)&amp;IF(AND(ISNUMBER($O53),$V53&lt;$O53),", por debajo del límite inferior de "&amp;TEXT($O53,"0.####")&amp;IF($H53="",""," "&amp;$H53),"")&amp;IF(AND(ISNUMBER($P53),$V53&gt;$P53),", por encima del límite superior de "&amp;TEXT($P53,"0.####")&amp;IF($H53="",""," "&amp;$H53),"")&amp;".","")&amp;IF($Y53="",""," "&amp;$Y53&amp;IF(RIGHT($Y53,1)=".","","."))&amp;" Acción recomendada: "&amp;$M53&amp;IF(RIGHT($M53,1)=".","",".")&amp;IF($J53="Bloqueante"," El equipo no se libera hasta resolver este hallazgo.",IF($J53="Cobrable"," Se incluye en la cotización de repuestos y consumibles."," Se deja registrado como observación.")))</f>
        <v/>
      </c>
    </row>
    <row r="54" ht="48" customHeight="1">
      <c r="A54" s="10" t="inlineStr">
        <is>
          <t>7.1.2</t>
        </is>
      </c>
      <c r="B54" s="10" t="inlineStr">
        <is>
          <t>7. Electrónica y control</t>
        </is>
      </c>
      <c r="C54" s="10" t="inlineStr">
        <is>
          <t>7.1 Tarjetas electrónicas</t>
        </is>
      </c>
      <c r="D54" s="11" t="inlineStr">
        <is>
          <t>Configuración del DIP switch SW2 en AP-ADC-05</t>
        </is>
      </c>
      <c r="E54" s="11" t="inlineStr">
        <is>
          <t>Configuración física del DIP switch SW2 de modelo en la tarjeta de conversión analógica</t>
        </is>
      </c>
      <c r="F54" s="12" t="inlineStr">
        <is>
          <t>Con el equipo apagado, ubicar el DIP switch SW2 en la tarjeta AP-ADC-05 y leer la posición de cada bit. Fotografiar la configuración antes de modificar cualquier posición.</t>
        </is>
      </c>
      <c r="G54" s="10" t="inlineStr">
        <is>
          <t>OK / No OK</t>
        </is>
      </c>
      <c r="H54" s="10" t="inlineStr"/>
      <c r="I54" s="11" t="inlineStr">
        <is>
          <t>Para el modelo: BIT0 y BIT1 en ON, BIT2 y BIT3 en OFF</t>
        </is>
      </c>
      <c r="J54" s="13" t="inlineStr">
        <is>
          <t>Bloqueante</t>
        </is>
      </c>
      <c r="K54" s="14" t="inlineStr">
        <is>
          <t>Configuración de modelo alterada tras cambiar la tarjeta</t>
        </is>
      </c>
      <c r="L54" s="15" t="inlineStr">
        <is>
          <t>7.1.3 ; 6.1.1</t>
        </is>
      </c>
      <c r="M54" s="14" t="inlineStr">
        <is>
          <t>Restituir los bits del modelo y verificar que las lecturas vuelvan a ser coherentes</t>
        </is>
      </c>
      <c r="N54" s="16" t="inlineStr">
        <is>
          <t>La configuración de la tarjeta de conversión analógica no corresponde a este modelo de analizador.</t>
        </is>
      </c>
      <c r="O54" s="10" t="n"/>
      <c r="P54" s="10" t="n"/>
      <c r="Q54" s="10" t="inlineStr">
        <is>
          <t>Sí</t>
        </is>
      </c>
      <c r="R54" s="10" t="inlineStr">
        <is>
          <t>Sí</t>
        </is>
      </c>
      <c r="S54" s="11" t="inlineStr">
        <is>
          <t>AP-ADC-05 (tarjeta; sin artículo en el catálogo)</t>
        </is>
      </c>
      <c r="T54" s="11" t="inlineStr">
        <is>
          <t>GZ0000117746B SM E APXX-370 (Service Manual)</t>
        </is>
      </c>
      <c r="U54" s="17" t="inlineStr">
        <is>
          <t>Pendiente</t>
        </is>
      </c>
      <c r="V54" s="17" t="n"/>
      <c r="W54" s="10">
        <f>IF($G54&lt;&gt;"Numérico","",IF($V54="","Sin dato",IF(AND(OR(NOT(ISNUMBER($O54)),$V54&gt;=$O54),OR(NOT(ISNUMBER($P54)),$V54&lt;=$P54)),"Dentro de rango","Fuera de rango")))</f>
        <v/>
      </c>
      <c r="X54" s="17" t="n"/>
      <c r="Y54" s="18" t="n"/>
      <c r="Z54" s="16">
        <f>IF(OR($U54="",$U54="Conforme",$U54="No aplica",$U54="Pendiente"),"",$N54&amp;IF($W54="Fuera de rango"," Valor medido: "&amp;TEXT($V54,"0.####")&amp;IF($H54="",""," "&amp;$H54)&amp;IF(AND(ISNUMBER($O54),$V54&lt;$O54),", por debajo del límite inferior de "&amp;TEXT($O54,"0.####")&amp;IF($H54="",""," "&amp;$H54),"")&amp;IF(AND(ISNUMBER($P54),$V54&gt;$P54),", por encima del límite superior de "&amp;TEXT($P54,"0.####")&amp;IF($H54="",""," "&amp;$H54),"")&amp;".","")&amp;IF($Y54="",""," "&amp;$Y54&amp;IF(RIGHT($Y54,1)=".","","."))&amp;" Acción recomendada: "&amp;$M54&amp;IF(RIGHT($M54,1)=".","",".")&amp;IF($J54="Bloqueante"," El equipo no se libera hasta resolver este hallazgo.",IF($J54="Cobrable"," Se incluye en la cotización de repuestos y consumibles."," Se deja registrado como observación.")))</f>
        <v/>
      </c>
    </row>
    <row r="55" ht="48" customHeight="1">
      <c r="A55" s="10" t="inlineStr">
        <is>
          <t>7.1.3</t>
        </is>
      </c>
      <c r="B55" s="10" t="inlineStr">
        <is>
          <t>7. Electrónica y control</t>
        </is>
      </c>
      <c r="C55" s="10" t="inlineStr">
        <is>
          <t>7.1 Tarjetas electrónicas</t>
        </is>
      </c>
      <c r="D55" s="11" t="inlineStr">
        <is>
          <t>Indicadores LED de la tarjeta ADC (+24V, +5V)</t>
        </is>
      </c>
      <c r="E55" s="11" t="inlineStr">
        <is>
          <t>Iluminación de los LED indicadores de fuentes secundarias en la tarjeta ADC-05</t>
        </is>
      </c>
      <c r="F55" s="12" t="inlineStr">
        <is>
          <t>Con el equipo energizado y la cubierta retirada, observar los LED de +24 V y +5 V en la tarjeta AP-ADC-05 y confirmar que ambos estén encendidos de forma fija.</t>
        </is>
      </c>
      <c r="G55" s="10" t="inlineStr">
        <is>
          <t>OK / No OK</t>
        </is>
      </c>
      <c r="H55" s="10" t="inlineStr"/>
      <c r="I55" s="11" t="inlineStr">
        <is>
          <t>Los LED de +24 V y +5 V deben iluminarse en verde fijo</t>
        </is>
      </c>
      <c r="J55" s="13" t="inlineStr">
        <is>
          <t>Bloqueante</t>
        </is>
      </c>
      <c r="K55" s="14" t="inlineStr">
        <is>
          <t>Falta una de las tensiones de alimentación de la tarjeta</t>
        </is>
      </c>
      <c r="L55" s="15" t="inlineStr">
        <is>
          <t>9.3.1 ; 9.3.2 ; 7.4.1</t>
        </is>
      </c>
      <c r="M55" s="14" t="inlineStr">
        <is>
          <t>Seguir la rama de alimentación hasta la fuente antes de sospechar de la tarjeta</t>
        </is>
      </c>
      <c r="N55" s="16" t="inlineStr">
        <is>
          <t>La tarjeta de conversión analógica no recibe alguna de sus tensiones de alimentación.</t>
        </is>
      </c>
      <c r="O55" s="10" t="n"/>
      <c r="P55" s="10" t="n"/>
      <c r="Q55" s="10" t="inlineStr">
        <is>
          <t>Sí</t>
        </is>
      </c>
      <c r="R55" s="10" t="inlineStr">
        <is>
          <t>Sí</t>
        </is>
      </c>
      <c r="S55" s="11" t="inlineStr">
        <is>
          <t>AP-ADC-05 (tarjeta; sin artículo en el catálogo)</t>
        </is>
      </c>
      <c r="T55" s="11" t="inlineStr">
        <is>
          <t>GZ0000117746B SM E APXX-370 (Service Manual)</t>
        </is>
      </c>
      <c r="U55" s="17" t="inlineStr">
        <is>
          <t>Pendiente</t>
        </is>
      </c>
      <c r="V55" s="17" t="n"/>
      <c r="W55" s="10">
        <f>IF($G55&lt;&gt;"Numérico","",IF($V55="","Sin dato",IF(AND(OR(NOT(ISNUMBER($O55)),$V55&gt;=$O55),OR(NOT(ISNUMBER($P55)),$V55&lt;=$P55)),"Dentro de rango","Fuera de rango")))</f>
        <v/>
      </c>
      <c r="X55" s="17" t="n"/>
      <c r="Y55" s="18" t="n"/>
      <c r="Z55" s="16">
        <f>IF(OR($U55="",$U55="Conforme",$U55="No aplica",$U55="Pendiente"),"",$N55&amp;IF($W55="Fuera de rango"," Valor medido: "&amp;TEXT($V55,"0.####")&amp;IF($H55="",""," "&amp;$H55)&amp;IF(AND(ISNUMBER($O55),$V55&lt;$O55),", por debajo del límite inferior de "&amp;TEXT($O55,"0.####")&amp;IF($H55="",""," "&amp;$H55),"")&amp;IF(AND(ISNUMBER($P55),$V55&gt;$P55),", por encima del límite superior de "&amp;TEXT($P55,"0.####")&amp;IF($H55="",""," "&amp;$H55),"")&amp;".","")&amp;IF($Y55="",""," "&amp;$Y55&amp;IF(RIGHT($Y55,1)=".","","."))&amp;" Acción recomendada: "&amp;$M55&amp;IF(RIGHT($M55,1)=".","",".")&amp;IF($J55="Bloqueante"," El equipo no se libera hasta resolver este hallazgo.",IF($J55="Cobrable"," Se incluye en la cotización de repuestos y consumibles."," Se deja registrado como observación.")))</f>
        <v/>
      </c>
    </row>
    <row r="56" ht="48" customHeight="1">
      <c r="A56" s="10" t="inlineStr">
        <is>
          <t>7.1.4</t>
        </is>
      </c>
      <c r="B56" s="10" t="inlineStr">
        <is>
          <t>7. Electrónica y control</t>
        </is>
      </c>
      <c r="C56" s="10" t="inlineStr">
        <is>
          <t>7.1 Tarjetas electrónicas</t>
        </is>
      </c>
      <c r="D56" s="11" t="inlineStr">
        <is>
          <t>Estado físico de la tarjeta de relés (AP-RPL-02A)</t>
        </is>
      </c>
      <c r="E56" s="11" t="inlineStr">
        <is>
          <t>Sobrecalentamientos o quemaduras en relés y transistores de control de la placa RPL</t>
        </is>
      </c>
      <c r="F56" s="12" t="inlineStr">
        <is>
          <t>Con el equipo apagado, examinar la tarjeta de relés buscando decoloración por calor, relés con carcasa deformada, soldaduras agrietadas o marcas de arco en las pistas.</t>
        </is>
      </c>
      <c r="G56" s="10" t="inlineStr">
        <is>
          <t>OK / No OK</t>
        </is>
      </c>
      <c r="H56" s="10" t="inlineStr"/>
      <c r="I56" s="11" t="inlineStr">
        <is>
          <t>Componentes sin daños por sobrecarga; soldaduras intactas sin marcas de cortocircuito</t>
        </is>
      </c>
      <c r="J56" s="13" t="inlineStr">
        <is>
          <t>Bloqueante</t>
        </is>
      </c>
      <c r="K56" s="14" t="inlineStr">
        <is>
          <t>Relé o transistor quemado por sobrecarga en una salida de contacto</t>
        </is>
      </c>
      <c r="L56" s="15" t="inlineStr">
        <is>
          <t>7.1.5 ; 7.1.6</t>
        </is>
      </c>
      <c r="M56" s="14" t="inlineStr">
        <is>
          <t>Reemplazar la tarjeta RPL y revisar la carga conectada a los contactos de alarma</t>
        </is>
      </c>
      <c r="N56" s="16" t="inlineStr">
        <is>
          <t>La tarjeta de relés presenta componentes con daño térmico o marcas de sobrecarga.</t>
        </is>
      </c>
      <c r="O56" s="10" t="n"/>
      <c r="P56" s="10" t="n"/>
      <c r="Q56" s="10" t="inlineStr">
        <is>
          <t>Sí</t>
        </is>
      </c>
      <c r="R56" s="10" t="inlineStr">
        <is>
          <t>Sí</t>
        </is>
      </c>
      <c r="S56" s="11" t="inlineStr">
        <is>
          <t>AP-RPL-02 / AP-RPL-02A (tarjeta; sin artículo en el catálogo)</t>
        </is>
      </c>
      <c r="T56" s="11" t="inlineStr">
        <is>
          <t>MT_191TE0NC_APMA370_241226 / Service Manual</t>
        </is>
      </c>
      <c r="U56" s="17" t="inlineStr">
        <is>
          <t>Pendiente</t>
        </is>
      </c>
      <c r="V56" s="17" t="n"/>
      <c r="W56" s="10">
        <f>IF($G56&lt;&gt;"Numérico","",IF($V56="","Sin dato",IF(AND(OR(NOT(ISNUMBER($O56)),$V56&gt;=$O56),OR(NOT(ISNUMBER($P56)),$V56&lt;=$P56)),"Dentro de rango","Fuera de rango")))</f>
        <v/>
      </c>
      <c r="X56" s="17" t="n"/>
      <c r="Y56" s="18" t="n"/>
      <c r="Z56" s="16">
        <f>IF(OR($U56="",$U56="Conforme",$U56="No aplica",$U56="Pendiente"),"",$N56&amp;IF($W56="Fuera de rango"," Valor medido: "&amp;TEXT($V56,"0.####")&amp;IF($H56="",""," "&amp;$H56)&amp;IF(AND(ISNUMBER($O56),$V56&lt;$O56),", por debajo del límite inferior de "&amp;TEXT($O56,"0.####")&amp;IF($H56="",""," "&amp;$H56),"")&amp;IF(AND(ISNUMBER($P56),$V56&gt;$P56),", por encima del límite superior de "&amp;TEXT($P56,"0.####")&amp;IF($H56="",""," "&amp;$H56),"")&amp;".","")&amp;IF($Y56="",""," "&amp;$Y56&amp;IF(RIGHT($Y56,1)=".","","."))&amp;" Acción recomendada: "&amp;$M56&amp;IF(RIGHT($M56,1)=".","",".")&amp;IF($J56="Bloqueante"," El equipo no se libera hasta resolver este hallazgo.",IF($J56="Cobrable"," Se incluye en la cotización de repuestos y consumibles."," Se deja registrado como observación.")))</f>
        <v/>
      </c>
    </row>
    <row r="57" ht="48" customHeight="1">
      <c r="A57" s="10" t="inlineStr">
        <is>
          <t>7.1.5</t>
        </is>
      </c>
      <c r="B57" s="10" t="inlineStr">
        <is>
          <t>7. Electrónica y control</t>
        </is>
      </c>
      <c r="C57" s="10" t="inlineStr">
        <is>
          <t>7.1 Tarjetas electrónicas</t>
        </is>
      </c>
      <c r="D57" s="11" t="inlineStr">
        <is>
          <t>LED de comunicación ST0 y ST1 en tarjeta RPL</t>
        </is>
      </c>
      <c r="E57" s="11" t="inlineStr">
        <is>
          <t>Frecuencia de parpadeo de los indicadores LED de diagnóstico de la tarjeta de relés</t>
        </is>
      </c>
      <c r="F57" s="12" t="inlineStr">
        <is>
          <t>Con el equipo energizado, observar durante al menos 30 segundos los LED ST0 y ST1 de la tarjeta RPL y registrar si parpadean, quedan fijos o apagados.</t>
        </is>
      </c>
      <c r="G57" s="10" t="inlineStr">
        <is>
          <t>OK / No OK</t>
        </is>
      </c>
      <c r="H57" s="10" t="inlineStr"/>
      <c r="I57" s="11" t="inlineStr">
        <is>
          <t>ST1 debe parpadear (H8 activo) y ST0 titilar rápido (I2C activo); luz fija o apagada indica falla</t>
        </is>
      </c>
      <c r="J57" s="13" t="inlineStr">
        <is>
          <t>Bloqueante</t>
        </is>
      </c>
      <c r="K57" s="14" t="inlineStr">
        <is>
          <t>Cinta plana I2C floja, o microprocesador H8 bloqueado</t>
        </is>
      </c>
      <c r="L57" s="15" t="inlineStr">
        <is>
          <t>7.3.1 ; 7.1.1 ; 7.1.4</t>
        </is>
      </c>
      <c r="M57" s="14" t="inlineStr">
        <is>
          <t>Reasentar la cinta I2C; si ST1 sigue fijo, ejecutar el memory scan y considerar cambiar la RPL</t>
        </is>
      </c>
      <c r="N57" s="16" t="inlineStr">
        <is>
          <t>La comunicación interna entre la tarjeta de control y la tarjeta de relés se encuentra interrumpida.</t>
        </is>
      </c>
      <c r="O57" s="10" t="n"/>
      <c r="P57" s="10" t="n"/>
      <c r="Q57" s="10" t="inlineStr">
        <is>
          <t>Sí</t>
        </is>
      </c>
      <c r="R57" s="10" t="inlineStr">
        <is>
          <t>Sí</t>
        </is>
      </c>
      <c r="S57" s="11" t="inlineStr">
        <is>
          <t>AP-RPL-02 / AP-RPL-02A (tarjeta; sin artículo en el catálogo)</t>
        </is>
      </c>
      <c r="T57" s="11" t="inlineStr">
        <is>
          <t>GZ0000117746B SM E APXX-370 (Service Manual)</t>
        </is>
      </c>
      <c r="U57" s="17" t="inlineStr">
        <is>
          <t>Pendiente</t>
        </is>
      </c>
      <c r="V57" s="17" t="n"/>
      <c r="W57" s="10">
        <f>IF($G57&lt;&gt;"Numérico","",IF($V57="","Sin dato",IF(AND(OR(NOT(ISNUMBER($O57)),$V57&gt;=$O57),OR(NOT(ISNUMBER($P57)),$V57&lt;=$P57)),"Dentro de rango","Fuera de rango")))</f>
        <v/>
      </c>
      <c r="X57" s="17" t="n"/>
      <c r="Y57" s="18" t="n"/>
      <c r="Z57" s="16">
        <f>IF(OR($U57="",$U57="Conforme",$U57="No aplica",$U57="Pendiente"),"",$N57&amp;IF($W57="Fuera de rango"," Valor medido: "&amp;TEXT($V57,"0.####")&amp;IF($H57="",""," "&amp;$H57)&amp;IF(AND(ISNUMBER($O57),$V57&lt;$O57),", por debajo del límite inferior de "&amp;TEXT($O57,"0.####")&amp;IF($H57="",""," "&amp;$H57),"")&amp;IF(AND(ISNUMBER($P57),$V57&gt;$P57),", por encima del límite superior de "&amp;TEXT($P57,"0.####")&amp;IF($H57="",""," "&amp;$H57),"")&amp;".","")&amp;IF($Y57="",""," "&amp;$Y57&amp;IF(RIGHT($Y57,1)=".","","."))&amp;" Acción recomendada: "&amp;$M57&amp;IF(RIGHT($M57,1)=".","",".")&amp;IF($J57="Bloqueante"," El equipo no se libera hasta resolver este hallazgo.",IF($J57="Cobrable"," Se incluye en la cotización de repuestos y consumibles."," Se deja registrado como observación.")))</f>
        <v/>
      </c>
    </row>
    <row r="58" ht="48" customHeight="1">
      <c r="A58" s="10" t="inlineStr">
        <is>
          <t>7.1.6</t>
        </is>
      </c>
      <c r="B58" s="10" t="inlineStr">
        <is>
          <t>7. Electrónica y control</t>
        </is>
      </c>
      <c r="C58" s="10" t="inlineStr">
        <is>
          <t>7.1 Tarjetas electrónicas</t>
        </is>
      </c>
      <c r="D58" s="11" t="inlineStr">
        <is>
          <t>LED de tensión +5 V en tarjeta RPL</t>
        </is>
      </c>
      <c r="E58" s="11" t="inlineStr">
        <is>
          <t>LED indicador de alimentación interna de 5 V en la tarjeta de relés periféricos</t>
        </is>
      </c>
      <c r="F58" s="12" t="inlineStr">
        <is>
          <t>Con el equipo energizado, observar el LED de +5 V de la tarjeta RPL y confirmar que esté encendido de forma continua.</t>
        </is>
      </c>
      <c r="G58" s="10" t="inlineStr">
        <is>
          <t>OK / No OK</t>
        </is>
      </c>
      <c r="H58" s="10" t="inlineStr"/>
      <c r="I58" s="11" t="inlineStr">
        <is>
          <t>Debe permanecer encendido continuo en verde, indicando que el regulador lógico local opera</t>
        </is>
      </c>
      <c r="J58" s="13" t="inlineStr">
        <is>
          <t>Bloqueante</t>
        </is>
      </c>
      <c r="K58" s="14" t="inlineStr">
        <is>
          <t>Regulador local sin alimentación o dañado</t>
        </is>
      </c>
      <c r="L58" s="15" t="inlineStr">
        <is>
          <t>9.3.2 ; 7.4.1</t>
        </is>
      </c>
      <c r="M58" s="14" t="inlineStr">
        <is>
          <t>Verificar la llegada de 5 V a la tarjeta antes de reemplazarla</t>
        </is>
      </c>
      <c r="N58" s="16" t="inlineStr">
        <is>
          <t>La tarjeta de relés no recibe su tensión de alimentación lógica.</t>
        </is>
      </c>
      <c r="O58" s="10" t="n"/>
      <c r="P58" s="10" t="n"/>
      <c r="Q58" s="10" t="inlineStr">
        <is>
          <t>Sí</t>
        </is>
      </c>
      <c r="R58" s="10" t="inlineStr">
        <is>
          <t>Sí</t>
        </is>
      </c>
      <c r="S58" s="11" t="inlineStr">
        <is>
          <t>AP-RPL-02 / AP-RPL-02A (tarjeta; sin artículo en el catálogo)</t>
        </is>
      </c>
      <c r="T58" s="11" t="inlineStr">
        <is>
          <t>GZ0000117746B SM E APXX-370 (Service Manual)</t>
        </is>
      </c>
      <c r="U58" s="17" t="inlineStr">
        <is>
          <t>Pendiente</t>
        </is>
      </c>
      <c r="V58" s="17" t="n"/>
      <c r="W58" s="10">
        <f>IF($G58&lt;&gt;"Numérico","",IF($V58="","Sin dato",IF(AND(OR(NOT(ISNUMBER($O58)),$V58&gt;=$O58),OR(NOT(ISNUMBER($P58)),$V58&lt;=$P58)),"Dentro de rango","Fuera de rango")))</f>
        <v/>
      </c>
      <c r="X58" s="17" t="n"/>
      <c r="Y58" s="18" t="n"/>
      <c r="Z58" s="16">
        <f>IF(OR($U58="",$U58="Conforme",$U58="No aplica",$U58="Pendiente"),"",$N58&amp;IF($W58="Fuera de rango"," Valor medido: "&amp;TEXT($V58,"0.####")&amp;IF($H58="",""," "&amp;$H58)&amp;IF(AND(ISNUMBER($O58),$V58&lt;$O58),", por debajo del límite inferior de "&amp;TEXT($O58,"0.####")&amp;IF($H58="",""," "&amp;$H58),"")&amp;IF(AND(ISNUMBER($P58),$V58&gt;$P58),", por encima del límite superior de "&amp;TEXT($P58,"0.####")&amp;IF($H58="",""," "&amp;$H58),"")&amp;".","")&amp;IF($Y58="",""," "&amp;$Y58&amp;IF(RIGHT($Y58,1)=".","","."))&amp;" Acción recomendada: "&amp;$M58&amp;IF(RIGHT($M58,1)=".","",".")&amp;IF($J58="Bloqueante"," El equipo no se libera hasta resolver este hallazgo.",IF($J58="Cobrable"," Se incluye en la cotización de repuestos y consumibles."," Se deja registrado como observación.")))</f>
        <v/>
      </c>
    </row>
    <row r="59" ht="48" customHeight="1">
      <c r="A59" s="10" t="inlineStr">
        <is>
          <t>7.1.7</t>
        </is>
      </c>
      <c r="B59" s="10" t="inlineStr">
        <is>
          <t>7. Electrónica y control</t>
        </is>
      </c>
      <c r="C59" s="10" t="inlineStr">
        <is>
          <t>7.1 Tarjetas electrónicas</t>
        </is>
      </c>
      <c r="D59" s="11" t="inlineStr">
        <is>
          <t>Switch de selección de alarma general (SW1/SW2 en RPL)</t>
        </is>
      </c>
      <c r="E59" s="11" t="inlineStr">
        <is>
          <t>Ajuste de interruptores de asociación de alarma que definen el contacto general</t>
        </is>
      </c>
      <c r="F59" s="12" t="inlineStr">
        <is>
          <t>Con el equipo apagado, leer la posición de los microinterruptores de alarma en la tarjeta RPL y contrastarla con el esquema de alarmas acordado con la estación. Fotografiar la configuración.</t>
        </is>
      </c>
      <c r="G59" s="10" t="inlineStr">
        <is>
          <t>OK / No OK</t>
        </is>
      </c>
      <c r="H59" s="10" t="inlineStr"/>
      <c r="I59" s="11" t="inlineStr">
        <is>
          <t>Posiciones de los microinterruptores en concordancia con el esquema de alarmas de la estación</t>
        </is>
      </c>
      <c r="J59" s="13" t="inlineStr">
        <is>
          <t>Alerta</t>
        </is>
      </c>
      <c r="K59" s="14" t="inlineStr">
        <is>
          <t>Configuración de alarma distinta a la acordada con la estación</t>
        </is>
      </c>
      <c r="L59" s="15" t="inlineStr">
        <is>
          <t>7.1.4</t>
        </is>
      </c>
      <c r="M59" s="14" t="inlineStr">
        <is>
          <t>Ajustar los microinterruptores al esquema de telemetría y documentarlo</t>
        </is>
      </c>
      <c r="N59" s="16" t="inlineStr">
        <is>
          <t>La configuración de las alarmas de salida no corresponde al esquema acordado con la estación.</t>
        </is>
      </c>
      <c r="O59" s="10" t="n"/>
      <c r="P59" s="10" t="n"/>
      <c r="Q59" s="10" t="inlineStr">
        <is>
          <t>Sí</t>
        </is>
      </c>
      <c r="R59" s="10" t="inlineStr">
        <is>
          <t>Sí</t>
        </is>
      </c>
      <c r="S59" s="11" t="inlineStr">
        <is>
          <t>AP-RPL-02 / AP-RPL-02A (tarjeta; sin artículo en el catálogo)</t>
        </is>
      </c>
      <c r="T59" s="11" t="inlineStr">
        <is>
          <t>GZ0000117746B SM E APXX-370 (Service Manual)</t>
        </is>
      </c>
      <c r="U59" s="17" t="inlineStr">
        <is>
          <t>Pendiente</t>
        </is>
      </c>
      <c r="V59" s="17" t="n"/>
      <c r="W59" s="10">
        <f>IF($G59&lt;&gt;"Numérico","",IF($V59="","Sin dato",IF(AND(OR(NOT(ISNUMBER($O59)),$V59&gt;=$O59),OR(NOT(ISNUMBER($P59)),$V59&lt;=$P59)),"Dentro de rango","Fuera de rango")))</f>
        <v/>
      </c>
      <c r="X59" s="17" t="n"/>
      <c r="Y59" s="18" t="n"/>
      <c r="Z59" s="16">
        <f>IF(OR($U59="",$U59="Conforme",$U59="No aplica",$U59="Pendiente"),"",$N59&amp;IF($W59="Fuera de rango"," Valor medido: "&amp;TEXT($V59,"0.####")&amp;IF($H59="",""," "&amp;$H59)&amp;IF(AND(ISNUMBER($O59),$V59&lt;$O59),", por debajo del límite inferior de "&amp;TEXT($O59,"0.####")&amp;IF($H59="",""," "&amp;$H59),"")&amp;IF(AND(ISNUMBER($P59),$V59&gt;$P59),", por encima del límite superior de "&amp;TEXT($P59,"0.####")&amp;IF($H59="",""," "&amp;$H59),"")&amp;".","")&amp;IF($Y59="",""," "&amp;$Y59&amp;IF(RIGHT($Y59,1)=".","","."))&amp;" Acción recomendada: "&amp;$M59&amp;IF(RIGHT($M59,1)=".","",".")&amp;IF($J59="Bloqueante"," El equipo no se libera hasta resolver este hallazgo.",IF($J59="Cobrable"," Se incluye en la cotización de repuestos y consumibles."," Se deja registrado como observación.")))</f>
        <v/>
      </c>
    </row>
    <row r="60" ht="48" customHeight="1">
      <c r="A60" s="10" t="inlineStr">
        <is>
          <t>7.2.1</t>
        </is>
      </c>
      <c r="B60" s="10" t="inlineStr">
        <is>
          <t>7. Electrónica y control</t>
        </is>
      </c>
      <c r="C60" s="10" t="inlineStr">
        <is>
          <t>7.2 Respaldo de reloj y memoria</t>
        </is>
      </c>
      <c r="D60" s="11" t="inlineStr">
        <is>
          <t>Batería de litio del reloj de tiempo real (BATT1 / CR2032)</t>
        </is>
      </c>
      <c r="E60" s="11" t="inlineStr">
        <is>
          <t>Voltaje DC de la pila de litio de respaldo de hora y secuencia de autocalibración</t>
        </is>
      </c>
      <c r="F60" s="12" t="inlineStr">
        <is>
          <t>Con el equipo apagado, extraer la pila del portapilas de la CPU y medir su tensión en vacío con multímetro. Anotar el valor y reinstalarla o reemplazarla según corresponda.</t>
        </is>
      </c>
      <c r="G60" s="10" t="inlineStr">
        <is>
          <t>Numérico</t>
        </is>
      </c>
      <c r="H60" s="10" t="inlineStr">
        <is>
          <t>V</t>
        </is>
      </c>
      <c r="I60" s="11" t="inlineStr">
        <is>
          <t>Un voltaje inferior a 2,5 V activa la alarma BATT</t>
        </is>
      </c>
      <c r="J60" s="13" t="inlineStr">
        <is>
          <t>Cobrable</t>
        </is>
      </c>
      <c r="K60" s="14" t="inlineStr">
        <is>
          <t>Pila al final de su vida útil (unos 3 años de servicio)</t>
        </is>
      </c>
      <c r="L60" s="15" t="inlineStr">
        <is>
          <t>Nodo terminal — actuar directamente</t>
        </is>
      </c>
      <c r="M60" s="14" t="inlineStr">
        <is>
          <t>Reemplazar la CR2032 y reprogramar fecha, hora y secuencia AIC</t>
        </is>
      </c>
      <c r="N60" s="16" t="inlineStr">
        <is>
          <t>La batería de respaldo del reloj está agotada: el analizador pierde fecha, hora y programación al desconectarse.</t>
        </is>
      </c>
      <c r="O60" s="10" t="n">
        <v>2.5</v>
      </c>
      <c r="P60" s="10" t="n">
        <v>3.3</v>
      </c>
      <c r="Q60" s="10" t="inlineStr">
        <is>
          <t>Sí</t>
        </is>
      </c>
      <c r="R60" s="10" t="inlineStr">
        <is>
          <t>No</t>
        </is>
      </c>
      <c r="S60" s="11" t="inlineStr">
        <is>
          <t>Batería CR2032 para Horiba AP Series (3200043671)</t>
        </is>
      </c>
      <c r="T60" s="11" t="inlineStr">
        <is>
          <t>P-ST-019-MAN MTTO APMA370 V2</t>
        </is>
      </c>
      <c r="U60" s="17" t="inlineStr">
        <is>
          <t>Pendiente</t>
        </is>
      </c>
      <c r="V60" s="17" t="n"/>
      <c r="W60" s="10">
        <f>IF($G60&lt;&gt;"Numérico","",IF($V60="","Sin dato",IF(AND(OR(NOT(ISNUMBER($O60)),$V60&gt;=$O60),OR(NOT(ISNUMBER($P60)),$V60&lt;=$P60)),"Dentro de rango","Fuera de rango")))</f>
        <v/>
      </c>
      <c r="X60" s="17" t="n"/>
      <c r="Y60" s="18" t="n"/>
      <c r="Z60" s="16">
        <f>IF(OR($U60="",$U60="Conforme",$U60="No aplica",$U60="Pendiente"),"",$N60&amp;IF($W60="Fuera de rango"," Valor medido: "&amp;TEXT($V60,"0.####")&amp;IF($H60="",""," "&amp;$H60)&amp;IF(AND(ISNUMBER($O60),$V60&lt;$O60),", por debajo del límite inferior de "&amp;TEXT($O60,"0.####")&amp;IF($H60="",""," "&amp;$H60),"")&amp;IF(AND(ISNUMBER($P60),$V60&gt;$P60),", por encima del límite superior de "&amp;TEXT($P60,"0.####")&amp;IF($H60="",""," "&amp;$H60),"")&amp;".","")&amp;IF($Y60="",""," "&amp;$Y60&amp;IF(RIGHT($Y60,1)=".","","."))&amp;" Acción recomendada: "&amp;$M60&amp;IF(RIGHT($M60,1)=".","",".")&amp;IF($J60="Bloqueante"," El equipo no se libera hasta resolver este hallazgo.",IF($J60="Cobrable"," Se incluye en la cotización de repuestos y consumibles."," Se deja registrado como observación.")))</f>
        <v/>
      </c>
    </row>
    <row r="61" ht="48" customHeight="1">
      <c r="A61" s="10" t="inlineStr">
        <is>
          <t>7.3.1</t>
        </is>
      </c>
      <c r="B61" s="10" t="inlineStr">
        <is>
          <t>7. Electrónica y control</t>
        </is>
      </c>
      <c r="C61" s="10" t="inlineStr">
        <is>
          <t>7.3 Display y cableado interno</t>
        </is>
      </c>
      <c r="D61" s="11" t="inlineStr">
        <is>
          <t>Cintas flex de la pantalla táctil LCD (Tape Wire)</t>
        </is>
      </c>
      <c r="E61" s="11" t="inlineStr">
        <is>
          <t>Arrugas, microfisuras o sulfatación en las terminales de los dos buses flex planos</t>
        </is>
      </c>
      <c r="F61" s="12" t="inlineStr">
        <is>
          <t>Con el equipo apagado, examinar las dos cintas flex del LCD en toda su longitud y en sus terminales, buscando dobleces marcados, microfisuras o sulfatación en los contactos.</t>
        </is>
      </c>
      <c r="G61" s="10" t="inlineStr">
        <is>
          <t>OK / No OK</t>
        </is>
      </c>
      <c r="H61" s="10" t="inlineStr"/>
      <c r="I61" s="11" t="inlineStr">
        <is>
          <t>Cables flexibles intactos y firmemente enchufados a la placa CPU, para evitar fallos del panel</t>
        </is>
      </c>
      <c r="J61" s="13" t="inlineStr">
        <is>
          <t>Cobrable</t>
        </is>
      </c>
      <c r="K61" s="14" t="inlineStr">
        <is>
          <t>Cinta agrietada o terminal sulfatado por humedad del shelter</t>
        </is>
      </c>
      <c r="L61" s="15" t="inlineStr">
        <is>
          <t>1.1.3 ; 7.3.2</t>
        </is>
      </c>
      <c r="M61" s="14" t="inlineStr">
        <is>
          <t>Reemplazar la cinta flex y corregir la humedad del shelter</t>
        </is>
      </c>
      <c r="N61" s="16" t="inlineStr">
        <is>
          <t>Las cintas de datos de la pantalla presentan deterioro o falso contacto.</t>
        </is>
      </c>
      <c r="O61" s="10" t="n"/>
      <c r="P61" s="10" t="n"/>
      <c r="Q61" s="10" t="inlineStr">
        <is>
          <t>Sí</t>
        </is>
      </c>
      <c r="R61" s="10" t="inlineStr">
        <is>
          <t>Sí</t>
        </is>
      </c>
      <c r="S61" s="11" t="inlineStr">
        <is>
          <t>Tape Wire (3010040355)</t>
        </is>
      </c>
      <c r="T61" s="11" t="inlineStr">
        <is>
          <t>AP-370 LCD replacement / MT_191TE0NC_APMA370_241226</t>
        </is>
      </c>
      <c r="U61" s="17" t="inlineStr">
        <is>
          <t>Pendiente</t>
        </is>
      </c>
      <c r="V61" s="17" t="n"/>
      <c r="W61" s="10">
        <f>IF($G61&lt;&gt;"Numérico","",IF($V61="","Sin dato",IF(AND(OR(NOT(ISNUMBER($O61)),$V61&gt;=$O61),OR(NOT(ISNUMBER($P61)),$V61&lt;=$P61)),"Dentro de rango","Fuera de rango")))</f>
        <v/>
      </c>
      <c r="X61" s="17" t="n"/>
      <c r="Y61" s="18" t="n"/>
      <c r="Z61" s="16">
        <f>IF(OR($U61="",$U61="Conforme",$U61="No aplica",$U61="Pendiente"),"",$N61&amp;IF($W61="Fuera de rango"," Valor medido: "&amp;TEXT($V61,"0.####")&amp;IF($H61="",""," "&amp;$H61)&amp;IF(AND(ISNUMBER($O61),$V61&lt;$O61),", por debajo del límite inferior de "&amp;TEXT($O61,"0.####")&amp;IF($H61="",""," "&amp;$H61),"")&amp;IF(AND(ISNUMBER($P61),$V61&gt;$P61),", por encima del límite superior de "&amp;TEXT($P61,"0.####")&amp;IF($H61="",""," "&amp;$H61),"")&amp;".","")&amp;IF($Y61="",""," "&amp;$Y61&amp;IF(RIGHT($Y61,1)=".","","."))&amp;" Acción recomendada: "&amp;$M61&amp;IF(RIGHT($M61,1)=".","",".")&amp;IF($J61="Bloqueante"," El equipo no se libera hasta resolver este hallazgo.",IF($J61="Cobrable"," Se incluye en la cotización de repuestos y consumibles."," Se deja registrado como observación.")))</f>
        <v/>
      </c>
    </row>
    <row r="62" ht="48" customHeight="1">
      <c r="A62" s="10" t="inlineStr">
        <is>
          <t>7.3.2</t>
        </is>
      </c>
      <c r="B62" s="10" t="inlineStr">
        <is>
          <t>7. Electrónica y control</t>
        </is>
      </c>
      <c r="C62" s="10" t="inlineStr">
        <is>
          <t>7.3 Display y cableado interno</t>
        </is>
      </c>
      <c r="D62" s="11" t="inlineStr">
        <is>
          <t>Respuesta táctil de la pantalla (Touch Panel)</t>
        </is>
      </c>
      <c r="E62" s="11" t="inlineStr">
        <is>
          <t>Sensibilidad del panel resistivo al presionar y seleccionar opciones del display</t>
        </is>
      </c>
      <c r="F62" s="12" t="inlineStr">
        <is>
          <t>Recorrer los menús de la pantalla presionando botones en las cuatro esquinas y en el centro, y verificar que la selección responda en el punto exacto donde se presiona.</t>
        </is>
      </c>
      <c r="G62" s="10" t="inlineStr">
        <is>
          <t>OK / No OK</t>
        </is>
      </c>
      <c r="H62" s="10" t="inlineStr"/>
      <c r="I62" s="11" t="inlineStr">
        <is>
          <t>Desplazamiento ágil y preciso entre menús, sin derivas táctiles ni zonas inoperantes</t>
        </is>
      </c>
      <c r="J62" s="13" t="inlineStr">
        <is>
          <t>Cobrable</t>
        </is>
      </c>
      <c r="K62" s="14" t="inlineStr">
        <is>
          <t>Delaminación del panel resistivo por humedad, o desgaste por uso con objetos punzantes</t>
        </is>
      </c>
      <c r="L62" s="15" t="inlineStr">
        <is>
          <t>7.3.1 ; 10.4.2</t>
        </is>
      </c>
      <c r="M62" s="14" t="inlineStr">
        <is>
          <t>Recalibrar el panel; si no responde, reemplazarlo y controlar la humedad de la cabina</t>
        </is>
      </c>
      <c r="N62" s="16" t="inlineStr">
        <is>
          <t>El panel táctil no responde con precisión al tacto o presenta zonas inoperantes.</t>
        </is>
      </c>
      <c r="O62" s="10" t="n"/>
      <c r="P62" s="10" t="n"/>
      <c r="Q62" s="10" t="inlineStr">
        <is>
          <t>Sí</t>
        </is>
      </c>
      <c r="R62" s="10" t="inlineStr">
        <is>
          <t>Sí</t>
        </is>
      </c>
      <c r="S62" s="11" t="inlineStr">
        <is>
          <t>Touch Panel (TP-AP370)</t>
        </is>
      </c>
      <c r="T62" s="11" t="inlineStr">
        <is>
          <t>MT_1JS71VM3_APMA370_21061101 / MT_85HHP0N0_APMA370_220822</t>
        </is>
      </c>
      <c r="U62" s="17" t="inlineStr">
        <is>
          <t>Pendiente</t>
        </is>
      </c>
      <c r="V62" s="17" t="n"/>
      <c r="W62" s="10">
        <f>IF($G62&lt;&gt;"Numérico","",IF($V62="","Sin dato",IF(AND(OR(NOT(ISNUMBER($O62)),$V62&gt;=$O62),OR(NOT(ISNUMBER($P62)),$V62&lt;=$P62)),"Dentro de rango","Fuera de rango")))</f>
        <v/>
      </c>
      <c r="X62" s="17" t="n"/>
      <c r="Y62" s="18" t="n"/>
      <c r="Z62" s="16">
        <f>IF(OR($U62="",$U62="Conforme",$U62="No aplica",$U62="Pendiente"),"",$N62&amp;IF($W62="Fuera de rango"," Valor medido: "&amp;TEXT($V62,"0.####")&amp;IF($H62="",""," "&amp;$H62)&amp;IF(AND(ISNUMBER($O62),$V62&lt;$O62),", por debajo del límite inferior de "&amp;TEXT($O62,"0.####")&amp;IF($H62="",""," "&amp;$H62),"")&amp;IF(AND(ISNUMBER($P62),$V62&gt;$P62),", por encima del límite superior de "&amp;TEXT($P62,"0.####")&amp;IF($H62="",""," "&amp;$H62),"")&amp;".","")&amp;IF($Y62="",""," "&amp;$Y62&amp;IF(RIGHT($Y62,1)=".","","."))&amp;" Acción recomendada: "&amp;$M62&amp;IF(RIGHT($M62,1)=".","",".")&amp;IF($J62="Bloqueante"," El equipo no se libera hasta resolver este hallazgo.",IF($J62="Cobrable"," Se incluye en la cotización de repuestos y consumibles."," Se deja registrado como observación.")))</f>
        <v/>
      </c>
    </row>
    <row r="63" ht="48" customHeight="1">
      <c r="A63" s="10" t="inlineStr">
        <is>
          <t>7.4.1</t>
        </is>
      </c>
      <c r="B63" s="10" t="inlineStr">
        <is>
          <t>7. Electrónica y control</t>
        </is>
      </c>
      <c r="C63" s="10" t="inlineStr">
        <is>
          <t>7.4 Alimentación eléctrica</t>
        </is>
      </c>
      <c r="D63" s="11" t="inlineStr">
        <is>
          <t>Tensiones secundarias de la fuente de poder principal</t>
        </is>
      </c>
      <c r="E63" s="11" t="inlineStr">
        <is>
          <t>Estabilidad de voltajes e integridad física de condensadores en la fuente principal</t>
        </is>
      </c>
      <c r="F63" s="12" t="inlineStr">
        <is>
          <t>Con el equipo apagado, inspeccionar la fuente buscando condensadores abombados o con fuga. Con el equipo energizado, verificar en ANALOG INPUT la estabilidad de los rieles de 24 V y 5 V.</t>
        </is>
      </c>
      <c r="G63" s="10" t="inlineStr">
        <is>
          <t>OK / No OK</t>
        </is>
      </c>
      <c r="H63" s="10" t="inlineStr"/>
      <c r="I63" s="11" t="inlineStr">
        <is>
          <t>Condensadores sin abombamientos y voltajes secundarios libres de rizado eléctrico</t>
        </is>
      </c>
      <c r="J63" s="13" t="inlineStr">
        <is>
          <t>Bloqueante</t>
        </is>
      </c>
      <c r="K63" s="14" t="inlineStr">
        <is>
          <t>Condensadores degradados o fuente al final de su vida útil</t>
        </is>
      </c>
      <c r="L63" s="15" t="inlineStr">
        <is>
          <t>9.3.1 ; 9.3.2 ; 10.5.1</t>
        </is>
      </c>
      <c r="M63" s="14" t="inlineStr">
        <is>
          <t>Reemplazar la fuente y verificar la calidad de la red que alimenta el equipo</t>
        </is>
      </c>
      <c r="N63" s="16" t="inlineStr">
        <is>
          <t>La fuente de poder principal presenta deterioro o no entrega sus tensiones dentro de tolerancia.</t>
        </is>
      </c>
      <c r="O63" s="10" t="n"/>
      <c r="P63" s="10" t="n"/>
      <c r="Q63" s="10" t="inlineStr">
        <is>
          <t>Sí</t>
        </is>
      </c>
      <c r="R63" s="10" t="inlineStr">
        <is>
          <t>Sí</t>
        </is>
      </c>
      <c r="S63" s="11" t="inlineStr">
        <is>
          <t>Power Supply Assy (3200637752) · Power Supply Assy (3200637753)</t>
        </is>
      </c>
      <c r="T63" s="11" t="inlineStr">
        <is>
          <t>MT_191TE0NC_APMA370_241226</t>
        </is>
      </c>
      <c r="U63" s="17" t="inlineStr">
        <is>
          <t>Pendiente</t>
        </is>
      </c>
      <c r="V63" s="17" t="n"/>
      <c r="W63" s="10">
        <f>IF($G63&lt;&gt;"Numérico","",IF($V63="","Sin dato",IF(AND(OR(NOT(ISNUMBER($O63)),$V63&gt;=$O63),OR(NOT(ISNUMBER($P63)),$V63&lt;=$P63)),"Dentro de rango","Fuera de rango")))</f>
        <v/>
      </c>
      <c r="X63" s="17" t="n"/>
      <c r="Y63" s="18" t="n"/>
      <c r="Z63" s="16">
        <f>IF(OR($U63="",$U63="Conforme",$U63="No aplica",$U63="Pendiente"),"",$N63&amp;IF($W63="Fuera de rango"," Valor medido: "&amp;TEXT($V63,"0.####")&amp;IF($H63="",""," "&amp;$H63)&amp;IF(AND(ISNUMBER($O63),$V63&lt;$O63),", por debajo del límite inferior de "&amp;TEXT($O63,"0.####")&amp;IF($H63="",""," "&amp;$H63),"")&amp;IF(AND(ISNUMBER($P63),$V63&gt;$P63),", por encima del límite superior de "&amp;TEXT($P63,"0.####")&amp;IF($H63="",""," "&amp;$H63),"")&amp;".","")&amp;IF($Y63="",""," "&amp;$Y63&amp;IF(RIGHT($Y63,1)=".","","."))&amp;" Acción recomendada: "&amp;$M63&amp;IF(RIGHT($M63,1)=".","",".")&amp;IF($J63="Bloqueante"," El equipo no se libera hasta resolver este hallazgo.",IF($J63="Cobrable"," Se incluye en la cotización de repuestos y consumibles."," Se deja registrado como observación.")))</f>
        <v/>
      </c>
    </row>
    <row r="64" ht="48" customHeight="1">
      <c r="A64" s="10" t="inlineStr">
        <is>
          <t>7.4.2</t>
        </is>
      </c>
      <c r="B64" s="10" t="inlineStr">
        <is>
          <t>7. Electrónica y control</t>
        </is>
      </c>
      <c r="C64" s="10" t="inlineStr">
        <is>
          <t>7.4 Alimentación eléctrica</t>
        </is>
      </c>
      <c r="D64" s="11" t="inlineStr">
        <is>
          <t>Transformador de la bomba de muestreo</t>
        </is>
      </c>
      <c r="E64" s="11" t="inlineStr">
        <is>
          <t>Tensión AC de salida en el secundario del transformador de aislamiento de la bomba</t>
        </is>
      </c>
      <c r="F64" s="12" t="inlineStr">
        <is>
          <t>Con el equipo energizado y las debidas precauciones de alto voltaje, medir con multímetro en modo VAC la tensión en el secundario del transformador de la bomba.</t>
        </is>
      </c>
      <c r="G64" s="10" t="inlineStr">
        <is>
          <t>Numérico</t>
        </is>
      </c>
      <c r="H64" s="10" t="inlineStr">
        <is>
          <t>V</t>
        </is>
      </c>
      <c r="I64" s="11" t="inlineStr">
        <is>
          <t>Transformador de aislamiento de 42 VA; debe suministrar tensión estable a la bobina del motor</t>
        </is>
      </c>
      <c r="J64" s="13" t="inlineStr">
        <is>
          <t>Bloqueante</t>
        </is>
      </c>
      <c r="K64" s="14" t="inlineStr">
        <is>
          <t>Devanado abierto, o transformador no original instalado</t>
        </is>
      </c>
      <c r="L64" s="15" t="inlineStr">
        <is>
          <t>5.2.1 ; 10.5.1</t>
        </is>
      </c>
      <c r="M64" s="14" t="inlineStr">
        <is>
          <t>Reponer el transformador original de 42 VA</t>
        </is>
      </c>
      <c r="N64" s="16" t="inlineStr">
        <is>
          <t>El transformador de alimentación de la bomba no entrega la tensión especificada.</t>
        </is>
      </c>
      <c r="O64" s="10" t="n">
        <v>100</v>
      </c>
      <c r="P64" s="10" t="n">
        <v>120</v>
      </c>
      <c r="Q64" s="10" t="inlineStr">
        <is>
          <t>Sí</t>
        </is>
      </c>
      <c r="R64" s="10" t="inlineStr">
        <is>
          <t>No</t>
        </is>
      </c>
      <c r="S64" s="11" t="inlineStr">
        <is>
          <t>Power Transformer APXX-360/370 PUMP:42VA (3200488656)</t>
        </is>
      </c>
      <c r="T64" s="11" t="inlineStr">
        <is>
          <t>MT_191TE0NC_APMA370_241226</t>
        </is>
      </c>
      <c r="U64" s="17" t="inlineStr">
        <is>
          <t>Pendiente</t>
        </is>
      </c>
      <c r="V64" s="17" t="n"/>
      <c r="W64" s="10">
        <f>IF($G64&lt;&gt;"Numérico","",IF($V64="","Sin dato",IF(AND(OR(NOT(ISNUMBER($O64)),$V64&gt;=$O64),OR(NOT(ISNUMBER($P64)),$V64&lt;=$P64)),"Dentro de rango","Fuera de rango")))</f>
        <v/>
      </c>
      <c r="X64" s="17" t="n"/>
      <c r="Y64" s="18" t="n"/>
      <c r="Z64" s="16">
        <f>IF(OR($U64="",$U64="Conforme",$U64="No aplica",$U64="Pendiente"),"",$N64&amp;IF($W64="Fuera de rango"," Valor medido: "&amp;TEXT($V64,"0.####")&amp;IF($H64="",""," "&amp;$H64)&amp;IF(AND(ISNUMBER($O64),$V64&lt;$O64),", por debajo del límite inferior de "&amp;TEXT($O64,"0.####")&amp;IF($H64="",""," "&amp;$H64),"")&amp;IF(AND(ISNUMBER($P64),$V64&gt;$P64),", por encima del límite superior de "&amp;TEXT($P64,"0.####")&amp;IF($H64="",""," "&amp;$H64),"")&amp;".","")&amp;IF($Y64="",""," "&amp;$Y64&amp;IF(RIGHT($Y64,1)=".","","."))&amp;" Acción recomendada: "&amp;$M64&amp;IF(RIGHT($M64,1)=".","",".")&amp;IF($J64="Bloqueante"," El equipo no se libera hasta resolver este hallazgo.",IF($J64="Cobrable"," Se incluye en la cotización de repuestos y consumibles."," Se deja registrado como observación.")))</f>
        <v/>
      </c>
    </row>
    <row r="65" ht="48" customHeight="1">
      <c r="A65" s="10" t="inlineStr">
        <is>
          <t>7.5.1</t>
        </is>
      </c>
      <c r="B65" s="10" t="inlineStr">
        <is>
          <t>7. Electrónica y control</t>
        </is>
      </c>
      <c r="C65" s="10" t="inlineStr">
        <is>
          <t>7.5 Comunicaciones</t>
        </is>
      </c>
      <c r="D65" s="11" t="inlineStr">
        <is>
          <t>Conector del cable serial RS-232C</t>
        </is>
      </c>
      <c r="E65" s="11" t="inlineStr">
        <is>
          <t>Soldaduras, continuidad y asignación de pines del conector trasero DB9 de datos</t>
        </is>
      </c>
      <c r="F65" s="12" t="inlineStr">
        <is>
          <t>Con el equipo apagado, inspeccionar el conector DB9 trasero buscando pines doblados o soldaduras frías, y verificar la continuidad del cable con multímetro según el esquema de pines.</t>
        </is>
      </c>
      <c r="G65" s="10" t="inlineStr">
        <is>
          <t>OK / No OK</t>
        </is>
      </c>
      <c r="H65" s="10" t="inlineStr"/>
      <c r="I65" s="11" t="inlineStr">
        <is>
          <t>Pines 2 y 3 cruzados, pin 5 a tierra y pines 7-8 puenteados para habilitar el enlace serial</t>
        </is>
      </c>
      <c r="J65" s="13" t="inlineStr">
        <is>
          <t>Alerta</t>
        </is>
      </c>
      <c r="K65" s="14" t="inlineStr">
        <is>
          <t>Cable recto en lugar de cruzado, o pines sin el puente 7-8</t>
        </is>
      </c>
      <c r="L65" s="15" t="inlineStr">
        <is>
          <t>7.5.2 ; 2.2.1</t>
        </is>
      </c>
      <c r="M65" s="14" t="inlineStr">
        <is>
          <t>Usar cable cruzado con puente local 7-8 y verificar la descarga de datos</t>
        </is>
      </c>
      <c r="N65" s="16" t="inlineStr">
        <is>
          <t>El puerto de comunicación serial presenta daño, o el cableado no corresponde al esquema requerido para la descarga de datos.</t>
        </is>
      </c>
      <c r="O65" s="10" t="n"/>
      <c r="P65" s="10" t="n"/>
      <c r="Q65" s="10" t="inlineStr">
        <is>
          <t>Sí</t>
        </is>
      </c>
      <c r="R65" s="10" t="inlineStr">
        <is>
          <t>Sí</t>
        </is>
      </c>
      <c r="S65" s="11" t="inlineStr">
        <is>
          <t>Cable assembly RS-232C (3200216747)</t>
        </is>
      </c>
      <c r="T65" s="11" t="inlineStr">
        <is>
          <t>I.X.X.X-X Instructivo Descarga de Datos Horiba AP</t>
        </is>
      </c>
      <c r="U65" s="17" t="inlineStr">
        <is>
          <t>Pendiente</t>
        </is>
      </c>
      <c r="V65" s="17" t="n"/>
      <c r="W65" s="10">
        <f>IF($G65&lt;&gt;"Numérico","",IF($V65="","Sin dato",IF(AND(OR(NOT(ISNUMBER($O65)),$V65&gt;=$O65),OR(NOT(ISNUMBER($P65)),$V65&lt;=$P65)),"Dentro de rango","Fuera de rango")))</f>
        <v/>
      </c>
      <c r="X65" s="17" t="n"/>
      <c r="Y65" s="18" t="n"/>
      <c r="Z65" s="16">
        <f>IF(OR($U65="",$U65="Conforme",$U65="No aplica",$U65="Pendiente"),"",$N65&amp;IF($W65="Fuera de rango"," Valor medido: "&amp;TEXT($V65,"0.####")&amp;IF($H65="",""," "&amp;$H65)&amp;IF(AND(ISNUMBER($O65),$V65&lt;$O65),", por debajo del límite inferior de "&amp;TEXT($O65,"0.####")&amp;IF($H65="",""," "&amp;$H65),"")&amp;IF(AND(ISNUMBER($P65),$V65&gt;$P65),", por encima del límite superior de "&amp;TEXT($P65,"0.####")&amp;IF($H65="",""," "&amp;$H65),"")&amp;".","")&amp;IF($Y65="",""," "&amp;$Y65&amp;IF(RIGHT($Y65,1)=".","","."))&amp;" Acción recomendada: "&amp;$M65&amp;IF(RIGHT($M65,1)=".","",".")&amp;IF($J65="Bloqueante"," El equipo no se libera hasta resolver este hallazgo.",IF($J65="Cobrable"," Se incluye en la cotización de repuestos y consumibles."," Se deja registrado como observación.")))</f>
        <v/>
      </c>
    </row>
    <row r="66" ht="48" customHeight="1">
      <c r="A66" s="10" t="inlineStr">
        <is>
          <t>7.5.2</t>
        </is>
      </c>
      <c r="B66" s="10" t="inlineStr">
        <is>
          <t>7. Electrónica y control</t>
        </is>
      </c>
      <c r="C66" s="10" t="inlineStr">
        <is>
          <t>7.5 Comunicaciones</t>
        </is>
      </c>
      <c r="D66" s="11" t="inlineStr">
        <is>
          <t>Tarjeta serial opcional (AP-SIO-04)</t>
        </is>
      </c>
      <c r="E66" s="11" t="inlineStr">
        <is>
          <t>Presencia e integración de la placa serial dedicada en el conector CN2</t>
        </is>
      </c>
      <c r="F66" s="12" t="inlineStr">
        <is>
          <t>Retirar la placa ciega trasera y verificar visualmente si la tarjeta AP-SIO-04 está instalada y conectada al conector CN2 de la CPU mediante su cable.</t>
        </is>
      </c>
      <c r="G66" s="10" t="inlineStr">
        <is>
          <t>Presente / Ausente</t>
        </is>
      </c>
      <c r="H66" s="10" t="inlineStr"/>
      <c r="I66" s="11" t="inlineStr">
        <is>
          <t>Tarjeta SIO acoplada firmemente en el conector CN2 de la CPU si se implementa descarga remota</t>
        </is>
      </c>
      <c r="J66" s="13" t="inlineStr">
        <is>
          <t>Alerta</t>
        </is>
      </c>
      <c r="K66" s="14" t="inlineStr">
        <is>
          <t>Tarjeta ausente o cable CN2 desconectado</t>
        </is>
      </c>
      <c r="L66" s="15" t="inlineStr">
        <is>
          <t>7.5.1</t>
        </is>
      </c>
      <c r="M66" s="14" t="inlineStr">
        <is>
          <t>Instalar o reasentar la tarjeta SIO y verificar el enlace a 19200 bps</t>
        </is>
      </c>
      <c r="N66" s="16" t="inlineStr">
        <is>
          <t>La tarjeta de comunicación serial no está instalada o no está correctamente conectada.</t>
        </is>
      </c>
      <c r="O66" s="10" t="n"/>
      <c r="P66" s="10" t="n"/>
      <c r="Q66" s="10" t="inlineStr">
        <is>
          <t>Sí</t>
        </is>
      </c>
      <c r="R66" s="10" t="inlineStr">
        <is>
          <t>Sí</t>
        </is>
      </c>
      <c r="S66" s="11" t="inlineStr">
        <is>
          <t>RS-232C (For Horiba AP Series) (3014036951)</t>
        </is>
      </c>
      <c r="T66" s="11" t="inlineStr">
        <is>
          <t>Procedimiento Integración Tarjeta RS232</t>
        </is>
      </c>
      <c r="U66" s="17" t="inlineStr">
        <is>
          <t>Pendiente</t>
        </is>
      </c>
      <c r="V66" s="17" t="n"/>
      <c r="W66" s="10">
        <f>IF($G66&lt;&gt;"Numérico","",IF($V66="","Sin dato",IF(AND(OR(NOT(ISNUMBER($O66)),$V66&gt;=$O66),OR(NOT(ISNUMBER($P66)),$V66&lt;=$P66)),"Dentro de rango","Fuera de rango")))</f>
        <v/>
      </c>
      <c r="X66" s="17" t="n"/>
      <c r="Y66" s="18" t="n"/>
      <c r="Z66" s="16">
        <f>IF(OR($U66="",$U66="Conforme",$U66="No aplica",$U66="Pendiente"),"",$N66&amp;IF($W66="Fuera de rango"," Valor medido: "&amp;TEXT($V66,"0.####")&amp;IF($H66="",""," "&amp;$H66)&amp;IF(AND(ISNUMBER($O66),$V66&lt;$O66),", por debajo del límite inferior de "&amp;TEXT($O66,"0.####")&amp;IF($H66="",""," "&amp;$H66),"")&amp;IF(AND(ISNUMBER($P66),$V66&gt;$P66),", por encima del límite superior de "&amp;TEXT($P66,"0.####")&amp;IF($H66="",""," "&amp;$H66),"")&amp;".","")&amp;IF($Y66="",""," "&amp;$Y66&amp;IF(RIGHT($Y66,1)=".","","."))&amp;" Acción recomendada: "&amp;$M66&amp;IF(RIGHT($M66,1)=".","",".")&amp;IF($J66="Bloqueante"," El equipo no se libera hasta resolver este hallazgo.",IF($J66="Cobrable"," Se incluye en la cotización de repuestos y consumibles."," Se deja registrado como observación.")))</f>
        <v/>
      </c>
    </row>
    <row r="67" ht="48" customHeight="1">
      <c r="A67" s="10" t="inlineStr">
        <is>
          <t>8.1.1</t>
        </is>
      </c>
      <c r="B67" s="10" t="inlineStr">
        <is>
          <t>8. Filtros y consumibles</t>
        </is>
      </c>
      <c r="C67" s="10" t="inlineStr">
        <is>
          <t>8.1 Horómetros de consumibles</t>
        </is>
      </c>
      <c r="D67" s="11" t="inlineStr">
        <is>
          <t>Horas acumuladas del filtro de partículas PA-10L</t>
        </is>
      </c>
      <c r="E67" s="11" t="inlineStr">
        <is>
          <t>Horas de uso acumuladas del filtro frontal en la pantalla HOUR METER</t>
        </is>
      </c>
      <c r="F67" s="12" t="inlineStr">
        <is>
          <t>Ir a MENU / MAINTENANCE / HOUR METER y leer las horas acumuladas del filtro de partículas. Reiniciar el contador únicamente si se reemplaza el elemento.</t>
        </is>
      </c>
      <c r="G67" s="10" t="inlineStr">
        <is>
          <t>Numérico</t>
        </is>
      </c>
      <c r="H67" s="10" t="inlineStr">
        <is>
          <t>horas</t>
        </is>
      </c>
      <c r="I67" s="11" t="inlineStr">
        <is>
          <t>Cambio preventivo recomendado cada 2 semanas de uso (336 h)</t>
        </is>
      </c>
      <c r="J67" s="13" t="inlineStr">
        <is>
          <t>Cobrable</t>
        </is>
      </c>
      <c r="K67" s="14" t="inlineStr">
        <is>
          <t>Horómetro por encima del intervalo de dos semanas</t>
        </is>
      </c>
      <c r="L67" s="15" t="inlineStr">
        <is>
          <t>4.2.1</t>
        </is>
      </c>
      <c r="M67" s="14" t="inlineStr">
        <is>
          <t>Reemplazar el elemento y reiniciar el contador</t>
        </is>
      </c>
      <c r="N67" s="16" t="inlineStr">
        <is>
          <t>El filtro de partículas superó el intervalo de reemplazo recomendado por el fabricante.</t>
        </is>
      </c>
      <c r="O67" s="10" t="n">
        <v>0</v>
      </c>
      <c r="P67" s="10" t="n">
        <v>336</v>
      </c>
      <c r="Q67" s="10" t="inlineStr">
        <is>
          <t>Sí</t>
        </is>
      </c>
      <c r="R67" s="10" t="inlineStr">
        <is>
          <t>No</t>
        </is>
      </c>
      <c r="S67" s="11" t="inlineStr">
        <is>
          <t>Filter Element PA-10L diámetro 54*0.5t (24pc/set) (3200043947; alt. 3200043947-1PC)</t>
        </is>
      </c>
      <c r="T67" s="11" t="inlineStr">
        <is>
          <t>P-ST-019-MAN MTTO APMA370 V2</t>
        </is>
      </c>
      <c r="U67" s="17" t="inlineStr">
        <is>
          <t>Pendiente</t>
        </is>
      </c>
      <c r="V67" s="17" t="n"/>
      <c r="W67" s="10">
        <f>IF($G67&lt;&gt;"Numérico","",IF($V67="","Sin dato",IF(AND(OR(NOT(ISNUMBER($O67)),$V67&gt;=$O67),OR(NOT(ISNUMBER($P67)),$V67&lt;=$P67)),"Dentro de rango","Fuera de rango")))</f>
        <v/>
      </c>
      <c r="X67" s="17" t="n"/>
      <c r="Y67" s="18" t="n"/>
      <c r="Z67" s="16">
        <f>IF(OR($U67="",$U67="Conforme",$U67="No aplica",$U67="Pendiente"),"",$N67&amp;IF($W67="Fuera de rango"," Valor medido: "&amp;TEXT($V67,"0.####")&amp;IF($H67="",""," "&amp;$H67)&amp;IF(AND(ISNUMBER($O67),$V67&lt;$O67),", por debajo del límite inferior de "&amp;TEXT($O67,"0.####")&amp;IF($H67="",""," "&amp;$H67),"")&amp;IF(AND(ISNUMBER($P67),$V67&gt;$P67),", por encima del límite superior de "&amp;TEXT($P67,"0.####")&amp;IF($H67="",""," "&amp;$H67),"")&amp;".","")&amp;IF($Y67="",""," "&amp;$Y67&amp;IF(RIGHT($Y67,1)=".","","."))&amp;" Acción recomendada: "&amp;$M67&amp;IF(RIGHT($M67,1)=".","",".")&amp;IF($J67="Bloqueante"," El equipo no se libera hasta resolver este hallazgo.",IF($J67="Cobrable"," Se incluye en la cotización de repuestos y consumibles."," Se deja registrado como observación.")))</f>
        <v/>
      </c>
    </row>
    <row r="68" ht="48" customHeight="1">
      <c r="A68" s="10" t="inlineStr">
        <is>
          <t>8.1.2</t>
        </is>
      </c>
      <c r="B68" s="10" t="inlineStr">
        <is>
          <t>8. Filtros y consumibles</t>
        </is>
      </c>
      <c r="C68" s="10" t="inlineStr">
        <is>
          <t>8.1 Horómetros de consumibles</t>
        </is>
      </c>
      <c r="D68" s="11" t="inlineStr">
        <is>
          <t>Horas acumuladas de diafragmas de la bomba (P-1-D)</t>
        </is>
      </c>
      <c r="E68" s="11" t="inlineStr">
        <is>
          <t>Horas acumuladas de operación de los diafragmas en la pantalla HOUR METER</t>
        </is>
      </c>
      <c r="F68" s="12" t="inlineStr">
        <is>
          <t>En la pantalla HOUR METER, leer las horas acumuladas del diafragma de bomba (P-1-D). Reiniciar el contador únicamente si se reemplazan los diafragmas.</t>
        </is>
      </c>
      <c r="G68" s="10" t="inlineStr">
        <is>
          <t>Numérico</t>
        </is>
      </c>
      <c r="H68" s="10" t="inlineStr">
        <is>
          <t>horas</t>
        </is>
      </c>
      <c r="I68" s="11" t="inlineStr">
        <is>
          <t>Contador para planificar el reemplazo anual de las membranas elásticas de la bomba</t>
        </is>
      </c>
      <c r="J68" s="13" t="inlineStr">
        <is>
          <t>Cobrable</t>
        </is>
      </c>
      <c r="K68" s="14" t="inlineStr">
        <is>
          <t>Horómetro por encima del intervalo anual</t>
        </is>
      </c>
      <c r="L68" s="15" t="inlineStr">
        <is>
          <t>5.2.2</t>
        </is>
      </c>
      <c r="M68" s="14" t="inlineStr">
        <is>
          <t>Reemplazar los diafragmas y reiniciar el contador</t>
        </is>
      </c>
      <c r="N68" s="16" t="inlineStr">
        <is>
          <t>Los diafragmas de la bomba superaron el intervalo de reemplazo recomendado por el fabricante.</t>
        </is>
      </c>
      <c r="O68" s="10" t="n">
        <v>0</v>
      </c>
      <c r="P68" s="10" t="n">
        <v>8760</v>
      </c>
      <c r="Q68" s="10" t="inlineStr">
        <is>
          <t>Sí</t>
        </is>
      </c>
      <c r="R68" s="10" t="inlineStr">
        <is>
          <t>No</t>
        </is>
      </c>
      <c r="S68" s="11" t="inlineStr">
        <is>
          <t>Diaphragm Assy GS, GD series EPDM - APMA / APOA / APHA (3200044033)</t>
        </is>
      </c>
      <c r="T68" s="11" t="inlineStr">
        <is>
          <t>P-ST-019-MAN MTTO APMA370 V2</t>
        </is>
      </c>
      <c r="U68" s="17" t="inlineStr">
        <is>
          <t>Pendiente</t>
        </is>
      </c>
      <c r="V68" s="17" t="n"/>
      <c r="W68" s="10">
        <f>IF($G68&lt;&gt;"Numérico","",IF($V68="","Sin dato",IF(AND(OR(NOT(ISNUMBER($O68)),$V68&gt;=$O68),OR(NOT(ISNUMBER($P68)),$V68&lt;=$P68)),"Dentro de rango","Fuera de rango")))</f>
        <v/>
      </c>
      <c r="X68" s="17" t="n"/>
      <c r="Y68" s="18" t="n"/>
      <c r="Z68" s="16">
        <f>IF(OR($U68="",$U68="Conforme",$U68="No aplica",$U68="Pendiente"),"",$N68&amp;IF($W68="Fuera de rango"," Valor medido: "&amp;TEXT($V68,"0.####")&amp;IF($H68="",""," "&amp;$H68)&amp;IF(AND(ISNUMBER($O68),$V68&lt;$O68),", por debajo del límite inferior de "&amp;TEXT($O68,"0.####")&amp;IF($H68="",""," "&amp;$H68),"")&amp;IF(AND(ISNUMBER($P68),$V68&gt;$P68),", por encima del límite superior de "&amp;TEXT($P68,"0.####")&amp;IF($H68="",""," "&amp;$H68),"")&amp;".","")&amp;IF($Y68="",""," "&amp;$Y68&amp;IF(RIGHT($Y68,1)=".","","."))&amp;" Acción recomendada: "&amp;$M68&amp;IF(RIGHT($M68,1)=".","",".")&amp;IF($J68="Bloqueante"," El equipo no se libera hasta resolver este hallazgo.",IF($J68="Cobrable"," Se incluye en la cotización de repuestos y consumibles."," Se deja registrado como observación.")))</f>
        <v/>
      </c>
    </row>
    <row r="69" ht="48" customHeight="1">
      <c r="A69" s="10" t="inlineStr">
        <is>
          <t>8.1.3</t>
        </is>
      </c>
      <c r="B69" s="10" t="inlineStr">
        <is>
          <t>8. Filtros y consumibles</t>
        </is>
      </c>
      <c r="C69" s="10" t="inlineStr">
        <is>
          <t>8.1 Horómetros de consumibles</t>
        </is>
      </c>
      <c r="D69" s="11" t="inlineStr">
        <is>
          <t>Horas acumuladas del catalizador de CO (CAT-1)</t>
        </is>
      </c>
      <c r="E69" s="11" t="inlineStr">
        <is>
          <t>Horas de operación acumuladas del catalizador oxidante de CO en HOUR METER</t>
        </is>
      </c>
      <c r="F69" s="12" t="inlineStr">
        <is>
          <t>En la pantalla HOUR METER, leer las horas acumuladas del catalizador de CO (CAT-1). Reiniciar el contador únicamente si se reemplaza el relleno.</t>
        </is>
      </c>
      <c r="G69" s="10" t="inlineStr">
        <is>
          <t>Numérico</t>
        </is>
      </c>
      <c r="H69" s="10" t="inlineStr">
        <is>
          <t>horas</t>
        </is>
      </c>
      <c r="I69" s="11" t="inlineStr">
        <is>
          <t>Contador para programar el reemplazo del relleno del catalizador cada 2 años</t>
        </is>
      </c>
      <c r="J69" s="13" t="inlineStr">
        <is>
          <t>Cobrable</t>
        </is>
      </c>
      <c r="K69" s="14" t="inlineStr">
        <is>
          <t>Horómetro por encima del intervalo de dos años</t>
        </is>
      </c>
      <c r="L69" s="15" t="inlineStr">
        <is>
          <t>6.4.1</t>
        </is>
      </c>
      <c r="M69" s="14" t="inlineStr">
        <is>
          <t>Reemplazar el relleno y reiniciar el contador</t>
        </is>
      </c>
      <c r="N69" s="16" t="inlineStr">
        <is>
          <t>El catalizador de la línea de referencia superó el intervalo de reemplazo recomendado por el fabricante.</t>
        </is>
      </c>
      <c r="O69" s="10" t="n">
        <v>0</v>
      </c>
      <c r="P69" s="10" t="n">
        <v>17520</v>
      </c>
      <c r="Q69" s="10" t="inlineStr">
        <is>
          <t>Sí</t>
        </is>
      </c>
      <c r="R69" s="10" t="inlineStr">
        <is>
          <t>No</t>
        </is>
      </c>
      <c r="S69" s="11" t="inlineStr">
        <is>
          <t>Catalyzer Tube HP-10D2 APMA / APSA (3014059457)</t>
        </is>
      </c>
      <c r="T69" s="11" t="inlineStr">
        <is>
          <t>P-ST-019-MAN MTTO APMA370 V2</t>
        </is>
      </c>
      <c r="U69" s="17" t="inlineStr">
        <is>
          <t>Pendiente</t>
        </is>
      </c>
      <c r="V69" s="17" t="n"/>
      <c r="W69" s="10">
        <f>IF($G69&lt;&gt;"Numérico","",IF($V69="","Sin dato",IF(AND(OR(NOT(ISNUMBER($O69)),$V69&gt;=$O69),OR(NOT(ISNUMBER($P69)),$V69&lt;=$P69)),"Dentro de rango","Fuera de rango")))</f>
        <v/>
      </c>
      <c r="X69" s="17" t="n"/>
      <c r="Y69" s="18" t="n"/>
      <c r="Z69" s="16">
        <f>IF(OR($U69="",$U69="Conforme",$U69="No aplica",$U69="Pendiente"),"",$N69&amp;IF($W69="Fuera de rango"," Valor medido: "&amp;TEXT($V69,"0.####")&amp;IF($H69="",""," "&amp;$H69)&amp;IF(AND(ISNUMBER($O69),$V69&lt;$O69),", por debajo del límite inferior de "&amp;TEXT($O69,"0.####")&amp;IF($H69="",""," "&amp;$H69),"")&amp;IF(AND(ISNUMBER($P69),$V69&gt;$P69),", por encima del límite superior de "&amp;TEXT($P69,"0.####")&amp;IF($H69="",""," "&amp;$H69),"")&amp;".","")&amp;IF($Y69="",""," "&amp;$Y69&amp;IF(RIGHT($Y69,1)=".","","."))&amp;" Acción recomendada: "&amp;$M69&amp;IF(RIGHT($M69,1)=".","",".")&amp;IF($J69="Bloqueante"," El equipo no se libera hasta resolver este hallazgo.",IF($J69="Cobrable"," Se incluye en la cotización de repuestos y consumibles."," Se deja registrado como observación.")))</f>
        <v/>
      </c>
    </row>
    <row r="70" ht="48" customHeight="1">
      <c r="A70" s="10" t="inlineStr">
        <is>
          <t>8.1.4</t>
        </is>
      </c>
      <c r="B70" s="10" t="inlineStr">
        <is>
          <t>8. Filtros y consumibles</t>
        </is>
      </c>
      <c r="C70" s="10" t="inlineStr">
        <is>
          <t>8.1 Horómetros de consumibles</t>
        </is>
      </c>
      <c r="D70" s="11" t="inlineStr">
        <is>
          <t>Horas acumuladas de la trampa Mist Catcher (MC-1)</t>
        </is>
      </c>
      <c r="E70" s="11" t="inlineStr">
        <is>
          <t>Horas de uso acumuladas de la trampa secadora de humedad en HOUR METER</t>
        </is>
      </c>
      <c r="F70" s="12" t="inlineStr">
        <is>
          <t>En la pantalla HOUR METER, leer las horas acumuladas de la trampa Mist Catcher (MC-1). Reiniciar el contador únicamente si se reemplaza la trampa.</t>
        </is>
      </c>
      <c r="G70" s="10" t="inlineStr">
        <is>
          <t>Numérico</t>
        </is>
      </c>
      <c r="H70" s="10" t="inlineStr">
        <is>
          <t>horas</t>
        </is>
      </c>
      <c r="I70" s="11" t="inlineStr">
        <is>
          <t>Contador para planificar la sustitución anual de la trampa Mist Catcher MC-1</t>
        </is>
      </c>
      <c r="J70" s="13" t="inlineStr">
        <is>
          <t>Cobrable</t>
        </is>
      </c>
      <c r="K70" s="14" t="inlineStr">
        <is>
          <t>Horómetro por encima del intervalo anual</t>
        </is>
      </c>
      <c r="L70" s="15" t="inlineStr">
        <is>
          <t>4.3.1</t>
        </is>
      </c>
      <c r="M70" s="14" t="inlineStr">
        <is>
          <t>Reemplazar la trampa y reiniciar el contador</t>
        </is>
      </c>
      <c r="N70" s="16" t="inlineStr">
        <is>
          <t>La trampa de humedad superó el intervalo de reemplazo recomendado por el fabricante.</t>
        </is>
      </c>
      <c r="O70" s="10" t="n">
        <v>0</v>
      </c>
      <c r="P70" s="10" t="n">
        <v>8760</v>
      </c>
      <c r="Q70" s="10" t="inlineStr">
        <is>
          <t>Sí</t>
        </is>
      </c>
      <c r="R70" s="10" t="inlineStr">
        <is>
          <t>No</t>
        </is>
      </c>
      <c r="S70" s="11" t="inlineStr">
        <is>
          <t>Sin artículo en el catálogo (Mist Catcher MC-1) — PENDIENTE DE CREAR EN ZOHO</t>
        </is>
      </c>
      <c r="T70" s="11" t="inlineStr">
        <is>
          <t>P-ST-019-MAN MTTO APMA370 V2</t>
        </is>
      </c>
      <c r="U70" s="17" t="inlineStr">
        <is>
          <t>Pendiente</t>
        </is>
      </c>
      <c r="V70" s="17" t="n"/>
      <c r="W70" s="10">
        <f>IF($G70&lt;&gt;"Numérico","",IF($V70="","Sin dato",IF(AND(OR(NOT(ISNUMBER($O70)),$V70&gt;=$O70),OR(NOT(ISNUMBER($P70)),$V70&lt;=$P70)),"Dentro de rango","Fuera de rango")))</f>
        <v/>
      </c>
      <c r="X70" s="17" t="n"/>
      <c r="Y70" s="18" t="n"/>
      <c r="Z70" s="16">
        <f>IF(OR($U70="",$U70="Conforme",$U70="No aplica",$U70="Pendiente"),"",$N70&amp;IF($W70="Fuera de rango"," Valor medido: "&amp;TEXT($V70,"0.####")&amp;IF($H70="",""," "&amp;$H70)&amp;IF(AND(ISNUMBER($O70),$V70&lt;$O70),", por debajo del límite inferior de "&amp;TEXT($O70,"0.####")&amp;IF($H70="",""," "&amp;$H70),"")&amp;IF(AND(ISNUMBER($P70),$V70&gt;$P70),", por encima del límite superior de "&amp;TEXT($P70,"0.####")&amp;IF($H70="",""," "&amp;$H70),"")&amp;".","")&amp;IF($Y70="",""," "&amp;$Y70&amp;IF(RIGHT($Y70,1)=".","","."))&amp;" Acción recomendada: "&amp;$M70&amp;IF(RIGHT($M70,1)=".","",".")&amp;IF($J70="Bloqueante"," El equipo no se libera hasta resolver este hallazgo.",IF($J70="Cobrable"," Se incluye en la cotización de repuestos y consumibles."," Se deja registrado como observación.")))</f>
        <v/>
      </c>
    </row>
    <row r="71" ht="48" customHeight="1">
      <c r="A71" s="10" t="inlineStr">
        <is>
          <t>8.1.5</t>
        </is>
      </c>
      <c r="B71" s="10" t="inlineStr">
        <is>
          <t>8. Filtros y consumibles</t>
        </is>
      </c>
      <c r="C71" s="10" t="inlineStr">
        <is>
          <t>8.1 Horómetros de consumibles</t>
        </is>
      </c>
      <c r="D71" s="11" t="inlineStr">
        <is>
          <t>Horas acumuladas de la bomba completa (P-1-B)</t>
        </is>
      </c>
      <c r="E71" s="11" t="inlineStr">
        <is>
          <t>Horas de funcionamiento de la unidad de bomba electromecánica completa en HOUR METER</t>
        </is>
      </c>
      <c r="F71" s="12" t="inlineStr">
        <is>
          <t>En la pantalla HOUR METER, leer las horas acumuladas de la unidad de bomba (P-1-B). Reiniciar el contador únicamente si se reemplaza la bomba.</t>
        </is>
      </c>
      <c r="G71" s="10" t="inlineStr">
        <is>
          <t>Numérico</t>
        </is>
      </c>
      <c r="H71" s="10" t="inlineStr">
        <is>
          <t>horas</t>
        </is>
      </c>
      <c r="I71" s="11" t="inlineStr">
        <is>
          <t>Contador para programar el reemplazo o reconstrucción del motor de bomba cada 2 años</t>
        </is>
      </c>
      <c r="J71" s="13" t="inlineStr">
        <is>
          <t>Cobrable</t>
        </is>
      </c>
      <c r="K71" s="14" t="inlineStr">
        <is>
          <t>Horómetro por encima del intervalo de dos años</t>
        </is>
      </c>
      <c r="L71" s="15" t="inlineStr">
        <is>
          <t>5.2.1</t>
        </is>
      </c>
      <c r="M71" s="14" t="inlineStr">
        <is>
          <t>Programar el reemplazo de la unidad de bomba y reiniciar el contador</t>
        </is>
      </c>
      <c r="N71" s="16" t="inlineStr">
        <is>
          <t>La bomba de muestreo superó el intervalo de reemplazo recomendado por el fabricante.</t>
        </is>
      </c>
      <c r="O71" s="10" t="n">
        <v>0</v>
      </c>
      <c r="P71" s="10" t="n">
        <v>17520</v>
      </c>
      <c r="Q71" s="10" t="inlineStr">
        <is>
          <t>Sí</t>
        </is>
      </c>
      <c r="R71" s="10" t="inlineStr">
        <is>
          <t>No</t>
        </is>
      </c>
      <c r="S71" s="11" t="inlineStr">
        <is>
          <t>Pump GD-6EH-100 (100～120V) APMA / APNA / APSA / APHA (3014059459)</t>
        </is>
      </c>
      <c r="T71" s="11" t="inlineStr">
        <is>
          <t>P-ST-019-MAN MTTO APMA370 V2</t>
        </is>
      </c>
      <c r="U71" s="17" t="inlineStr">
        <is>
          <t>Pendiente</t>
        </is>
      </c>
      <c r="V71" s="17" t="n"/>
      <c r="W71" s="10">
        <f>IF($G71&lt;&gt;"Numérico","",IF($V71="","Sin dato",IF(AND(OR(NOT(ISNUMBER($O71)),$V71&gt;=$O71),OR(NOT(ISNUMBER($P71)),$V71&lt;=$P71)),"Dentro de rango","Fuera de rango")))</f>
        <v/>
      </c>
      <c r="X71" s="17" t="n"/>
      <c r="Y71" s="18" t="n"/>
      <c r="Z71" s="16">
        <f>IF(OR($U71="",$U71="Conforme",$U71="No aplica",$U71="Pendiente"),"",$N71&amp;IF($W71="Fuera de rango"," Valor medido: "&amp;TEXT($V71,"0.####")&amp;IF($H71="",""," "&amp;$H71)&amp;IF(AND(ISNUMBER($O71),$V71&lt;$O71),", por debajo del límite inferior de "&amp;TEXT($O71,"0.####")&amp;IF($H71="",""," "&amp;$H71),"")&amp;IF(AND(ISNUMBER($P71),$V71&gt;$P71),", por encima del límite superior de "&amp;TEXT($P71,"0.####")&amp;IF($H71="",""," "&amp;$H71),"")&amp;".","")&amp;IF($Y71="",""," "&amp;$Y71&amp;IF(RIGHT($Y71,1)=".","","."))&amp;" Acción recomendada: "&amp;$M71&amp;IF(RIGHT($M71,1)=".","",".")&amp;IF($J71="Bloqueante"," El equipo no se libera hasta resolver este hallazgo.",IF($J71="Cobrable"," Se incluye en la cotización de repuestos y consumibles."," Se deja registrado como observación.")))</f>
        <v/>
      </c>
    </row>
    <row r="72" ht="48" customHeight="1">
      <c r="A72" s="10" t="inlineStr">
        <is>
          <t>8.2.1</t>
        </is>
      </c>
      <c r="B72" s="10" t="inlineStr">
        <is>
          <t>8. Filtros y consumibles</t>
        </is>
      </c>
      <c r="C72" s="10" t="inlineStr">
        <is>
          <t>8.2 Filtros de chasis</t>
        </is>
      </c>
      <c r="D72" s="11" t="inlineStr">
        <is>
          <t>Obstrucción de esponjas disipadoras (Filter Sponge)</t>
        </is>
      </c>
      <c r="E72" s="11" t="inlineStr">
        <is>
          <t>Acumulación de polvo e integridad física de los filtros de esponja superiores del chasis</t>
        </is>
      </c>
      <c r="F72" s="12" t="inlineStr">
        <is>
          <t>Retirar las esponjas de la cubierta y del ventilador, examinarlas a contraluz y comprobar el paso de aire. Lavarlas con agua y dejarlas secar completamente antes de reinstalar.</t>
        </is>
      </c>
      <c r="G72" s="10" t="inlineStr">
        <is>
          <t>OK / No OK</t>
        </is>
      </c>
      <c r="H72" s="10" t="inlineStr"/>
      <c r="I72" s="11" t="inlineStr">
        <is>
          <t>Esponjas de poliuretano limpias y permeables al aire, para mantener la refrigeración interna</t>
        </is>
      </c>
      <c r="J72" s="13" t="inlineStr">
        <is>
          <t>Cobrable</t>
        </is>
      </c>
      <c r="K72" s="14" t="inlineStr">
        <is>
          <t>Polvo del shelter acumulado: reduce el aire de enfriamiento</t>
        </is>
      </c>
      <c r="L72" s="15" t="inlineStr">
        <is>
          <t>10.2.1 ; 9.1.1</t>
        </is>
      </c>
      <c r="M72" s="14" t="inlineStr">
        <is>
          <t>Lavar o reemplazar las esponjas y revisar el nivel de polvo de la cabina</t>
        </is>
      </c>
      <c r="N72" s="16" t="inlineStr">
        <is>
          <t>Los filtros de ventilación del chasis se encuentran obstruidos por polvo, lo que reduce la refrigeración del analizador.</t>
        </is>
      </c>
      <c r="O72" s="10" t="n"/>
      <c r="P72" s="10" t="n"/>
      <c r="Q72" s="10" t="inlineStr">
        <is>
          <t>Sí</t>
        </is>
      </c>
      <c r="R72" s="10" t="inlineStr">
        <is>
          <t>Sí</t>
        </is>
      </c>
      <c r="S72" s="11" t="inlineStr">
        <is>
          <t>Filter Sponge (3012299939)</t>
        </is>
      </c>
      <c r="T72" s="11" t="inlineStr">
        <is>
          <t>MT_191TE0NC_APMA370_241226 / MT_U7D80D0J_APMA370_260116</t>
        </is>
      </c>
      <c r="U72" s="17" t="inlineStr">
        <is>
          <t>Pendiente</t>
        </is>
      </c>
      <c r="V72" s="17" t="n"/>
      <c r="W72" s="10">
        <f>IF($G72&lt;&gt;"Numérico","",IF($V72="","Sin dato",IF(AND(OR(NOT(ISNUMBER($O72)),$V72&gt;=$O72),OR(NOT(ISNUMBER($P72)),$V72&lt;=$P72)),"Dentro de rango","Fuera de rango")))</f>
        <v/>
      </c>
      <c r="X72" s="17" t="n"/>
      <c r="Y72" s="18" t="n"/>
      <c r="Z72" s="16">
        <f>IF(OR($U72="",$U72="Conforme",$U72="No aplica",$U72="Pendiente"),"",$N72&amp;IF($W72="Fuera de rango"," Valor medido: "&amp;TEXT($V72,"0.####")&amp;IF($H72="",""," "&amp;$H72)&amp;IF(AND(ISNUMBER($O72),$V72&lt;$O72),", por debajo del límite inferior de "&amp;TEXT($O72,"0.####")&amp;IF($H72="",""," "&amp;$H72),"")&amp;IF(AND(ISNUMBER($P72),$V72&gt;$P72),", por encima del límite superior de "&amp;TEXT($P72,"0.####")&amp;IF($H72="",""," "&amp;$H72),"")&amp;".","")&amp;IF($Y72="",""," "&amp;$Y72&amp;IF(RIGHT($Y72,1)=".","","."))&amp;" Acción recomendada: "&amp;$M72&amp;IF(RIGHT($M72,1)=".","",".")&amp;IF($J72="Bloqueante"," El equipo no se libera hasta resolver este hallazgo.",IF($J72="Cobrable"," Se incluye en la cotización de repuestos y consumibles."," Se deja registrado como observación.")))</f>
        <v/>
      </c>
    </row>
    <row r="73" ht="48" customHeight="1">
      <c r="A73" s="10" t="inlineStr">
        <is>
          <t>9.1.1</t>
        </is>
      </c>
      <c r="B73" s="10" t="inlineStr">
        <is>
          <t>9. Sensores auxiliares</t>
        </is>
      </c>
      <c r="C73" s="10" t="inlineStr">
        <is>
          <t>9.1 Temperatura</t>
        </is>
      </c>
      <c r="D73" s="11" t="inlineStr">
        <is>
          <t>Temperatura de la celda de medida (CELL)</t>
        </is>
      </c>
      <c r="E73" s="11" t="inlineStr">
        <is>
          <t>Temperatura del compartimiento calentado de la celda óptica en ANALOG INPUT</t>
        </is>
      </c>
      <c r="F73" s="12" t="inlineStr">
        <is>
          <t>Leer el valor CELL en MENU / MAINTENANCE / ANALOG INPUT y, en paralelo, medir la temperatura ambiente de la sala. Verificar que la diferencia esté dentro de lo especificado.</t>
        </is>
      </c>
      <c r="G73" s="10" t="inlineStr">
        <is>
          <t>Numérico</t>
        </is>
      </c>
      <c r="H73" s="10" t="inlineStr">
        <is>
          <t>°C</t>
        </is>
      </c>
      <c r="I73" s="11" t="inlineStr">
        <is>
          <t>Valor estándar: temperatura ambiente + 5 a 15 °C (rango típico 30 a 55 °C)</t>
        </is>
      </c>
      <c r="J73" s="13" t="inlineStr">
        <is>
          <t>Bloqueante</t>
        </is>
      </c>
      <c r="K73" s="14" t="inlineStr">
        <is>
          <t>Temperatura de sala fuera de rango, termistor dañado, o lazo de calentamiento inoperante</t>
        </is>
      </c>
      <c r="L73" s="15" t="inlineStr">
        <is>
          <t>10.4.1 ; 7.1.3 ; 8.2.1</t>
        </is>
      </c>
      <c r="M73" s="14" t="inlineStr">
        <is>
          <t>Descartar primero la sala; una lectura absurda (muy alta o negativa) apunta al termistor</t>
        </is>
      </c>
      <c r="N73" s="16" t="inlineStr">
        <is>
          <t>La temperatura de la celda de medida se encuentra fuera del rango de operación especificado.</t>
        </is>
      </c>
      <c r="O73" s="10" t="n">
        <v>30</v>
      </c>
      <c r="P73" s="10" t="n">
        <v>55</v>
      </c>
      <c r="Q73" s="10" t="inlineStr">
        <is>
          <t>Sí</t>
        </is>
      </c>
      <c r="R73" s="10" t="inlineStr">
        <is>
          <t>No</t>
        </is>
      </c>
      <c r="S73" s="11" t="inlineStr"/>
      <c r="T73" s="11" t="inlineStr">
        <is>
          <t>P-ST-018-MAN OPER APMA 370 V2</t>
        </is>
      </c>
      <c r="U73" s="17" t="inlineStr">
        <is>
          <t>Pendiente</t>
        </is>
      </c>
      <c r="V73" s="17" t="n"/>
      <c r="W73" s="10">
        <f>IF($G73&lt;&gt;"Numérico","",IF($V73="","Sin dato",IF(AND(OR(NOT(ISNUMBER($O73)),$V73&gt;=$O73),OR(NOT(ISNUMBER($P73)),$V73&lt;=$P73)),"Dentro de rango","Fuera de rango")))</f>
        <v/>
      </c>
      <c r="X73" s="17" t="n"/>
      <c r="Y73" s="18" t="n"/>
      <c r="Z73" s="16">
        <f>IF(OR($U73="",$U73="Conforme",$U73="No aplica",$U73="Pendiente"),"",$N73&amp;IF($W73="Fuera de rango"," Valor medido: "&amp;TEXT($V73,"0.####")&amp;IF($H73="",""," "&amp;$H73)&amp;IF(AND(ISNUMBER($O73),$V73&lt;$O73),", por debajo del límite inferior de "&amp;TEXT($O73,"0.####")&amp;IF($H73="",""," "&amp;$H73),"")&amp;IF(AND(ISNUMBER($P73),$V73&gt;$P73),", por encima del límite superior de "&amp;TEXT($P73,"0.####")&amp;IF($H73="",""," "&amp;$H73),"")&amp;".","")&amp;IF($Y73="",""," "&amp;$Y73&amp;IF(RIGHT($Y73,1)=".","","."))&amp;" Acción recomendada: "&amp;$M73&amp;IF(RIGHT($M73,1)=".","",".")&amp;IF($J73="Bloqueante"," El equipo no se libera hasta resolver este hallazgo.",IF($J73="Cobrable"," Se incluye en la cotización de repuestos y consumibles."," Se deja registrado como observación.")))</f>
        <v/>
      </c>
    </row>
    <row r="74" ht="48" customHeight="1">
      <c r="A74" s="10" t="inlineStr">
        <is>
          <t>9.1.2</t>
        </is>
      </c>
      <c r="B74" s="10" t="inlineStr">
        <is>
          <t>9. Sensores auxiliares</t>
        </is>
      </c>
      <c r="C74" s="10" t="inlineStr">
        <is>
          <t>9.1 Temperatura</t>
        </is>
      </c>
      <c r="D74" s="11" t="inlineStr">
        <is>
          <t>Sensor de temperatura del catalizador de CO (CAT)</t>
        </is>
      </c>
      <c r="E74" s="11" t="inlineStr">
        <is>
          <t>Lazo térmico de temperatura del catalizador de CO para oxidación de la referencia</t>
        </is>
      </c>
      <c r="F74" s="12" t="inlineStr">
        <is>
          <t>Verificar en ANALOG INPUT que no haya alarma de temperatura de catalizador, y confirmar por tacto con el debido cuidado que la carcasa del CAT-1 esté caliente.</t>
        </is>
      </c>
      <c r="G74" s="10" t="inlineStr">
        <is>
          <t>OK / No OK</t>
        </is>
      </c>
      <c r="H74" s="10" t="inlineStr"/>
      <c r="I74" s="11" t="inlineStr">
        <is>
          <t>Temperatura del horno catalítico estable; su descenso drástico dispara la alarma CAT</t>
        </is>
      </c>
      <c r="J74" s="13" t="inlineStr">
        <is>
          <t>Bloqueante</t>
        </is>
      </c>
      <c r="K74" s="14" t="inlineStr">
        <is>
          <t>Calentamiento incompleto, resistencia abierta o termocupla dañada</t>
        </is>
      </c>
      <c r="L74" s="15" t="inlineStr">
        <is>
          <t>1.3.1 ; 6.4.1 ; 7.1.4</t>
        </is>
      </c>
      <c r="M74" s="14" t="inlineStr">
        <is>
          <t>Esperar 1 h de calentamiento; si la alarma persiste, medir continuidad de resistencia y termocupla</t>
        </is>
      </c>
      <c r="N74" s="16" t="inlineStr">
        <is>
          <t>El lazo de control de temperatura del catalizador no alcanza o no mantiene su valor de operación.</t>
        </is>
      </c>
      <c r="O74" s="10" t="n"/>
      <c r="P74" s="10" t="n"/>
      <c r="Q74" s="10" t="inlineStr">
        <is>
          <t>Sí</t>
        </is>
      </c>
      <c r="R74" s="10" t="inlineStr">
        <is>
          <t>Sí</t>
        </is>
      </c>
      <c r="S74" s="11" t="inlineStr">
        <is>
          <t>Heat Insulator (3012168489)</t>
        </is>
      </c>
      <c r="T74" s="11" t="inlineStr">
        <is>
          <t>P-ST-018-MAN OPER APMA 370 V2</t>
        </is>
      </c>
      <c r="U74" s="17" t="inlineStr">
        <is>
          <t>Pendiente</t>
        </is>
      </c>
      <c r="V74" s="17" t="n"/>
      <c r="W74" s="10">
        <f>IF($G74&lt;&gt;"Numérico","",IF($V74="","Sin dato",IF(AND(OR(NOT(ISNUMBER($O74)),$V74&gt;=$O74),OR(NOT(ISNUMBER($P74)),$V74&lt;=$P74)),"Dentro de rango","Fuera de rango")))</f>
        <v/>
      </c>
      <c r="X74" s="17" t="n"/>
      <c r="Y74" s="18" t="n"/>
      <c r="Z74" s="16">
        <f>IF(OR($U74="",$U74="Conforme",$U74="No aplica",$U74="Pendiente"),"",$N74&amp;IF($W74="Fuera de rango"," Valor medido: "&amp;TEXT($V74,"0.####")&amp;IF($H74="",""," "&amp;$H74)&amp;IF(AND(ISNUMBER($O74),$V74&lt;$O74),", por debajo del límite inferior de "&amp;TEXT($O74,"0.####")&amp;IF($H74="",""," "&amp;$H74),"")&amp;IF(AND(ISNUMBER($P74),$V74&gt;$P74),", por encima del límite superior de "&amp;TEXT($P74,"0.####")&amp;IF($H74="",""," "&amp;$H74),"")&amp;".","")&amp;IF($Y74="",""," "&amp;$Y74&amp;IF(RIGHT($Y74,1)=".","","."))&amp;" Acción recomendada: "&amp;$M74&amp;IF(RIGHT($M74,1)=".","",".")&amp;IF($J74="Bloqueante"," El equipo no se libera hasta resolver este hallazgo.",IF($J74="Cobrable"," Se incluye en la cotización de repuestos y consumibles."," Se deja registrado como observación.")))</f>
        <v/>
      </c>
    </row>
    <row r="75" ht="48" customHeight="1">
      <c r="A75" s="10" t="inlineStr">
        <is>
          <t>9.2.1</t>
        </is>
      </c>
      <c r="B75" s="10" t="inlineStr">
        <is>
          <t>9. Sensores auxiliares</t>
        </is>
      </c>
      <c r="C75" s="10" t="inlineStr">
        <is>
          <t>9.2 Presión</t>
        </is>
      </c>
      <c r="D75" s="11" t="inlineStr">
        <is>
          <t>Presión barométrica ambiental (AMBIENT)</t>
        </is>
      </c>
      <c r="E75" s="11" t="inlineStr">
        <is>
          <t>Presión barométrica registrada por el transductor piezoeléctrico en ANALOG INPUT</t>
        </is>
      </c>
      <c r="F75" s="12" t="inlineStr">
        <is>
          <t>Leer el valor AMBIENT en MENU / MAINTENANCE / ANALOG INPUT y compararlo con la presión barométrica de referencia del sitio.</t>
        </is>
      </c>
      <c r="G75" s="10" t="inlineStr">
        <is>
          <t>Numérico</t>
        </is>
      </c>
      <c r="H75" s="10" t="inlineStr">
        <is>
          <t>kPa</t>
        </is>
      </c>
      <c r="I75" s="11" t="inlineStr">
        <is>
          <t>Presión ambiental del sitio; usada para corregir la densidad del gas según la altitud</t>
        </is>
      </c>
      <c r="J75" s="13" t="inlineStr">
        <is>
          <t>Bloqueante</t>
        </is>
      </c>
      <c r="K75" s="14" t="inlineStr">
        <is>
          <t>Sensor descalibrado por la altitud del sitio, o transductor dañado</t>
        </is>
      </c>
      <c r="L75" s="15" t="inlineStr">
        <is>
          <t>9.2.2</t>
        </is>
      </c>
      <c r="M75" s="14" t="inlineStr">
        <is>
          <t>Compensar el intercepto con PRESS ADJUSTMENT; si no responde, reemplazar la tarjeta que integra el sensor</t>
        </is>
      </c>
      <c r="N75" s="16" t="inlineStr">
        <is>
          <t>La lectura de presión barométrica del analizador no corresponde a la presión real del sitio.</t>
        </is>
      </c>
      <c r="O75" s="10" t="n">
        <v>50</v>
      </c>
      <c r="P75" s="10" t="n">
        <v>115</v>
      </c>
      <c r="Q75" s="10" t="inlineStr">
        <is>
          <t>Sí</t>
        </is>
      </c>
      <c r="R75" s="10" t="inlineStr">
        <is>
          <t>No</t>
        </is>
      </c>
      <c r="S75" s="11" t="inlineStr"/>
      <c r="T75" s="11" t="inlineStr">
        <is>
          <t>P-ST-018-MAN OPER APMA 370 V2 / Procedimiento Ajuste de Presión Ambiente</t>
        </is>
      </c>
      <c r="U75" s="17" t="inlineStr">
        <is>
          <t>Pendiente</t>
        </is>
      </c>
      <c r="V75" s="17" t="n"/>
      <c r="W75" s="10">
        <f>IF($G75&lt;&gt;"Numérico","",IF($V75="","Sin dato",IF(AND(OR(NOT(ISNUMBER($O75)),$V75&gt;=$O75),OR(NOT(ISNUMBER($P75)),$V75&lt;=$P75)),"Dentro de rango","Fuera de rango")))</f>
        <v/>
      </c>
      <c r="X75" s="17" t="n"/>
      <c r="Y75" s="18" t="n"/>
      <c r="Z75" s="16">
        <f>IF(OR($U75="",$U75="Conforme",$U75="No aplica",$U75="Pendiente"),"",$N75&amp;IF($W75="Fuera de rango"," Valor medido: "&amp;TEXT($V75,"0.####")&amp;IF($H75="",""," "&amp;$H75)&amp;IF(AND(ISNUMBER($O75),$V75&lt;$O75),", por debajo del límite inferior de "&amp;TEXT($O75,"0.####")&amp;IF($H75="",""," "&amp;$H75),"")&amp;IF(AND(ISNUMBER($P75),$V75&gt;$P75),", por encima del límite superior de "&amp;TEXT($P75,"0.####")&amp;IF($H75="",""," "&amp;$H75),"")&amp;".","")&amp;IF($Y75="",""," "&amp;$Y75&amp;IF(RIGHT($Y75,1)=".","","."))&amp;" Acción recomendada: "&amp;$M75&amp;IF(RIGHT($M75,1)=".","",".")&amp;IF($J75="Bloqueante"," El equipo no se libera hasta resolver este hallazgo.",IF($J75="Cobrable"," Se incluye en la cotización de repuestos y consumibles."," Se deja registrado como observación.")))</f>
        <v/>
      </c>
    </row>
    <row r="76" ht="48" customHeight="1">
      <c r="A76" s="10" t="inlineStr">
        <is>
          <t>9.2.2</t>
        </is>
      </c>
      <c r="B76" s="10" t="inlineStr">
        <is>
          <t>9. Sensores auxiliares</t>
        </is>
      </c>
      <c r="C76" s="10" t="inlineStr">
        <is>
          <t>9.2 Presión</t>
        </is>
      </c>
      <c r="D76" s="11" t="inlineStr">
        <is>
          <t>Desviación de los sensores de presión</t>
        </is>
      </c>
      <c r="E76" s="11" t="inlineStr">
        <is>
          <t>Desvío entre las lecturas internas de presión y los barómetros de referencia</t>
        </is>
      </c>
      <c r="F76" s="12" t="inlineStr">
        <is>
          <t>Con un barómetro patrón calibrado junto al equipo, comparar su lectura contra el valor AMBIENT en pantalla y calcular la desviación porcentual.</t>
        </is>
      </c>
      <c r="G76" s="10" t="inlineStr">
        <is>
          <t>Numérico</t>
        </is>
      </c>
      <c r="H76" s="10" t="inlineStr">
        <is>
          <t>%</t>
        </is>
      </c>
      <c r="I76" s="11" t="inlineStr">
        <is>
          <t>La desviación entre el patrón externo y el valor en pantalla debe ser menor al 2 %</t>
        </is>
      </c>
      <c r="J76" s="13" t="inlineStr">
        <is>
          <t>Bloqueante</t>
        </is>
      </c>
      <c r="K76" s="14" t="inlineStr">
        <is>
          <t>Corrimiento de offset del transductor respecto al barómetro patrón</t>
        </is>
      </c>
      <c r="L76" s="15" t="inlineStr">
        <is>
          <t>9.2.1 ; 5.1.2</t>
        </is>
      </c>
      <c r="M76" s="14" t="inlineStr">
        <is>
          <t>Ajustar el offset por software y volver a comparar contra el patrón</t>
        </is>
      </c>
      <c r="N76" s="16" t="inlineStr">
        <is>
          <t>Los sensores de presión del analizador presentan una desviación superior a la tolerancia frente al patrón de referencia.</t>
        </is>
      </c>
      <c r="O76" s="10" t="n">
        <v>0</v>
      </c>
      <c r="P76" s="10" t="n">
        <v>2</v>
      </c>
      <c r="Q76" s="10" t="inlineStr">
        <is>
          <t>Sí</t>
        </is>
      </c>
      <c r="R76" s="10" t="inlineStr">
        <is>
          <t>No</t>
        </is>
      </c>
      <c r="S76" s="11" t="inlineStr"/>
      <c r="T76" s="11" t="inlineStr">
        <is>
          <t>P-ST-018-MAN OPER APMA 370 V2 / Service Manual</t>
        </is>
      </c>
      <c r="U76" s="17" t="inlineStr">
        <is>
          <t>Pendiente</t>
        </is>
      </c>
      <c r="V76" s="17" t="n"/>
      <c r="W76" s="10">
        <f>IF($G76&lt;&gt;"Numérico","",IF($V76="","Sin dato",IF(AND(OR(NOT(ISNUMBER($O76)),$V76&gt;=$O76),OR(NOT(ISNUMBER($P76)),$V76&lt;=$P76)),"Dentro de rango","Fuera de rango")))</f>
        <v/>
      </c>
      <c r="X76" s="17" t="n"/>
      <c r="Y76" s="18" t="n"/>
      <c r="Z76" s="16">
        <f>IF(OR($U76="",$U76="Conforme",$U76="No aplica",$U76="Pendiente"),"",$N76&amp;IF($W76="Fuera de rango"," Valor medido: "&amp;TEXT($V76,"0.####")&amp;IF($H76="",""," "&amp;$H76)&amp;IF(AND(ISNUMBER($O76),$V76&lt;$O76),", por debajo del límite inferior de "&amp;TEXT($O76,"0.####")&amp;IF($H76="",""," "&amp;$H76),"")&amp;IF(AND(ISNUMBER($P76),$V76&gt;$P76),", por encima del límite superior de "&amp;TEXT($P76,"0.####")&amp;IF($H76="",""," "&amp;$H76),"")&amp;".","")&amp;IF($Y76="",""," "&amp;$Y76&amp;IF(RIGHT($Y76,1)=".","","."))&amp;" Acción recomendada: "&amp;$M76&amp;IF(RIGHT($M76,1)=".","",".")&amp;IF($J76="Bloqueante"," El equipo no se libera hasta resolver este hallazgo.",IF($J76="Cobrable"," Se incluye en la cotización de repuestos y consumibles."," Se deja registrado como observación.")))</f>
        <v/>
      </c>
    </row>
    <row r="77" ht="48" customHeight="1">
      <c r="A77" s="10" t="inlineStr">
        <is>
          <t>9.3.1</t>
        </is>
      </c>
      <c r="B77" s="10" t="inlineStr">
        <is>
          <t>9. Sensores auxiliares</t>
        </is>
      </c>
      <c r="C77" s="10" t="inlineStr">
        <is>
          <t>9.3 Tensiones internas</t>
        </is>
      </c>
      <c r="D77" s="11" t="inlineStr">
        <is>
          <t>Tensión interna del riel DC 24 V</t>
        </is>
      </c>
      <c r="E77" s="11" t="inlineStr">
        <is>
          <t>Tensión del bus DC secundario de alimentación de periféricos en ANALOG INPUT</t>
        </is>
      </c>
      <c r="F77" s="12" t="inlineStr">
        <is>
          <t>Leer el valor DC 24V en la segunda página de ANALOG INPUT. Para verificación independiente, medir con multímetro en el punto de prueba de 24 V de la tarjeta ADC.</t>
        </is>
      </c>
      <c r="G77" s="10" t="inlineStr">
        <is>
          <t>Numérico</t>
        </is>
      </c>
      <c r="H77" s="10" t="inlineStr">
        <is>
          <t>V</t>
        </is>
      </c>
      <c r="I77" s="11" t="inlineStr">
        <is>
          <t>Debe estar dentro de la tolerancia de 24 V ± 0,5 V</t>
        </is>
      </c>
      <c r="J77" s="13" t="inlineStr">
        <is>
          <t>Bloqueante</t>
        </is>
      </c>
      <c r="K77" s="14" t="inlineStr">
        <is>
          <t>Fuente degradada o carga excesiva sobre el riel</t>
        </is>
      </c>
      <c r="L77" s="15" t="inlineStr">
        <is>
          <t>7.4.1 ; 10.5.1</t>
        </is>
      </c>
      <c r="M77" s="14" t="inlineStr">
        <is>
          <t>Medir en el punto de prueba de la tarjeta; si la fuente no regula, reemplazarla</t>
        </is>
      </c>
      <c r="N77" s="16" t="inlineStr">
        <is>
          <t>La tensión interna de 24 V del analizador se encuentra fuera de tolerancia.</t>
        </is>
      </c>
      <c r="O77" s="10" t="n">
        <v>23.5</v>
      </c>
      <c r="P77" s="10" t="n">
        <v>24.5</v>
      </c>
      <c r="Q77" s="10" t="inlineStr">
        <is>
          <t>Sí</t>
        </is>
      </c>
      <c r="R77" s="10" t="inlineStr">
        <is>
          <t>No</t>
        </is>
      </c>
      <c r="S77" s="11" t="inlineStr"/>
      <c r="T77" s="11" t="inlineStr">
        <is>
          <t>P-ST-018-MAN OPER APMA 370 V2 / Service Manual</t>
        </is>
      </c>
      <c r="U77" s="17" t="inlineStr">
        <is>
          <t>Pendiente</t>
        </is>
      </c>
      <c r="V77" s="17" t="n"/>
      <c r="W77" s="10">
        <f>IF($G77&lt;&gt;"Numérico","",IF($V77="","Sin dato",IF(AND(OR(NOT(ISNUMBER($O77)),$V77&gt;=$O77),OR(NOT(ISNUMBER($P77)),$V77&lt;=$P77)),"Dentro de rango","Fuera de rango")))</f>
        <v/>
      </c>
      <c r="X77" s="17" t="n"/>
      <c r="Y77" s="18" t="n"/>
      <c r="Z77" s="16">
        <f>IF(OR($U77="",$U77="Conforme",$U77="No aplica",$U77="Pendiente"),"",$N77&amp;IF($W77="Fuera de rango"," Valor medido: "&amp;TEXT($V77,"0.####")&amp;IF($H77="",""," "&amp;$H77)&amp;IF(AND(ISNUMBER($O77),$V77&lt;$O77),", por debajo del límite inferior de "&amp;TEXT($O77,"0.####")&amp;IF($H77="",""," "&amp;$H77),"")&amp;IF(AND(ISNUMBER($P77),$V77&gt;$P77),", por encima del límite superior de "&amp;TEXT($P77,"0.####")&amp;IF($H77="",""," "&amp;$H77),"")&amp;".","")&amp;IF($Y77="",""," "&amp;$Y77&amp;IF(RIGHT($Y77,1)=".","","."))&amp;" Acción recomendada: "&amp;$M77&amp;IF(RIGHT($M77,1)=".","",".")&amp;IF($J77="Bloqueante"," El equipo no se libera hasta resolver este hallazgo.",IF($J77="Cobrable"," Se incluye en la cotización de repuestos y consumibles."," Se deja registrado como observación.")))</f>
        <v/>
      </c>
    </row>
    <row r="78" ht="48" customHeight="1">
      <c r="A78" s="10" t="inlineStr">
        <is>
          <t>9.3.2</t>
        </is>
      </c>
      <c r="B78" s="10" t="inlineStr">
        <is>
          <t>9. Sensores auxiliares</t>
        </is>
      </c>
      <c r="C78" s="10" t="inlineStr">
        <is>
          <t>9.3 Tensiones internas</t>
        </is>
      </c>
      <c r="D78" s="11" t="inlineStr">
        <is>
          <t>Tensión interna del riel DC 5 V</t>
        </is>
      </c>
      <c r="E78" s="11" t="inlineStr">
        <is>
          <t>Tensión de alimentación regulada del microcontrolador lógico en ANALOG INPUT</t>
        </is>
      </c>
      <c r="F78" s="12" t="inlineStr">
        <is>
          <t>Leer el valor DC 5V en la segunda página de ANALOG INPUT. Para verificación independiente, medir con multímetro en el punto de prueba de 5 V de la tarjeta ADC.</t>
        </is>
      </c>
      <c r="G78" s="10" t="inlineStr">
        <is>
          <t>Numérico</t>
        </is>
      </c>
      <c r="H78" s="10" t="inlineStr">
        <is>
          <t>V</t>
        </is>
      </c>
      <c r="I78" s="11" t="inlineStr">
        <is>
          <t>Debe estar dentro de la tolerancia de 5 V ± 0,5 V</t>
        </is>
      </c>
      <c r="J78" s="13" t="inlineStr">
        <is>
          <t>Bloqueante</t>
        </is>
      </c>
      <c r="K78" s="14" t="inlineStr">
        <is>
          <t>Regulador de la fuente fuera de tolerancia</t>
        </is>
      </c>
      <c r="L78" s="15" t="inlineStr">
        <is>
          <t>7.4.1 ; 10.5.1</t>
        </is>
      </c>
      <c r="M78" s="14" t="inlineStr">
        <is>
          <t>Medir en el punto de prueba; si está fuera de ±0,5 V, reemplazar la fuente</t>
        </is>
      </c>
      <c r="N78" s="16" t="inlineStr">
        <is>
          <t>La tensión interna de 5 V del analizador se encuentra fuera de tolerancia.</t>
        </is>
      </c>
      <c r="O78" s="10" t="n">
        <v>4.5</v>
      </c>
      <c r="P78" s="10" t="n">
        <v>5.5</v>
      </c>
      <c r="Q78" s="10" t="inlineStr">
        <is>
          <t>Sí</t>
        </is>
      </c>
      <c r="R78" s="10" t="inlineStr">
        <is>
          <t>No</t>
        </is>
      </c>
      <c r="S78" s="11" t="inlineStr"/>
      <c r="T78" s="11" t="inlineStr">
        <is>
          <t>P-ST-018-MAN OPER APMA 370 V2 / Service Manual</t>
        </is>
      </c>
      <c r="U78" s="17" t="inlineStr">
        <is>
          <t>Pendiente</t>
        </is>
      </c>
      <c r="V78" s="17" t="n"/>
      <c r="W78" s="10">
        <f>IF($G78&lt;&gt;"Numérico","",IF($V78="","Sin dato",IF(AND(OR(NOT(ISNUMBER($O78)),$V78&gt;=$O78),OR(NOT(ISNUMBER($P78)),$V78&lt;=$P78)),"Dentro de rango","Fuera de rango")))</f>
        <v/>
      </c>
      <c r="X78" s="17" t="n"/>
      <c r="Y78" s="18" t="n"/>
      <c r="Z78" s="16">
        <f>IF(OR($U78="",$U78="Conforme",$U78="No aplica",$U78="Pendiente"),"",$N78&amp;IF($W78="Fuera de rango"," Valor medido: "&amp;TEXT($V78,"0.####")&amp;IF($H78="",""," "&amp;$H78)&amp;IF(AND(ISNUMBER($O78),$V78&lt;$O78),", por debajo del límite inferior de "&amp;TEXT($O78,"0.####")&amp;IF($H78="",""," "&amp;$H78),"")&amp;IF(AND(ISNUMBER($P78),$V78&gt;$P78),", por encima del límite superior de "&amp;TEXT($P78,"0.####")&amp;IF($H78="",""," "&amp;$H78),"")&amp;".","")&amp;IF($Y78="",""," "&amp;$Y78&amp;IF(RIGHT($Y78,1)=".","","."))&amp;" Acción recomendada: "&amp;$M78&amp;IF(RIGHT($M78,1)=".","",".")&amp;IF($J78="Bloqueante"," El equipo no se libera hasta resolver este hallazgo.",IF($J78="Cobrable"," Se incluye en la cotización de repuestos y consumibles."," Se deja registrado como observación.")))</f>
        <v/>
      </c>
    </row>
    <row r="79" ht="48" customHeight="1">
      <c r="A79" s="10" t="inlineStr">
        <is>
          <t>10.1.1</t>
        </is>
      </c>
      <c r="B79" s="10" t="inlineStr">
        <is>
          <t>10. Gabinete, montaje e instalación</t>
        </is>
      </c>
      <c r="C79" s="10" t="inlineStr">
        <is>
          <t>10.1 Chasis y puerta frontal</t>
        </is>
      </c>
      <c r="D79" s="11" t="inlineStr">
        <is>
          <t>Ajuste y fijación de la puerta frontal</t>
        </is>
      </c>
      <c r="E79" s="11" t="inlineStr">
        <is>
          <t>Alineación e integridad física de la puerta del panel frontal del gabinete</t>
        </is>
      </c>
      <c r="F79" s="12" t="inlineStr">
        <is>
          <t>Abrir y cerrar la puerta frontal varias veces, verificar que encaje sin forzar y que quede a ras del chasis, y comprobar que la pantalla se pueda presionar sin que la puerta ceda.</t>
        </is>
      </c>
      <c r="G79" s="10" t="inlineStr">
        <is>
          <t>OK / No OK</t>
        </is>
      </c>
      <c r="H79" s="10" t="inlineStr"/>
      <c r="I79" s="11" t="inlineStr">
        <is>
          <t>Puerta encajada firmemente, sin desniveles que impidan presionar adecuadamente la pantalla</t>
        </is>
      </c>
      <c r="J79" s="13" t="inlineStr">
        <is>
          <t>Cobrable</t>
        </is>
      </c>
      <c r="K79" s="14" t="inlineStr">
        <is>
          <t>Bisagra descolgada o casquillo desgastado</t>
        </is>
      </c>
      <c r="L79" s="15" t="inlineStr">
        <is>
          <t>10.1.2 ; 10.1.3</t>
        </is>
      </c>
      <c r="M79" s="14" t="inlineStr">
        <is>
          <t>Reponer casquillos y eje, y realinear la puerta</t>
        </is>
      </c>
      <c r="N79" s="16" t="inlineStr">
        <is>
          <t>La puerta frontal del analizador no cierra alineada, lo que dificulta la operación de la pantalla.</t>
        </is>
      </c>
      <c r="O79" s="10" t="n"/>
      <c r="P79" s="10" t="n"/>
      <c r="Q79" s="10" t="inlineStr">
        <is>
          <t>Sí</t>
        </is>
      </c>
      <c r="R79" s="10" t="inlineStr">
        <is>
          <t>Sí</t>
        </is>
      </c>
      <c r="S79" s="11" t="inlineStr">
        <is>
          <t>Door (3012298155) · Latch, Mini, Screw Type, TL-297-7, NO.1 (3011017097) · Panel, Lock 60 °C 12H F022711600 (3014059988)</t>
        </is>
      </c>
      <c r="T79" s="11" t="inlineStr">
        <is>
          <t>MT_56X1BA8G_APMA370_260109 / MT_2V0CY0DC_APMA370_20060501</t>
        </is>
      </c>
      <c r="U79" s="17" t="inlineStr">
        <is>
          <t>Pendiente</t>
        </is>
      </c>
      <c r="V79" s="17" t="n"/>
      <c r="W79" s="10">
        <f>IF($G79&lt;&gt;"Numérico","",IF($V79="","Sin dato",IF(AND(OR(NOT(ISNUMBER($O79)),$V79&gt;=$O79),OR(NOT(ISNUMBER($P79)),$V79&lt;=$P79)),"Dentro de rango","Fuera de rango")))</f>
        <v/>
      </c>
      <c r="X79" s="17" t="n"/>
      <c r="Y79" s="18" t="n"/>
      <c r="Z79" s="16">
        <f>IF(OR($U79="",$U79="Conforme",$U79="No aplica",$U79="Pendiente"),"",$N79&amp;IF($W79="Fuera de rango"," Valor medido: "&amp;TEXT($V79,"0.####")&amp;IF($H79="",""," "&amp;$H79)&amp;IF(AND(ISNUMBER($O79),$V79&lt;$O79),", por debajo del límite inferior de "&amp;TEXT($O79,"0.####")&amp;IF($H79="",""," "&amp;$H79),"")&amp;IF(AND(ISNUMBER($P79),$V79&gt;$P79),", por encima del límite superior de "&amp;TEXT($P79,"0.####")&amp;IF($H79="",""," "&amp;$H79),"")&amp;".","")&amp;IF($Y79="",""," "&amp;$Y79&amp;IF(RIGHT($Y79,1)=".","","."))&amp;" Acción recomendada: "&amp;$M79&amp;IF(RIGHT($M79,1)=".","",".")&amp;IF($J79="Bloqueante"," El equipo no se libera hasta resolver este hallazgo.",IF($J79="Cobrable"," Se incluye en la cotización de repuestos y consumibles."," Se deja registrado como observación.")))</f>
        <v/>
      </c>
    </row>
    <row r="80" ht="48" customHeight="1">
      <c r="A80" s="10" t="inlineStr">
        <is>
          <t>10.1.2</t>
        </is>
      </c>
      <c r="B80" s="10" t="inlineStr">
        <is>
          <t>10. Gabinete, montaje e instalación</t>
        </is>
      </c>
      <c r="C80" s="10" t="inlineStr">
        <is>
          <t>10.1 Chasis y puerta frontal</t>
        </is>
      </c>
      <c r="D80" s="11" t="inlineStr">
        <is>
          <t>Casquillos de bisagra de la puerta frontal</t>
        </is>
      </c>
      <c r="E80" s="11" t="inlineStr">
        <is>
          <t>Presencia de los casquillos en los puntos de pivote del panel frontal basculante</t>
        </is>
      </c>
      <c r="F80" s="12" t="inlineStr">
        <is>
          <t>Con la puerta abierta, inspeccionar los puntos de pivote superior e inferior y verificar la presencia de los casquillos plásticos. Comprobar que no haya holgura lateral.</t>
        </is>
      </c>
      <c r="G80" s="10" t="inlineStr">
        <is>
          <t>Presente / Ausente</t>
        </is>
      </c>
      <c r="H80" s="10" t="inlineStr"/>
      <c r="I80" s="11" t="inlineStr">
        <is>
          <t>Casquillos plásticos de nylon en buen estado, para alinear simétricamente la apertura</t>
        </is>
      </c>
      <c r="J80" s="13" t="inlineStr">
        <is>
          <t>Cobrable</t>
        </is>
      </c>
      <c r="K80" s="14" t="inlineStr">
        <is>
          <t>Casquillo de nylon desgastado o ausente</t>
        </is>
      </c>
      <c r="L80" s="15" t="inlineStr">
        <is>
          <t>10.1.1</t>
        </is>
      </c>
      <c r="M80" s="14" t="inlineStr">
        <is>
          <t>Reemplazar los casquillos de bisagra</t>
        </is>
      </c>
      <c r="N80" s="16" t="inlineStr">
        <is>
          <t>Los casquillos de bisagra de la puerta frontal están desgastados o ausentes.</t>
        </is>
      </c>
      <c r="O80" s="10" t="n"/>
      <c r="P80" s="10" t="n"/>
      <c r="Q80" s="10" t="inlineStr">
        <is>
          <t>Sí</t>
        </is>
      </c>
      <c r="R80" s="10" t="inlineStr">
        <is>
          <t>Sí</t>
        </is>
      </c>
      <c r="S80" s="11" t="inlineStr">
        <is>
          <t>Door Hinge (3012304034) · Hinji Bush (3012304035)</t>
        </is>
      </c>
      <c r="T80" s="11" t="inlineStr">
        <is>
          <t>MT_P4B4CK60_APMA370_220511</t>
        </is>
      </c>
      <c r="U80" s="17" t="inlineStr">
        <is>
          <t>Pendiente</t>
        </is>
      </c>
      <c r="V80" s="17" t="n"/>
      <c r="W80" s="10">
        <f>IF($G80&lt;&gt;"Numérico","",IF($V80="","Sin dato",IF(AND(OR(NOT(ISNUMBER($O80)),$V80&gt;=$O80),OR(NOT(ISNUMBER($P80)),$V80&lt;=$P80)),"Dentro de rango","Fuera de rango")))</f>
        <v/>
      </c>
      <c r="X80" s="17" t="n"/>
      <c r="Y80" s="18" t="n"/>
      <c r="Z80" s="16">
        <f>IF(OR($U80="",$U80="Conforme",$U80="No aplica",$U80="Pendiente"),"",$N80&amp;IF($W80="Fuera de rango"," Valor medido: "&amp;TEXT($V80,"0.####")&amp;IF($H80="",""," "&amp;$H80)&amp;IF(AND(ISNUMBER($O80),$V80&lt;$O80),", por debajo del límite inferior de "&amp;TEXT($O80,"0.####")&amp;IF($H80="",""," "&amp;$H80),"")&amp;IF(AND(ISNUMBER($P80),$V80&gt;$P80),", por encima del límite superior de "&amp;TEXT($P80,"0.####")&amp;IF($H80="",""," "&amp;$H80),"")&amp;".","")&amp;IF($Y80="",""," "&amp;$Y80&amp;IF(RIGHT($Y80,1)=".","","."))&amp;" Acción recomendada: "&amp;$M80&amp;IF(RIGHT($M80,1)=".","",".")&amp;IF($J80="Bloqueante"," El equipo no se libera hasta resolver este hallazgo.",IF($J80="Cobrable"," Se incluye en la cotización de repuestos y consumibles."," Se deja registrado como observación.")))</f>
        <v/>
      </c>
    </row>
    <row r="81" ht="48" customHeight="1">
      <c r="A81" s="10" t="inlineStr">
        <is>
          <t>10.1.3</t>
        </is>
      </c>
      <c r="B81" s="10" t="inlineStr">
        <is>
          <t>10. Gabinete, montaje e instalación</t>
        </is>
      </c>
      <c r="C81" s="10" t="inlineStr">
        <is>
          <t>10.1 Chasis y puerta frontal</t>
        </is>
      </c>
      <c r="D81" s="11" t="inlineStr">
        <is>
          <t>Eje de bisagra de la puerta frontal</t>
        </is>
      </c>
      <c r="E81" s="11" t="inlineStr">
        <is>
          <t>Presencia de los pasadores cilíndricos metálicos de rotación de la bisagra</t>
        </is>
      </c>
      <c r="F81" s="12" t="inlineStr">
        <is>
          <t>Con la puerta abierta, verificar que los pasadores metálicos de la bisagra estén introducidos a tope y no sobresalgan ni estén desplazados.</t>
        </is>
      </c>
      <c r="G81" s="10" t="inlineStr">
        <is>
          <t>Presente / Ausente</t>
        </is>
      </c>
      <c r="H81" s="10" t="inlineStr"/>
      <c r="I81" s="11" t="inlineStr">
        <is>
          <t>Pasadores metálicos introducidos a tope, para articular con seguridad la compuerta</t>
        </is>
      </c>
      <c r="J81" s="13" t="inlineStr">
        <is>
          <t>Cobrable</t>
        </is>
      </c>
      <c r="K81" s="14" t="inlineStr">
        <is>
          <t>Pasador desplazado o ausente</t>
        </is>
      </c>
      <c r="L81" s="15" t="inlineStr">
        <is>
          <t>10.1.1</t>
        </is>
      </c>
      <c r="M81" s="14" t="inlineStr">
        <is>
          <t>Reponer el pasador a tope</t>
        </is>
      </c>
      <c r="N81" s="16" t="inlineStr">
        <is>
          <t>El eje de la bisagra de la puerta frontal está desplazado o ausente.</t>
        </is>
      </c>
      <c r="O81" s="10" t="n"/>
      <c r="P81" s="10" t="n"/>
      <c r="Q81" s="10" t="inlineStr">
        <is>
          <t>Sí</t>
        </is>
      </c>
      <c r="R81" s="10" t="inlineStr">
        <is>
          <t>Sí</t>
        </is>
      </c>
      <c r="S81" s="11" t="inlineStr">
        <is>
          <t>Door Hinge (3012304034) · Hinge-Shaft (3012297312)</t>
        </is>
      </c>
      <c r="T81" s="11" t="inlineStr">
        <is>
          <t>MT_P4B4CK60_APMA370_220511</t>
        </is>
      </c>
      <c r="U81" s="17" t="inlineStr">
        <is>
          <t>Pendiente</t>
        </is>
      </c>
      <c r="V81" s="17" t="n"/>
      <c r="W81" s="10">
        <f>IF($G81&lt;&gt;"Numérico","",IF($V81="","Sin dato",IF(AND(OR(NOT(ISNUMBER($O81)),$V81&gt;=$O81),OR(NOT(ISNUMBER($P81)),$V81&lt;=$P81)),"Dentro de rango","Fuera de rango")))</f>
        <v/>
      </c>
      <c r="X81" s="17" t="n"/>
      <c r="Y81" s="18" t="n"/>
      <c r="Z81" s="16">
        <f>IF(OR($U81="",$U81="Conforme",$U81="No aplica",$U81="Pendiente"),"",$N81&amp;IF($W81="Fuera de rango"," Valor medido: "&amp;TEXT($V81,"0.####")&amp;IF($H81="",""," "&amp;$H81)&amp;IF(AND(ISNUMBER($O81),$V81&lt;$O81),", por debajo del límite inferior de "&amp;TEXT($O81,"0.####")&amp;IF($H81="",""," "&amp;$H81),"")&amp;IF(AND(ISNUMBER($P81),$V81&gt;$P81),", por encima del límite superior de "&amp;TEXT($P81,"0.####")&amp;IF($H81="",""," "&amp;$H81),"")&amp;".","")&amp;IF($Y81="",""," "&amp;$Y81&amp;IF(RIGHT($Y81,1)=".","","."))&amp;" Acción recomendada: "&amp;$M81&amp;IF(RIGHT($M81,1)=".","",".")&amp;IF($J81="Bloqueante"," El equipo no se libera hasta resolver este hallazgo.",IF($J81="Cobrable"," Se incluye en la cotización de repuestos y consumibles."," Se deja registrado como observación.")))</f>
        <v/>
      </c>
    </row>
    <row r="82" ht="48" customHeight="1">
      <c r="A82" s="10" t="inlineStr">
        <is>
          <t>10.2.1</t>
        </is>
      </c>
      <c r="B82" s="10" t="inlineStr">
        <is>
          <t>10. Gabinete, montaje e instalación</t>
        </is>
      </c>
      <c r="C82" s="10" t="inlineStr">
        <is>
          <t>10.2 Ventilación</t>
        </is>
      </c>
      <c r="D82" s="11" t="inlineStr">
        <is>
          <t>Extractor de calor (Cooling Fan) posterior</t>
        </is>
      </c>
      <c r="E82" s="11" t="inlineStr">
        <is>
          <t>Operación del ventilador posterior de extracción activa de aire caliente</t>
        </is>
      </c>
      <c r="F82" s="12" t="inlineStr">
        <is>
          <t>Con el equipo energizado, aproximar la mano o una tira de papel a la rejilla posterior para confirmar el flujo de aire, y escuchar el ventilador buscando ruido de rodamiento.</t>
        </is>
      </c>
      <c r="G82" s="10" t="inlineStr">
        <is>
          <t>OK / No OK</t>
        </is>
      </c>
      <c r="H82" s="10" t="inlineStr"/>
      <c r="I82" s="11" t="inlineStr">
        <is>
          <t>Ventilador girando de forma estable, sin polvo extremo ni ruidos de rodamientos desgastados</t>
        </is>
      </c>
      <c r="J82" s="13" t="inlineStr">
        <is>
          <t>Bloqueante</t>
        </is>
      </c>
      <c r="K82" s="14" t="inlineStr">
        <is>
          <t>Rodamiento desgastado o ventilador obstruido por polvo</t>
        </is>
      </c>
      <c r="L82" s="15" t="inlineStr">
        <is>
          <t>8.2.1 ; 9.1.1</t>
        </is>
      </c>
      <c r="M82" s="14" t="inlineStr">
        <is>
          <t>Reemplazar el ventilador; el equipo no se libera con la refrigeración comprometida</t>
        </is>
      </c>
      <c r="N82" s="16" t="inlineStr">
        <is>
          <t>El ventilador de refrigeración no opera correctamente, lo que compromete la estabilidad térmica del analizador.</t>
        </is>
      </c>
      <c r="O82" s="10" t="n"/>
      <c r="P82" s="10" t="n"/>
      <c r="Q82" s="10" t="inlineStr">
        <is>
          <t>Sí</t>
        </is>
      </c>
      <c r="R82" s="10" t="inlineStr">
        <is>
          <t>Sí</t>
        </is>
      </c>
      <c r="S82" s="11" t="inlineStr">
        <is>
          <t>Sin artículo en el catálogo (ventilador posterior) — PENDIENTE DE CREAR EN ZOHO</t>
        </is>
      </c>
      <c r="T82" s="11" t="inlineStr">
        <is>
          <t>MT_191TE0NC_APMA370_241226</t>
        </is>
      </c>
      <c r="U82" s="17" t="inlineStr">
        <is>
          <t>Pendiente</t>
        </is>
      </c>
      <c r="V82" s="17" t="n"/>
      <c r="W82" s="10">
        <f>IF($G82&lt;&gt;"Numérico","",IF($V82="","Sin dato",IF(AND(OR(NOT(ISNUMBER($O82)),$V82&gt;=$O82),OR(NOT(ISNUMBER($P82)),$V82&lt;=$P82)),"Dentro de rango","Fuera de rango")))</f>
        <v/>
      </c>
      <c r="X82" s="17" t="n"/>
      <c r="Y82" s="18" t="n"/>
      <c r="Z82" s="16">
        <f>IF(OR($U82="",$U82="Conforme",$U82="No aplica",$U82="Pendiente"),"",$N82&amp;IF($W82="Fuera de rango"," Valor medido: "&amp;TEXT($V82,"0.####")&amp;IF($H82="",""," "&amp;$H82)&amp;IF(AND(ISNUMBER($O82),$V82&lt;$O82),", por debajo del límite inferior de "&amp;TEXT($O82,"0.####")&amp;IF($H82="",""," "&amp;$H82),"")&amp;IF(AND(ISNUMBER($P82),$V82&gt;$P82),", por encima del límite superior de "&amp;TEXT($P82,"0.####")&amp;IF($H82="",""," "&amp;$H82),"")&amp;".","")&amp;IF($Y82="",""," "&amp;$Y82&amp;IF(RIGHT($Y82,1)=".","","."))&amp;" Acción recomendada: "&amp;$M82&amp;IF(RIGHT($M82,1)=".","",".")&amp;IF($J82="Bloqueante"," El equipo no se libera hasta resolver este hallazgo.",IF($J82="Cobrable"," Se incluye en la cotización de repuestos y consumibles."," Se deja registrado como observación.")))</f>
        <v/>
      </c>
    </row>
    <row r="83" ht="48" customHeight="1">
      <c r="A83" s="10" t="inlineStr">
        <is>
          <t>10.3.1</t>
        </is>
      </c>
      <c r="B83" s="10" t="inlineStr">
        <is>
          <t>10. Gabinete, montaje e instalación</t>
        </is>
      </c>
      <c r="C83" s="10" t="inlineStr">
        <is>
          <t>10.3 Montaje en rack</t>
        </is>
      </c>
      <c r="D83" s="11" t="inlineStr">
        <is>
          <t>Rieles o bandeja de base en rack de 19 pulgadas</t>
        </is>
      </c>
      <c r="E83" s="11" t="inlineStr">
        <is>
          <t>Presencia de guías de soporte o bandeja base para montaje del analizador en gabinete</t>
        </is>
      </c>
      <c r="F83" s="12" t="inlineStr">
        <is>
          <t>Inspeccionar visualmente por debajo del equipo si está apoyado sobre bandeja o rieles, y comprobar presionando el frente del chasis que no haya flexión ni juego.</t>
        </is>
      </c>
      <c r="G83" s="10" t="inlineStr">
        <is>
          <t>OK / No OK</t>
        </is>
      </c>
      <c r="H83" s="10" t="inlineStr"/>
      <c r="I83" s="11" t="inlineStr">
        <is>
          <t>Base metálica firme para sostener el analizador (16 kg) y evitar la flexión frontal</t>
        </is>
      </c>
      <c r="J83" s="13" t="inlineStr">
        <is>
          <t>Alerta</t>
        </is>
      </c>
      <c r="K83" s="14" t="inlineStr">
        <is>
          <t>Equipo apoyado solo por el frente: flexión del chasis</t>
        </is>
      </c>
      <c r="L83" s="15" t="inlineStr">
        <is>
          <t>Nodo terminal — actuar directamente</t>
        </is>
      </c>
      <c r="M83" s="14" t="inlineStr">
        <is>
          <t>Instalar bandeja o rieles de soporte antes de cerrar el servicio</t>
        </is>
      </c>
      <c r="N83" s="16" t="inlineStr">
        <is>
          <t>El analizador no cuenta con bandeja o rieles de soporte y queda apoyado únicamente por su frente.</t>
        </is>
      </c>
      <c r="O83" s="10" t="n"/>
      <c r="P83" s="10" t="n"/>
      <c r="Q83" s="10" t="inlineStr">
        <is>
          <t>Sí</t>
        </is>
      </c>
      <c r="R83" s="10" t="inlineStr">
        <is>
          <t>Sí</t>
        </is>
      </c>
      <c r="S83" s="11" t="inlineStr"/>
      <c r="T83" s="11" t="inlineStr">
        <is>
          <t>P-ST-018-MAN OPER APMA 370 V2</t>
        </is>
      </c>
      <c r="U83" s="17" t="inlineStr">
        <is>
          <t>Pendiente</t>
        </is>
      </c>
      <c r="V83" s="17" t="n"/>
      <c r="W83" s="10">
        <f>IF($G83&lt;&gt;"Numérico","",IF($V83="","Sin dato",IF(AND(OR(NOT(ISNUMBER($O83)),$V83&gt;=$O83),OR(NOT(ISNUMBER($P83)),$V83&lt;=$P83)),"Dentro de rango","Fuera de rango")))</f>
        <v/>
      </c>
      <c r="X83" s="17" t="n"/>
      <c r="Y83" s="18" t="n"/>
      <c r="Z83" s="16">
        <f>IF(OR($U83="",$U83="Conforme",$U83="No aplica",$U83="Pendiente"),"",$N83&amp;IF($W83="Fuera de rango"," Valor medido: "&amp;TEXT($V83,"0.####")&amp;IF($H83="",""," "&amp;$H83)&amp;IF(AND(ISNUMBER($O83),$V83&lt;$O83),", por debajo del límite inferior de "&amp;TEXT($O83,"0.####")&amp;IF($H83="",""," "&amp;$H83),"")&amp;IF(AND(ISNUMBER($P83),$V83&gt;$P83),", por encima del límite superior de "&amp;TEXT($P83,"0.####")&amp;IF($H83="",""," "&amp;$H83),"")&amp;".","")&amp;IF($Y83="",""," "&amp;$Y83&amp;IF(RIGHT($Y83,1)=".","","."))&amp;" Acción recomendada: "&amp;$M83&amp;IF(RIGHT($M83,1)=".","",".")&amp;IF($J83="Bloqueante"," El equipo no se libera hasta resolver este hallazgo.",IF($J83="Cobrable"," Se incluye en la cotización de repuestos y consumibles."," Se deja registrado como observación.")))</f>
        <v/>
      </c>
    </row>
    <row r="84" ht="48" customHeight="1">
      <c r="A84" s="10" t="inlineStr">
        <is>
          <t>10.3.2</t>
        </is>
      </c>
      <c r="B84" s="10" t="inlineStr">
        <is>
          <t>10. Gabinete, montaje e instalación</t>
        </is>
      </c>
      <c r="C84" s="10" t="inlineStr">
        <is>
          <t>10.3 Montaje en rack</t>
        </is>
      </c>
      <c r="D84" s="11" t="inlineStr">
        <is>
          <t>Holgura con el fondo del rack</t>
        </is>
      </c>
      <c r="E84" s="11" t="inlineStr">
        <is>
          <t>Separación libre entre el chasis posterior y la cubierta o puerta del rack</t>
        </is>
      </c>
      <c r="F84" s="12" t="inlineStr">
        <is>
          <t>Medir con flexómetro la distancia entre el panel trasero del equipo y la puerta o pared posterior del rack, con las mangueras y cables ya instalados.</t>
        </is>
      </c>
      <c r="G84" s="10" t="inlineStr">
        <is>
          <t>Numérico</t>
        </is>
      </c>
      <c r="H84" s="10" t="inlineStr">
        <is>
          <t>mm</t>
        </is>
      </c>
      <c r="I84" s="11" t="inlineStr">
        <is>
          <t>Mínimo 150 mm en la parte trasera para mangueras neumáticas y ventilación. Límite superior PENDIENTE DE VALIDAR</t>
        </is>
      </c>
      <c r="J84" s="13" t="inlineStr">
        <is>
          <t>Alerta</t>
        </is>
      </c>
      <c r="K84" s="14" t="inlineStr">
        <is>
          <t>Espacio insuficiente: mangueras dobladas y ventilación restringida</t>
        </is>
      </c>
      <c r="L84" s="15" t="inlineStr">
        <is>
          <t>4.3.2 ; 10.2.1</t>
        </is>
      </c>
      <c r="M84" s="14" t="inlineStr">
        <is>
          <t>Reubicar el equipo para dejar al menos 150 mm libres detrás</t>
        </is>
      </c>
      <c r="N84" s="16" t="inlineStr">
        <is>
          <t>El espacio libre detrás del analizador es insuficiente para el trazado de mangueras y para su ventilación.</t>
        </is>
      </c>
      <c r="O84" s="10" t="n">
        <v>150</v>
      </c>
      <c r="P84" s="10" t="n"/>
      <c r="Q84" s="10" t="inlineStr">
        <is>
          <t>Sí</t>
        </is>
      </c>
      <c r="R84" s="10" t="inlineStr">
        <is>
          <t>No</t>
        </is>
      </c>
      <c r="S84" s="11" t="inlineStr"/>
      <c r="T84" s="11" t="inlineStr">
        <is>
          <t>P-ST-018-MAN OPER APMA 370 V2</t>
        </is>
      </c>
      <c r="U84" s="17" t="inlineStr">
        <is>
          <t>Pendiente</t>
        </is>
      </c>
      <c r="V84" s="17" t="n"/>
      <c r="W84" s="10">
        <f>IF($G84&lt;&gt;"Numérico","",IF($V84="","Sin dato",IF(AND(OR(NOT(ISNUMBER($O84)),$V84&gt;=$O84),OR(NOT(ISNUMBER($P84)),$V84&lt;=$P84)),"Dentro de rango","Fuera de rango")))</f>
        <v/>
      </c>
      <c r="X84" s="17" t="n"/>
      <c r="Y84" s="18" t="n"/>
      <c r="Z84" s="16">
        <f>IF(OR($U84="",$U84="Conforme",$U84="No aplica",$U84="Pendiente"),"",$N84&amp;IF($W84="Fuera de rango"," Valor medido: "&amp;TEXT($V84,"0.####")&amp;IF($H84="",""," "&amp;$H84)&amp;IF(AND(ISNUMBER($O84),$V84&lt;$O84),", por debajo del límite inferior de "&amp;TEXT($O84,"0.####")&amp;IF($H84="",""," "&amp;$H84),"")&amp;IF(AND(ISNUMBER($P84),$V84&gt;$P84),", por encima del límite superior de "&amp;TEXT($P84,"0.####")&amp;IF($H84="",""," "&amp;$H84),"")&amp;".","")&amp;IF($Y84="",""," "&amp;$Y84&amp;IF(RIGHT($Y84,1)=".","","."))&amp;" Acción recomendada: "&amp;$M84&amp;IF(RIGHT($M84,1)=".","",".")&amp;IF($J84="Bloqueante"," El equipo no se libera hasta resolver este hallazgo.",IF($J84="Cobrable"," Se incluye en la cotización de repuestos y consumibles."," Se deja registrado como observación.")))</f>
        <v/>
      </c>
    </row>
    <row r="85" ht="48" customHeight="1">
      <c r="A85" s="10" t="inlineStr">
        <is>
          <t>10.4.1</t>
        </is>
      </c>
      <c r="B85" s="10" t="inlineStr">
        <is>
          <t>10. Gabinete, montaje e instalación</t>
        </is>
      </c>
      <c r="C85" s="10" t="inlineStr">
        <is>
          <t>10.4 Condiciones ambientales del sitio</t>
        </is>
      </c>
      <c r="D85" s="11" t="inlineStr">
        <is>
          <t>Temperatura ambiental de operación de la sala</t>
        </is>
      </c>
      <c r="E85" s="11" t="inlineStr">
        <is>
          <t>Temperatura controlada del shelter para asegurar condiciones termoestables</t>
        </is>
      </c>
      <c r="F85" s="12" t="inlineStr">
        <is>
          <t>Medir la temperatura de la sala con termohigrómetro calibrado, a la altura del equipo y alejado de la descarga del aire acondicionado. Registrar también el valor máximo del día si hay datalogger.</t>
        </is>
      </c>
      <c r="G85" s="10" t="inlineStr">
        <is>
          <t>Numérico</t>
        </is>
      </c>
      <c r="H85" s="10" t="inlineStr">
        <is>
          <t>°C</t>
        </is>
      </c>
      <c r="I85" s="11" t="inlineStr">
        <is>
          <t>Rango de operación del analizador para mantener estabilidad óptica y química</t>
        </is>
      </c>
      <c r="J85" s="13" t="inlineStr">
        <is>
          <t>Alerta</t>
        </is>
      </c>
      <c r="K85" s="14" t="inlineStr">
        <is>
          <t>Aire acondicionado insuficiente o en falla</t>
        </is>
      </c>
      <c r="L85" s="15" t="inlineStr">
        <is>
          <t>9.1.1 ; 10.4.2</t>
        </is>
      </c>
      <c r="M85" s="14" t="inlineStr">
        <is>
          <t>Corregir la climatización del shelter; la deriva no se juzga hasta estabilizar la sala</t>
        </is>
      </c>
      <c r="N85" s="16" t="inlineStr">
        <is>
          <t>La temperatura de la cabina de monitoreo se encuentra fuera del rango de operación especificado para el analizador.</t>
        </is>
      </c>
      <c r="O85" s="10" t="n">
        <v>5</v>
      </c>
      <c r="P85" s="10" t="n">
        <v>40</v>
      </c>
      <c r="Q85" s="10" t="inlineStr">
        <is>
          <t>Sí</t>
        </is>
      </c>
      <c r="R85" s="10" t="inlineStr">
        <is>
          <t>No</t>
        </is>
      </c>
      <c r="S85" s="11" t="inlineStr"/>
      <c r="T85" s="11" t="inlineStr">
        <is>
          <t>P-ST-018-MAN OPER APMA 370 V2</t>
        </is>
      </c>
      <c r="U85" s="17" t="inlineStr">
        <is>
          <t>Pendiente</t>
        </is>
      </c>
      <c r="V85" s="17" t="n"/>
      <c r="W85" s="10">
        <f>IF($G85&lt;&gt;"Numérico","",IF($V85="","Sin dato",IF(AND(OR(NOT(ISNUMBER($O85)),$V85&gt;=$O85),OR(NOT(ISNUMBER($P85)),$V85&lt;=$P85)),"Dentro de rango","Fuera de rango")))</f>
        <v/>
      </c>
      <c r="X85" s="17" t="n"/>
      <c r="Y85" s="18" t="n"/>
      <c r="Z85" s="16">
        <f>IF(OR($U85="",$U85="Conforme",$U85="No aplica",$U85="Pendiente"),"",$N85&amp;IF($W85="Fuera de rango"," Valor medido: "&amp;TEXT($V85,"0.####")&amp;IF($H85="",""," "&amp;$H85)&amp;IF(AND(ISNUMBER($O85),$V85&lt;$O85),", por debajo del límite inferior de "&amp;TEXT($O85,"0.####")&amp;IF($H85="",""," "&amp;$H85),"")&amp;IF(AND(ISNUMBER($P85),$V85&gt;$P85),", por encima del límite superior de "&amp;TEXT($P85,"0.####")&amp;IF($H85="",""," "&amp;$H85),"")&amp;".","")&amp;IF($Y85="",""," "&amp;$Y85&amp;IF(RIGHT($Y85,1)=".","","."))&amp;" Acción recomendada: "&amp;$M85&amp;IF(RIGHT($M85,1)=".","",".")&amp;IF($J85="Bloqueante"," El equipo no se libera hasta resolver este hallazgo.",IF($J85="Cobrable"," Se incluye en la cotización de repuestos y consumibles."," Se deja registrado como observación.")))</f>
        <v/>
      </c>
    </row>
    <row r="86" ht="48" customHeight="1">
      <c r="A86" s="10" t="inlineStr">
        <is>
          <t>10.4.2</t>
        </is>
      </c>
      <c r="B86" s="10" t="inlineStr">
        <is>
          <t>10. Gabinete, montaje e instalación</t>
        </is>
      </c>
      <c r="C86" s="10" t="inlineStr">
        <is>
          <t>10.4 Condiciones ambientales del sitio</t>
        </is>
      </c>
      <c r="D86" s="11" t="inlineStr">
        <is>
          <t>Humedad relativa con temperatura menor a 31 °C</t>
        </is>
      </c>
      <c r="E86" s="11" t="inlineStr">
        <is>
          <t>Límite higrométrico del aire ambiente en el shelter para temperaturas menores a 31 °C</t>
        </is>
      </c>
      <c r="F86" s="12" t="inlineStr">
        <is>
          <t>Medir la humedad relativa con termohigrómetro calibrado junto al equipo y registrarla junto con la temperatura medida en el mismo instante.</t>
        </is>
      </c>
      <c r="G86" s="10" t="inlineStr">
        <is>
          <t>Numérico</t>
        </is>
      </c>
      <c r="H86" s="10" t="inlineStr">
        <is>
          <t>%HR</t>
        </is>
      </c>
      <c r="I86" s="11" t="inlineStr">
        <is>
          <t>Humedad relativa máxima 80 % para evitar condensaciones ópticas internas</t>
        </is>
      </c>
      <c r="J86" s="13" t="inlineStr">
        <is>
          <t>Alerta</t>
        </is>
      </c>
      <c r="K86" s="14" t="inlineStr">
        <is>
          <t>Humedad alta: riesgo de condensación óptica y de sulfatación del panel</t>
        </is>
      </c>
      <c r="L86" s="15" t="inlineStr">
        <is>
          <t>4.3.1 ; 7.3.2</t>
        </is>
      </c>
      <c r="M86" s="14" t="inlineStr">
        <is>
          <t>Deshumidificar la cabina y revisar la línea de muestreo</t>
        </is>
      </c>
      <c r="N86" s="16" t="inlineStr">
        <is>
          <t>La humedad relativa de la cabina supera el límite admisible, con riesgo de condensación en el analizador.</t>
        </is>
      </c>
      <c r="O86" s="10" t="n">
        <v>0</v>
      </c>
      <c r="P86" s="10" t="n">
        <v>80</v>
      </c>
      <c r="Q86" s="10" t="inlineStr">
        <is>
          <t>Sí</t>
        </is>
      </c>
      <c r="R86" s="10" t="inlineStr">
        <is>
          <t>No</t>
        </is>
      </c>
      <c r="S86" s="11" t="inlineStr"/>
      <c r="T86" s="11" t="inlineStr">
        <is>
          <t>P-ST-018-MAN OPER APMA 370 V2</t>
        </is>
      </c>
      <c r="U86" s="17" t="inlineStr">
        <is>
          <t>Pendiente</t>
        </is>
      </c>
      <c r="V86" s="17" t="n"/>
      <c r="W86" s="10">
        <f>IF($G86&lt;&gt;"Numérico","",IF($V86="","Sin dato",IF(AND(OR(NOT(ISNUMBER($O86)),$V86&gt;=$O86),OR(NOT(ISNUMBER($P86)),$V86&lt;=$P86)),"Dentro de rango","Fuera de rango")))</f>
        <v/>
      </c>
      <c r="X86" s="17" t="n"/>
      <c r="Y86" s="18" t="n"/>
      <c r="Z86" s="16">
        <f>IF(OR($U86="",$U86="Conforme",$U86="No aplica",$U86="Pendiente"),"",$N86&amp;IF($W86="Fuera de rango"," Valor medido: "&amp;TEXT($V86,"0.####")&amp;IF($H86="",""," "&amp;$H86)&amp;IF(AND(ISNUMBER($O86),$V86&lt;$O86),", por debajo del límite inferior de "&amp;TEXT($O86,"0.####")&amp;IF($H86="",""," "&amp;$H86),"")&amp;IF(AND(ISNUMBER($P86),$V86&gt;$P86),", por encima del límite superior de "&amp;TEXT($P86,"0.####")&amp;IF($H86="",""," "&amp;$H86),"")&amp;".","")&amp;IF($Y86="",""," "&amp;$Y86&amp;IF(RIGHT($Y86,1)=".","","."))&amp;" Acción recomendada: "&amp;$M86&amp;IF(RIGHT($M86,1)=".","",".")&amp;IF($J86="Bloqueante"," El equipo no se libera hasta resolver este hallazgo.",IF($J86="Cobrable"," Se incluye en la cotización de repuestos y consumibles."," Se deja registrado como observación.")))</f>
        <v/>
      </c>
    </row>
    <row r="87" ht="48" customHeight="1">
      <c r="A87" s="10" t="inlineStr">
        <is>
          <t>10.4.3</t>
        </is>
      </c>
      <c r="B87" s="10" t="inlineStr">
        <is>
          <t>10. Gabinete, montaje e instalación</t>
        </is>
      </c>
      <c r="C87" s="10" t="inlineStr">
        <is>
          <t>10.4 Condiciones ambientales del sitio</t>
        </is>
      </c>
      <c r="D87" s="11" t="inlineStr">
        <is>
          <t>Humedad relativa con temperatura entre 31 y 40 °C</t>
        </is>
      </c>
      <c r="E87" s="11" t="inlineStr">
        <is>
          <t>Límite higrométrico descendente conforme aumenta la temperatura entre 31 y 40 °C</t>
        </is>
      </c>
      <c r="F87" s="12" t="inlineStr">
        <is>
          <t>Con la temperatura de sala medida entre 31 y 40 °C, calcular el límite de humedad interpolando linealmente entre 80 % a 31 °C y 50 % a 40 °C, y comparar con la humedad medida.</t>
        </is>
      </c>
      <c r="G87" s="10" t="inlineStr">
        <is>
          <t>Numérico</t>
        </is>
      </c>
      <c r="H87" s="10" t="inlineStr">
        <is>
          <t>%HR</t>
        </is>
      </c>
      <c r="I87" s="11" t="inlineStr">
        <is>
          <t>Humedad máxima controlada linealmente entre 80 % (31 °C) y 50 % (40 °C)</t>
        </is>
      </c>
      <c r="J87" s="13" t="inlineStr">
        <is>
          <t>Alerta</t>
        </is>
      </c>
      <c r="K87" s="14" t="inlineStr">
        <is>
          <t>Humedad por encima del límite interpolado para esa temperatura</t>
        </is>
      </c>
      <c r="L87" s="15" t="inlineStr">
        <is>
          <t>10.4.1 ; 10.4.2</t>
        </is>
      </c>
      <c r="M87" s="14" t="inlineStr">
        <is>
          <t>Bajar temperatura o humedad hasta entrar en la curva admisible</t>
        </is>
      </c>
      <c r="N87" s="16" t="inlineStr">
        <is>
          <t>La humedad relativa de la cabina supera el límite admisible para la temperatura registrada en el sitio.</t>
        </is>
      </c>
      <c r="O87" s="10" t="n">
        <v>0</v>
      </c>
      <c r="P87" s="10" t="n">
        <v>50</v>
      </c>
      <c r="Q87" s="10" t="inlineStr">
        <is>
          <t>Sí</t>
        </is>
      </c>
      <c r="R87" s="10" t="inlineStr">
        <is>
          <t>No</t>
        </is>
      </c>
      <c r="S87" s="11" t="inlineStr"/>
      <c r="T87" s="11" t="inlineStr">
        <is>
          <t>P-ST-018-MAN OPER APMA 370 V2</t>
        </is>
      </c>
      <c r="U87" s="17" t="inlineStr">
        <is>
          <t>Pendiente</t>
        </is>
      </c>
      <c r="V87" s="17" t="n"/>
      <c r="W87" s="10">
        <f>IF($G87&lt;&gt;"Numérico","",IF($V87="","Sin dato",IF(AND(OR(NOT(ISNUMBER($O87)),$V87&gt;=$O87),OR(NOT(ISNUMBER($P87)),$V87&lt;=$P87)),"Dentro de rango","Fuera de rango")))</f>
        <v/>
      </c>
      <c r="X87" s="17" t="n"/>
      <c r="Y87" s="18" t="n"/>
      <c r="Z87" s="16">
        <f>IF(OR($U87="",$U87="Conforme",$U87="No aplica",$U87="Pendiente"),"",$N87&amp;IF($W87="Fuera de rango"," Valor medido: "&amp;TEXT($V87,"0.####")&amp;IF($H87="",""," "&amp;$H87)&amp;IF(AND(ISNUMBER($O87),$V87&lt;$O87),", por debajo del límite inferior de "&amp;TEXT($O87,"0.####")&amp;IF($H87="",""," "&amp;$H87),"")&amp;IF(AND(ISNUMBER($P87),$V87&gt;$P87),", por encima del límite superior de "&amp;TEXT($P87,"0.####")&amp;IF($H87="",""," "&amp;$H87),"")&amp;".","")&amp;IF($Y87="",""," "&amp;$Y87&amp;IF(RIGHT($Y87,1)=".","","."))&amp;" Acción recomendada: "&amp;$M87&amp;IF(RIGHT($M87,1)=".","",".")&amp;IF($J87="Bloqueante"," El equipo no se libera hasta resolver este hallazgo.",IF($J87="Cobrable"," Se incluye en la cotización de repuestos y consumibles."," Se deja registrado como observación.")))</f>
        <v/>
      </c>
    </row>
    <row r="88" ht="48" customHeight="1">
      <c r="A88" s="10" t="inlineStr">
        <is>
          <t>10.5.1</t>
        </is>
      </c>
      <c r="B88" s="10" t="inlineStr">
        <is>
          <t>10. Gabinete, montaje e instalación</t>
        </is>
      </c>
      <c r="C88" s="10" t="inlineStr">
        <is>
          <t>10.5 Suministro eléctrico</t>
        </is>
      </c>
      <c r="D88" s="11" t="inlineStr">
        <is>
          <t>Variación de tensión nominal AC</t>
        </is>
      </c>
      <c r="E88" s="11" t="inlineStr">
        <is>
          <t>Variación de tensión de la red eléctrica AC en la toma de corriente del analizador</t>
        </is>
      </c>
      <c r="F88" s="12" t="inlineStr">
        <is>
          <t>Medir con multímetro en modo VAC la tensión en la toma de corriente que alimenta el equipo, en operación normal. Repetir la medición si la estación tiene planta o UPS conmutando.</t>
        </is>
      </c>
      <c r="G88" s="10" t="inlineStr">
        <is>
          <t>Numérico</t>
        </is>
      </c>
      <c r="H88" s="10" t="inlineStr">
        <is>
          <t>V</t>
        </is>
      </c>
      <c r="I88" s="11" t="inlineStr">
        <is>
          <t>Rango tolerado por la fuente interna para operación óptima (nominal 220 V AC)</t>
        </is>
      </c>
      <c r="J88" s="13" t="inlineStr">
        <is>
          <t>Bloqueante</t>
        </is>
      </c>
      <c r="K88" s="14" t="inlineStr">
        <is>
          <t>Red inestable, o planta y UPS conmutando fuera de rango</t>
        </is>
      </c>
      <c r="L88" s="15" t="inlineStr">
        <is>
          <t>7.4.1</t>
        </is>
      </c>
      <c r="M88" s="14" t="inlineStr">
        <is>
          <t>Estabilizar la alimentación antes de juzgar cualquier lectura eléctrica del equipo</t>
        </is>
      </c>
      <c r="N88" s="16" t="inlineStr">
        <is>
          <t>La tensión de la red eléctrica que alimenta el analizador se encuentra fuera del rango admisible.</t>
        </is>
      </c>
      <c r="O88" s="10" t="n">
        <v>198</v>
      </c>
      <c r="P88" s="10" t="n">
        <v>264</v>
      </c>
      <c r="Q88" s="10" t="inlineStr">
        <is>
          <t>Sí</t>
        </is>
      </c>
      <c r="R88" s="10" t="inlineStr">
        <is>
          <t>No</t>
        </is>
      </c>
      <c r="S88" s="11" t="inlineStr"/>
      <c r="T88" s="11" t="inlineStr">
        <is>
          <t>P-ST-018-MAN OPER APMA 370 V2</t>
        </is>
      </c>
      <c r="U88" s="17" t="inlineStr">
        <is>
          <t>Pendiente</t>
        </is>
      </c>
      <c r="V88" s="17" t="n"/>
      <c r="W88" s="10">
        <f>IF($G88&lt;&gt;"Numérico","",IF($V88="","Sin dato",IF(AND(OR(NOT(ISNUMBER($O88)),$V88&gt;=$O88),OR(NOT(ISNUMBER($P88)),$V88&lt;=$P88)),"Dentro de rango","Fuera de rango")))</f>
        <v/>
      </c>
      <c r="X88" s="17" t="n"/>
      <c r="Y88" s="18" t="n"/>
      <c r="Z88" s="16">
        <f>IF(OR($U88="",$U88="Conforme",$U88="No aplica",$U88="Pendiente"),"",$N88&amp;IF($W88="Fuera de rango"," Valor medido: "&amp;TEXT($V88,"0.####")&amp;IF($H88="",""," "&amp;$H88)&amp;IF(AND(ISNUMBER($O88),$V88&lt;$O88),", por debajo del límite inferior de "&amp;TEXT($O88,"0.####")&amp;IF($H88="",""," "&amp;$H88),"")&amp;IF(AND(ISNUMBER($P88),$V88&gt;$P88),", por encima del límite superior de "&amp;TEXT($P88,"0.####")&amp;IF($H88="",""," "&amp;$H88),"")&amp;".","")&amp;IF($Y88="",""," "&amp;$Y88&amp;IF(RIGHT($Y88,1)=".","","."))&amp;" Acción recomendada: "&amp;$M88&amp;IF(RIGHT($M88,1)=".","",".")&amp;IF($J88="Bloqueante"," El equipo no se libera hasta resolver este hallazgo.",IF($J88="Cobrable"," Se incluye en la cotización de repuestos y consumibles."," Se deja registrado como observación.")))</f>
        <v/>
      </c>
    </row>
  </sheetData>
  <autoFilter ref="A8:Z88"/>
  <conditionalFormatting sqref="U9:U88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W9:W88">
    <cfRule type="cellIs" priority="4" operator="equal" dxfId="1">
      <formula>"Fuera de rango"</formula>
    </cfRule>
  </conditionalFormatting>
  <conditionalFormatting sqref="J9:J88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U9:U88" showDropDown="0" showInputMessage="0" showErrorMessage="0" allowBlank="1" type="list">
      <formula1>Listas!$A$2:$A$6</formula1>
    </dataValidation>
    <dataValidation sqref="X9:X88" showDropDown="0" showInputMessage="0" showErrorMessage="0" allowBlank="1" type="list">
      <formula1>Listas!$B$2:$B$4</formula1>
    </dataValidation>
    <dataValidation sqref="J9:J88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4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62" customWidth="1" min="14" max="14"/>
    <col width="10" customWidth="1" min="15" max="15"/>
    <col width="10" customWidth="1" min="16" max="16"/>
    <col width="11" customWidth="1" min="17" max="17"/>
    <col width="14" customWidth="1" min="18" max="18"/>
    <col width="46" customWidth="1" min="19" max="19"/>
    <col width="34" customWidth="1" min="20" max="20"/>
    <col width="19" customWidth="1" min="21" max="21"/>
    <col width="13" customWidth="1" min="22" max="22"/>
    <col width="17" customWidth="1" min="23" max="23"/>
    <col width="12" customWidth="1" min="24" max="24"/>
    <col width="46" customWidth="1" min="25" max="25"/>
    <col width="80" customWidth="1" min="26" max="26"/>
  </cols>
  <sheetData>
    <row r="1" ht="18" customHeight="1">
      <c r="A1" s="5" t="inlineStr">
        <is>
          <t>FASE 1 — INSPECCIÓN FÍSICA DEL EQUIPO · APSA-370 (SO2)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Fluorescencia ultravioleta (UVF)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dióxido de azufre HORIBA APSA-370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Comentario de falla (informe al cliente)</t>
        </is>
      </c>
      <c r="O8" s="9" t="inlineStr">
        <is>
          <t>Límite inferior</t>
        </is>
      </c>
      <c r="P8" s="9" t="inlineStr">
        <is>
          <t>Límite superior</t>
        </is>
      </c>
      <c r="Q8" s="9" t="inlineStr">
        <is>
          <t>Obligatorio</t>
        </is>
      </c>
      <c r="R8" s="9" t="inlineStr">
        <is>
          <t>Evidencia fotográfica requerida</t>
        </is>
      </c>
      <c r="S8" s="9" t="inlineStr">
        <is>
          <t>Repuesto / parte asociada (catálogo Zoho Books)</t>
        </is>
      </c>
      <c r="T8" s="9" t="inlineStr">
        <is>
          <t>Fuente documental</t>
        </is>
      </c>
      <c r="U8" s="9" t="inlineStr">
        <is>
          <t>Resultado</t>
        </is>
      </c>
      <c r="V8" s="9" t="inlineStr">
        <is>
          <t>Valor medido</t>
        </is>
      </c>
      <c r="W8" s="9" t="inlineStr">
        <is>
          <t>Verificación de rango</t>
        </is>
      </c>
      <c r="X8" s="9" t="inlineStr">
        <is>
          <t>Foto adjunta</t>
        </is>
      </c>
      <c r="Y8" s="9" t="inlineStr">
        <is>
          <t>Observación</t>
        </is>
      </c>
      <c r="Z8" s="9" t="inlineStr">
        <is>
          <t>Comentario para el informe (automático)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encendido del panel frontal</t>
        </is>
      </c>
      <c r="E9" s="11" t="inlineStr">
        <is>
          <t>Estado de iluminación del LED de encendido con el analizador energizado</t>
        </is>
      </c>
      <c r="F9" s="12" t="inlineStr">
        <is>
          <t>Con el equipo energizado, observar el LED de encendido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en operación normal; cambia a rojo si existe alarma activa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1.2.2</t>
        </is>
      </c>
      <c r="M9" s="14" t="inlineStr">
        <is>
          <t>Registrar el color y pasar al listado de alarmas antes de continuar</t>
        </is>
      </c>
      <c r="N9" s="16" t="inlineStr">
        <is>
          <t>El indicador de encendido del panel frontal no muestra el estado normal de operación, lo que señala una condición de alarma activa en el analizador.</t>
        </is>
      </c>
      <c r="O9" s="10" t="n"/>
      <c r="P9" s="10" t="n"/>
      <c r="Q9" s="10" t="inlineStr">
        <is>
          <t>Sí</t>
        </is>
      </c>
      <c r="R9" s="10" t="inlineStr">
        <is>
          <t>Sí</t>
        </is>
      </c>
      <c r="S9" s="11" t="inlineStr"/>
      <c r="T9" s="11" t="inlineStr">
        <is>
          <t>P-ST-030-MAN OPER APSA 370 V2</t>
        </is>
      </c>
      <c r="U9" s="17" t="inlineStr">
        <is>
          <t>Pendiente</t>
        </is>
      </c>
      <c r="V9" s="17" t="n"/>
      <c r="W9" s="10">
        <f>IF($G9&lt;&gt;"Numérico","",IF($V9="","Sin dato",IF(AND(OR(NOT(ISNUMBER($O9)),$V9&gt;=$O9),OR(NOT(ISNUMBER($P9)),$V9&lt;=$P9)),"Dentro de rango","Fuera de rango")))</f>
        <v/>
      </c>
      <c r="X9" s="17" t="n"/>
      <c r="Y9" s="18" t="n"/>
      <c r="Z9" s="16">
        <f>IF(OR($U9="",$U9="Conforme",$U9="No aplica",$U9="Pendiente"),"",$N9&amp;IF($W9="Fuera de rango"," Valor medido: "&amp;TEXT($V9,"0.####")&amp;IF($H9="",""," "&amp;$H9)&amp;IF(AND(ISNUMBER($O9),$V9&lt;$O9),", por debajo del límite inferior de "&amp;TEXT($O9,"0.####")&amp;IF($H9="",""," "&amp;$H9),"")&amp;IF(AND(ISNUMBER($P9),$V9&gt;$P9),", por encima del límite superior de "&amp;TEXT($P9,"0.####")&amp;IF($H9="",""," "&amp;$H9),"")&amp;".","")&amp;IF($Y9="",""," "&amp;$Y9&amp;IF(RIGHT($Y9,1)=".","","."))&amp;" Acción recomendada: "&amp;$M9&amp;IF(RIGHT($M9,1)=".","",".")&amp;IF($J9="Bloqueante"," El equipo no se libera hasta resolver este hallazgo.",IF($J9="Cobrable"," Se incluye en la cotización de repuestos y consumibles."," Se deja registrado como observación.")))</f>
        <v/>
      </c>
    </row>
    <row r="10" ht="48" customHeight="1">
      <c r="A10" s="10" t="inlineStr">
        <is>
          <t>1.2.1</t>
        </is>
      </c>
      <c r="B10" s="10" t="inlineStr">
        <is>
          <t>1. Verificación funcional inicial</t>
        </is>
      </c>
      <c r="C10" s="10" t="inlineStr">
        <is>
          <t>1.2 Autodiagnóstico de software</t>
        </is>
      </c>
      <c r="D10" s="11" t="inlineStr">
        <is>
          <t>Inicialización de parámetros en SRAM</t>
        </is>
      </c>
      <c r="E10" s="11" t="inlineStr">
        <is>
          <t>Carga de datos lógicos y ausencia de errores de inicialización al arrancar la CPU</t>
        </is>
      </c>
      <c r="F10" s="12" t="inlineStr">
        <is>
          <t>Encender el equipo y observar la secuencia de arranque completa, verificando que no aparezcan mensajes de error de memoria y que cargue automáticamente la pantalla MEAS.</t>
        </is>
      </c>
      <c r="G10" s="10" t="inlineStr">
        <is>
          <t>OK / No OK</t>
        </is>
      </c>
      <c r="H10" s="10" t="inlineStr"/>
      <c r="I10" s="11" t="inlineStr">
        <is>
          <t>Arranque limpio sin errores de memoria y con la pantalla MEAS cargada automáticamente</t>
        </is>
      </c>
      <c r="J10" s="13" t="inlineStr">
        <is>
          <t>Bloqueante</t>
        </is>
      </c>
      <c r="K10" s="14" t="inlineStr">
        <is>
          <t>Batería de respaldo agotada o memoria corrompida por picos de tensión</t>
        </is>
      </c>
      <c r="L10" s="15" t="inlineStr">
        <is>
          <t>7.2.1 ; 7.1.9</t>
        </is>
      </c>
      <c r="M10" s="14" t="inlineStr">
        <is>
          <t>Reemplazar la batería y reconfigurar; si persiste, inicializar la CPU y recargar la configuración desde CF</t>
        </is>
      </c>
      <c r="N10" s="16" t="inlineStr">
        <is>
          <t>El analizador no completa correctamente su secuencia de arranque: presenta errores de memoria o pierde la configuración almacenada.</t>
        </is>
      </c>
      <c r="O10" s="10" t="n"/>
      <c r="P10" s="10" t="n"/>
      <c r="Q10" s="10" t="inlineStr">
        <is>
          <t>Sí</t>
        </is>
      </c>
      <c r="R10" s="10" t="inlineStr">
        <is>
          <t>Sí</t>
        </is>
      </c>
      <c r="S10" s="11" t="inlineStr"/>
      <c r="T10" s="11" t="inlineStr">
        <is>
          <t>P-ST-030-MAN OPER APSA 370 V2</t>
        </is>
      </c>
      <c r="U10" s="17" t="inlineStr">
        <is>
          <t>Pendiente</t>
        </is>
      </c>
      <c r="V10" s="17" t="n"/>
      <c r="W10" s="10">
        <f>IF($G10&lt;&gt;"Numérico","",IF($V10="","Sin dato",IF(AND(OR(NOT(ISNUMBER($O10)),$V10&gt;=$O10),OR(NOT(ISNUMBER($P10)),$V10&lt;=$P10)),"Dentro de rango","Fuera de rango")))</f>
        <v/>
      </c>
      <c r="X10" s="17" t="n"/>
      <c r="Y10" s="18" t="n"/>
      <c r="Z10" s="16">
        <f>IF(OR($U10="",$U10="Conforme",$U10="No aplica",$U10="Pendiente"),"",$N10&amp;IF($W10="Fuera de rango"," Valor medido: "&amp;TEXT($V10,"0.####")&amp;IF($H10="",""," "&amp;$H10)&amp;IF(AND(ISNUMBER($O10),$V10&lt;$O10),", por debajo del límite inferior de "&amp;TEXT($O10,"0.####")&amp;IF($H10="",""," "&amp;$H10),"")&amp;IF(AND(ISNUMBER($P10),$V10&gt;$P10),", por encima del límite superior de "&amp;TEXT($P10,"0.####")&amp;IF($H10="",""," "&amp;$H10),"")&amp;".","")&amp;IF($Y10="",""," "&amp;$Y10&amp;IF(RIGHT($Y10,1)=".","","."))&amp;" Acción recomendada: "&amp;$M10&amp;IF(RIGHT($M10,1)=".","",".")&amp;IF($J10="Bloqueante"," El equipo no se libera hasta resolver este hallazgo.",IF($J10="Cobrable"," Se incluye en la cotización de repuestos y consumibles."," Se deja registrado como observación.")))</f>
        <v/>
      </c>
    </row>
    <row r="11" ht="48" customHeight="1">
      <c r="A11" s="10" t="inlineStr">
        <is>
          <t>1.2.2</t>
        </is>
      </c>
      <c r="B11" s="10" t="inlineStr">
        <is>
          <t>1. Verificación funcional inicial</t>
        </is>
      </c>
      <c r="C11" s="10" t="inlineStr">
        <is>
          <t>1.2 Autodiagnóstico de software</t>
        </is>
      </c>
      <c r="D11" s="11" t="inlineStr">
        <is>
          <t>Indicador de alarmas activas en pantalla</t>
        </is>
      </c>
      <c r="E11" s="11" t="inlineStr">
        <is>
          <t>Presencia del botón ALARM en la esquina inferior derecha de la pantalla principal</t>
        </is>
      </c>
      <c r="F11" s="12" t="inlineStr">
        <is>
          <t>Observar la esquina inferior derecha de la pantalla MEAS. Si aparece el botón ALARM, presionarlo y anotar todos los códigos activos antes de continuar.</t>
        </is>
      </c>
      <c r="G11" s="10" t="inlineStr">
        <is>
          <t>Sí/No</t>
        </is>
      </c>
      <c r="H11" s="10" t="inlineStr"/>
      <c r="I11" s="11" t="inlineStr">
        <is>
          <t>El botón de alarma no debe estar visible en la pantalla MEAS en condiciones normales</t>
        </is>
      </c>
      <c r="J11" s="13" t="inlineStr">
        <is>
          <t>Bloqueante</t>
        </is>
      </c>
      <c r="K11" s="14" t="inlineStr">
        <is>
          <t>Alarma activa de proceso, de calibración o de tarjeta</t>
        </is>
      </c>
      <c r="L11" s="15" t="inlineStr">
        <is>
          <t>6.1.1 ; 5.1.1 ; 5.1.2 ; 9.1.1</t>
        </is>
      </c>
      <c r="M11" s="14" t="inlineStr">
        <is>
          <t>Anotar el código en MENU/ALARM y entrar por la rama que corresponda</t>
        </is>
      </c>
      <c r="N11" s="16" t="inlineStr">
        <is>
          <t>El analizador presenta al menos una alarma activa al momento de la inspección.</t>
        </is>
      </c>
      <c r="O11" s="10" t="n"/>
      <c r="P11" s="10" t="n"/>
      <c r="Q11" s="10" t="inlineStr">
        <is>
          <t>Sí</t>
        </is>
      </c>
      <c r="R11" s="10" t="inlineStr">
        <is>
          <t>No</t>
        </is>
      </c>
      <c r="S11" s="11" t="inlineStr"/>
      <c r="T11" s="11" t="inlineStr">
        <is>
          <t>P-ST-030-MAN OPER APSA 370 V2</t>
        </is>
      </c>
      <c r="U11" s="17" t="inlineStr">
        <is>
          <t>Pendiente</t>
        </is>
      </c>
      <c r="V11" s="17" t="n"/>
      <c r="W11" s="10">
        <f>IF($G11&lt;&gt;"Numérico","",IF($V11="","Sin dato",IF(AND(OR(NOT(ISNUMBER($O11)),$V11&gt;=$O11),OR(NOT(ISNUMBER($P11)),$V11&lt;=$P11)),"Dentro de rango","Fuera de rango")))</f>
        <v/>
      </c>
      <c r="X11" s="17" t="n"/>
      <c r="Y11" s="18" t="n"/>
      <c r="Z11" s="16">
        <f>IF(OR($U11="",$U11="Conforme",$U11="No aplica",$U11="Pendiente"),"",$N11&amp;IF($W11="Fuera de rango"," Valor medido: "&amp;TEXT($V11,"0.####")&amp;IF($H11="",""," "&amp;$H11)&amp;IF(AND(ISNUMBER($O11),$V11&lt;$O11),", por debajo del límite inferior de "&amp;TEXT($O11,"0.####")&amp;IF($H11="",""," "&amp;$H11),"")&amp;IF(AND(ISNUMBER($P11),$V11&gt;$P11),", por encima del límite superior de "&amp;TEXT($P11,"0.####")&amp;IF($H11="",""," "&amp;$H11),"")&amp;".","")&amp;IF($Y11="",""," "&amp;$Y11&amp;IF(RIGHT($Y11,1)=".","","."))&amp;" Acción recomendada: "&amp;$M11&amp;IF(RIGHT($M11,1)=".","",".")&amp;IF($J11="Bloqueante"," El equipo no se libera hasta resolver este hallazgo.",IF($J11="Cobrable"," Se incluye en la cotización de repuestos y consumibles."," Se deja registrado como observación.")))</f>
        <v/>
      </c>
    </row>
    <row r="12" ht="48" customHeight="1">
      <c r="A12" s="10" t="inlineStr">
        <is>
          <t>1.2.3</t>
        </is>
      </c>
      <c r="B12" s="10" t="inlineStr">
        <is>
          <t>1. Verificación funcional inicial</t>
        </is>
      </c>
      <c r="C12" s="10" t="inlineStr">
        <is>
          <t>1.2 Autodiagnóstico de software</t>
        </is>
      </c>
      <c r="D12" s="11" t="inlineStr">
        <is>
          <t>Identificación del programa en menú</t>
        </is>
      </c>
      <c r="E12" s="11" t="inlineStr">
        <is>
          <t>Versión y número de programa en la pantalla de información del sistema</t>
        </is>
      </c>
      <c r="F12" s="12" t="inlineStr">
        <is>
          <t>Ir a MENU / SYSTEM / INFORMATION y leer el número de programa en pantalla. Anotarlo textualmente y contrastarlo con el estándar de fábrica.</t>
        </is>
      </c>
      <c r="G12" s="10" t="inlineStr">
        <is>
          <t>Texto</t>
        </is>
      </c>
      <c r="H12" s="10" t="inlineStr"/>
      <c r="I12" s="11" t="inlineStr">
        <is>
          <t>Debe mostrar el código de programa estándar de fábrica (AP: P1000878001 / EN: P1000877001)</t>
        </is>
      </c>
      <c r="J12" s="13" t="inlineStr">
        <is>
          <t>Alerta</t>
        </is>
      </c>
      <c r="K12" s="14" t="inlineStr">
        <is>
          <t>Programa no homologado, o CPU sustituida sin recargar la configuración de fábrica</t>
        </is>
      </c>
      <c r="L12" s="15" t="inlineStr">
        <is>
          <t>7.1.9</t>
        </is>
      </c>
      <c r="M12" s="14" t="inlineStr">
        <is>
          <t>Confirmar el HGS con fábrica y recargar la configuración desde la CF antes de calibrar</t>
        </is>
      </c>
      <c r="N12" s="16" t="inlineStr">
        <is>
          <t>La versión de programa instalada no corresponde a la versión homologada de fábrica para este analizador.</t>
        </is>
      </c>
      <c r="O12" s="10" t="n"/>
      <c r="P12" s="10" t="n"/>
      <c r="Q12" s="10" t="inlineStr">
        <is>
          <t>Sí</t>
        </is>
      </c>
      <c r="R12" s="10" t="inlineStr">
        <is>
          <t>No</t>
        </is>
      </c>
      <c r="S12" s="11" t="inlineStr"/>
      <c r="T12" s="11" t="inlineStr">
        <is>
          <t>1 - LCD design change AP EN</t>
        </is>
      </c>
      <c r="U12" s="17" t="inlineStr">
        <is>
          <t>Pendiente</t>
        </is>
      </c>
      <c r="V12" s="17" t="n"/>
      <c r="W12" s="10">
        <f>IF($G12&lt;&gt;"Numérico","",IF($V12="","Sin dato",IF(AND(OR(NOT(ISNUMBER($O12)),$V12&gt;=$O12),OR(NOT(ISNUMBER($P12)),$V12&lt;=$P12)),"Dentro de rango","Fuera de rango")))</f>
        <v/>
      </c>
      <c r="X12" s="17" t="n"/>
      <c r="Y12" s="18" t="n"/>
      <c r="Z12" s="16">
        <f>IF(OR($U12="",$U12="Conforme",$U12="No aplica",$U12="Pendiente"),"",$N12&amp;IF($W12="Fuera de rango"," Valor medido: "&amp;TEXT($V12,"0.####")&amp;IF($H12="",""," "&amp;$H12)&amp;IF(AND(ISNUMBER($O12),$V12&lt;$O12),", por debajo del límite inferior de "&amp;TEXT($O12,"0.####")&amp;IF($H12="",""," "&amp;$H12),"")&amp;IF(AND(ISNUMBER($P12),$V12&gt;$P12),", por encima del límite superior de "&amp;TEXT($P12,"0.####")&amp;IF($H12="",""," "&amp;$H12),"")&amp;".","")&amp;IF($Y12="",""," "&amp;$Y12&amp;IF(RIGHT($Y12,1)=".","","."))&amp;" Acción recomendada: "&amp;$M12&amp;IF(RIGHT($M12,1)=".","",".")&amp;IF($J12="Bloqueante"," El equipo no se libera hasta resolver este hallazgo.",IF($J12="Cobrable"," Se incluye en la cotización de repuestos y consumibles."," Se deja registrado como observación.")))</f>
        <v/>
      </c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y estabilización</t>
        </is>
      </c>
      <c r="E13" s="11" t="inlineStr">
        <is>
          <t>Tiempo transcurrido desde el encendido hasta la calibración o la medición en campo</t>
        </is>
      </c>
      <c r="F13" s="12" t="inlineStr">
        <is>
          <t>Anotar la hora de encendido del equipo y calcular las horas transcurridas hasta la inspección o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de estabilización; se recomienda 24 a 48 h para mediciones de campo estables</t>
        </is>
      </c>
      <c r="J13" s="13" t="inlineStr">
        <is>
          <t>Alerta</t>
        </is>
      </c>
      <c r="K13" s="14" t="inlineStr">
        <is>
          <t>Equipo encendido hace menos de 3 h: lámpara y HC Cutter aún inestables</t>
        </is>
      </c>
      <c r="L13" s="15" t="inlineStr">
        <is>
          <t>6.1.1 ; 9.1.1 ; 6.3.1</t>
        </is>
      </c>
      <c r="M13" s="14" t="inlineStr">
        <is>
          <t>Esperar el calentamiento completo (24 h tras un arranque en frío) antes de calibrar</t>
        </is>
      </c>
      <c r="N13" s="16" t="inlineStr">
        <is>
          <t>El analizador no ha completado el tiempo mínimo de calentamiento, por lo que sus lecturas aún no son representativas.</t>
        </is>
      </c>
      <c r="O13" s="10" t="n">
        <v>3</v>
      </c>
      <c r="P13" s="10" t="n">
        <v>48</v>
      </c>
      <c r="Q13" s="10" t="inlineStr">
        <is>
          <t>Sí</t>
        </is>
      </c>
      <c r="R13" s="10" t="inlineStr">
        <is>
          <t>No</t>
        </is>
      </c>
      <c r="S13" s="11" t="inlineStr"/>
      <c r="T13" s="11" t="inlineStr">
        <is>
          <t>P-ST-030-MAN OPER APSA 370 V2</t>
        </is>
      </c>
      <c r="U13" s="17" t="inlineStr">
        <is>
          <t>Pendiente</t>
        </is>
      </c>
      <c r="V13" s="17" t="n"/>
      <c r="W13" s="10">
        <f>IF($G13&lt;&gt;"Numérico","",IF($V13="","Sin dato",IF(AND(OR(NOT(ISNUMBER($O13)),$V13&gt;=$O13),OR(NOT(ISNUMBER($P13)),$V13&lt;=$P13)),"Dentro de rango","Fuera de rango")))</f>
        <v/>
      </c>
      <c r="X13" s="17" t="n"/>
      <c r="Y13" s="18" t="n"/>
      <c r="Z13" s="16">
        <f>IF(OR($U13="",$U13="Conforme",$U13="No aplica",$U13="Pendiente"),"",$N13&amp;IF($W13="Fuera de rango"," Valor medido: "&amp;TEXT($V13,"0.####")&amp;IF($H13="",""," "&amp;$H13)&amp;IF(AND(ISNUMBER($O13),$V13&lt;$O13),", por debajo del límite inferior de "&amp;TEXT($O13,"0.####")&amp;IF($H13="",""," "&amp;$H13),"")&amp;IF(AND(ISNUMBER($P13),$V13&gt;$P13),", por encima del límite superior de "&amp;TEXT($P13,"0.####")&amp;IF($H13="",""," "&amp;$H13),"")&amp;".","")&amp;IF($Y13="",""," "&amp;$Y13&amp;IF(RIGHT($Y13,1)=".","","."))&amp;" Acción recomendada: "&amp;$M13&amp;IF(RIGHT($M13,1)=".","",".")&amp;IF($J13="Bloqueante"," El equipo no se libera hasta resolver este hallazgo.",IF($J13="Cobrable"," Se incluye en la cotización de repuestos y consumibles."," Se deja registrado como observación.")))</f>
        <v/>
      </c>
    </row>
    <row r="14" ht="48" customHeight="1">
      <c r="A14" s="10" t="inlineStr">
        <is>
          <t>1.3.2</t>
        </is>
      </c>
      <c r="B14" s="10" t="inlineStr">
        <is>
          <t>1. Verificación funcional inicial</t>
        </is>
      </c>
      <c r="C14" s="10" t="inlineStr">
        <is>
          <t>1.3 Estabilización térmica</t>
        </is>
      </c>
      <c r="D14" s="11" t="inlineStr">
        <is>
          <t>Ajuste del minuto de reset de integración</t>
        </is>
      </c>
      <c r="E14" s="11" t="inlineStr">
        <is>
          <t>Minuto del reloj en el que se ejecuta el reset de integración (RESET TIME)</t>
        </is>
      </c>
      <c r="F14" s="12" t="inlineStr">
        <is>
          <t>Ir a MENU / SYSTEM / RESET TIME y leer el minuto configurado. Contrastarlo con el requerimiento del sistema de adquisición de la estación.</t>
        </is>
      </c>
      <c r="G14" s="10" t="inlineStr">
        <is>
          <t>Numérico</t>
        </is>
      </c>
      <c r="H14" s="10" t="inlineStr">
        <is>
          <t>minutos</t>
        </is>
      </c>
      <c r="I14" s="11" t="inlineStr">
        <is>
          <t>Debe estar ajustado a 00 o 30 min según los requerimientos del sistema de adquisición</t>
        </is>
      </c>
      <c r="J14" s="13" t="inlineStr">
        <is>
          <t>Alerta</t>
        </is>
      </c>
      <c r="K14" s="14" t="inlineStr">
        <is>
          <t>Parámetro distinto al requerido por el sistema de adquisición</t>
        </is>
      </c>
      <c r="L14" s="15" t="inlineStr">
        <is>
          <t>Nodo terminal — actuar directamente</t>
        </is>
      </c>
      <c r="M14" s="14" t="inlineStr">
        <is>
          <t>Ajustar RESET TIME al valor acordado con el operador de la red</t>
        </is>
      </c>
      <c r="N14" s="16" t="inlineStr">
        <is>
          <t>El minuto de reset de integración no corresponde al requerido por el sistema de adquisición de datos de la estación.</t>
        </is>
      </c>
      <c r="O14" s="10" t="n">
        <v>0</v>
      </c>
      <c r="P14" s="10" t="n">
        <v>30</v>
      </c>
      <c r="Q14" s="10" t="inlineStr">
        <is>
          <t>Sí</t>
        </is>
      </c>
      <c r="R14" s="10" t="inlineStr">
        <is>
          <t>No</t>
        </is>
      </c>
      <c r="S14" s="11" t="inlineStr"/>
      <c r="T14" s="11" t="inlineStr">
        <is>
          <t>P-ST-030-MAN OPER APSA 370 V2</t>
        </is>
      </c>
      <c r="U14" s="17" t="inlineStr">
        <is>
          <t>Pendiente</t>
        </is>
      </c>
      <c r="V14" s="17" t="n"/>
      <c r="W14" s="10">
        <f>IF($G14&lt;&gt;"Numérico","",IF($V14="","Sin dato",IF(AND(OR(NOT(ISNUMBER($O14)),$V14&gt;=$O14),OR(NOT(ISNUMBER($P14)),$V14&lt;=$P14)),"Dentro de rango","Fuera de rango")))</f>
        <v/>
      </c>
      <c r="X14" s="17" t="n"/>
      <c r="Y14" s="18" t="n"/>
      <c r="Z14" s="16">
        <f>IF(OR($U14="",$U14="Conforme",$U14="No aplica",$U14="Pendiente"),"",$N14&amp;IF($W14="Fuera de rango"," Valor medido: "&amp;TEXT($V14,"0.####")&amp;IF($H14="",""," "&amp;$H14)&amp;IF(AND(ISNUMBER($O14),$V14&lt;$O14),", por debajo del límite inferior de "&amp;TEXT($O14,"0.####")&amp;IF($H14="",""," "&amp;$H14),"")&amp;IF(AND(ISNUMBER($P14),$V14&gt;$P14),", por encima del límite superior de "&amp;TEXT($P14,"0.####")&amp;IF($H14="",""," "&amp;$H14),"")&amp;".","")&amp;IF($Y14="",""," "&amp;$Y14&amp;IF(RIGHT($Y14,1)=".","","."))&amp;" Acción recomendada: "&amp;$M14&amp;IF(RIGHT($M14,1)=".","",".")&amp;IF($J14="Bloqueante"," El equipo no se libera hasta resolver este hallazgo.",IF($J14="Cobrable"," Se incluye en la cotización de repuestos y consumibles."," Se deja registrado como observación.")))</f>
        <v/>
      </c>
    </row>
    <row r="15" ht="48" customHeight="1">
      <c r="A15" s="10" t="inlineStr">
        <is>
          <t>2.1.1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Número de serie del analizador</t>
        </is>
      </c>
      <c r="E15" s="11" t="inlineStr">
        <is>
          <t>Legibilidad e integridad del serial del fabricante en la placa posterior metálica</t>
        </is>
      </c>
      <c r="F15" s="12" t="inlineStr">
        <is>
          <t>Retirar el equipo del rack lo suficiente para ver el panel trasero, o usar espejo de inspección, y leer la placa metálica de datos HORIBA. Fotografiarla y anotarla en la hoja de campo.</t>
        </is>
      </c>
      <c r="G15" s="10" t="inlineStr">
        <is>
          <t>Texto</t>
        </is>
      </c>
      <c r="H15" s="10" t="inlineStr"/>
      <c r="I15" s="11" t="inlineStr">
        <is>
          <t>Debe ser legible y registrarse en la hoja de campo</t>
        </is>
      </c>
      <c r="J15" s="13" t="inlineStr">
        <is>
          <t>Alerta</t>
        </is>
      </c>
      <c r="K15" s="14" t="inlineStr">
        <is>
          <t>Placa ilegible, o equipo distinto al de la orden de servicio</t>
        </is>
      </c>
      <c r="L15" s="15" t="inlineStr">
        <is>
          <t>2.1.2</t>
        </is>
      </c>
      <c r="M15" s="14" t="inlineStr">
        <is>
          <t>Registrar el serial real, fotografiarlo y corregir la hoja de vida</t>
        </is>
      </c>
      <c r="N15" s="16" t="inlineStr">
        <is>
          <t>La placa de identificación del fabricante no es legible o no coincide con el equipo registrado en la orden de servicio.</t>
        </is>
      </c>
      <c r="O15" s="10" t="n"/>
      <c r="P15" s="10" t="n"/>
      <c r="Q15" s="10" t="inlineStr">
        <is>
          <t>Sí</t>
        </is>
      </c>
      <c r="R15" s="10" t="inlineStr">
        <is>
          <t>No</t>
        </is>
      </c>
      <c r="S15" s="11" t="inlineStr"/>
      <c r="T15" s="11" t="inlineStr">
        <is>
          <t>MT_829WE09R_APSA370_221102</t>
        </is>
      </c>
      <c r="U15" s="17" t="inlineStr">
        <is>
          <t>Pendiente</t>
        </is>
      </c>
      <c r="V15" s="17" t="n"/>
      <c r="W15" s="10">
        <f>IF($G15&lt;&gt;"Numérico","",IF($V15="","Sin dato",IF(AND(OR(NOT(ISNUMBER($O15)),$V15&gt;=$O15),OR(NOT(ISNUMBER($P15)),$V15&lt;=$P15)),"Dentro de rango","Fuera de rango")))</f>
        <v/>
      </c>
      <c r="X15" s="17" t="n"/>
      <c r="Y15" s="18" t="n"/>
      <c r="Z15" s="16">
        <f>IF(OR($U15="",$U15="Conforme",$U15="No aplica",$U15="Pendiente"),"",$N15&amp;IF($W15="Fuera de rango"," Valor medido: "&amp;TEXT($V15,"0.####")&amp;IF($H15="",""," "&amp;$H15)&amp;IF(AND(ISNUMBER($O15),$V15&lt;$O15),", por debajo del límite inferior de "&amp;TEXT($O15,"0.####")&amp;IF($H15="",""," "&amp;$H15),"")&amp;IF(AND(ISNUMBER($P15),$V15&gt;$P15),", por encima del límite superior de "&amp;TEXT($P15,"0.####")&amp;IF($H15="",""," "&amp;$H15),"")&amp;".","")&amp;IF($Y15="",""," "&amp;$Y15&amp;IF(RIGHT($Y15,1)=".","","."))&amp;" Acción recomendada: "&amp;$M15&amp;IF(RIGHT($M15,1)=".","",".")&amp;IF($J15="Bloqueante"," El equipo no se libera hasta resolver este hallazgo.",IF($J15="Cobrable"," Se incluye en la cotización de repuestos y consumibles."," Se deja registrado como observación.")))</f>
        <v/>
      </c>
    </row>
    <row r="16" ht="48" customHeight="1">
      <c r="A16" s="10" t="inlineStr">
        <is>
          <t>2.1.2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Número HGS del analizador</t>
        </is>
      </c>
      <c r="E16" s="11" t="inlineStr">
        <is>
          <t>Identificación del número HGS del analizador y del sistema para trazabilidad de repuestos</t>
        </is>
      </c>
      <c r="F16" s="12" t="inlineStr">
        <is>
          <t>Buscar el número HGS en la placa del equipo o en la documentación de entrega de fábrica y anotarlo. Es el dato que permite pedir repuestos con la configuración correcta.</t>
        </is>
      </c>
      <c r="G16" s="10" t="inlineStr">
        <is>
          <t>Texto</t>
        </is>
      </c>
      <c r="H16" s="10" t="inlineStr"/>
      <c r="I16" s="11" t="inlineStr">
        <is>
          <t>El número HGS debe estar identificado en la placa del equipo o en la documentación de fábrica</t>
        </is>
      </c>
      <c r="J16" s="13" t="inlineStr">
        <is>
          <t>Alerta</t>
        </is>
      </c>
      <c r="K16" s="14" t="inlineStr">
        <is>
          <t>HGS no documentado: impide pedir repuestos con la configuración correcta</t>
        </is>
      </c>
      <c r="L16" s="15" t="inlineStr">
        <is>
          <t>2.1.1</t>
        </is>
      </c>
      <c r="M16" s="14" t="inlineStr">
        <is>
          <t>Solicitar el HGS a fábrica y registrarlo en la hoja de vida</t>
        </is>
      </c>
      <c r="N16" s="16" t="inlineStr">
        <is>
          <t>El número HGS del analizador no está documentado, lo que impide solicitar repuestos con la configuración correcta.</t>
        </is>
      </c>
      <c r="O16" s="10" t="n"/>
      <c r="P16" s="10" t="n"/>
      <c r="Q16" s="10" t="inlineStr">
        <is>
          <t>Sí</t>
        </is>
      </c>
      <c r="R16" s="10" t="inlineStr">
        <is>
          <t>No</t>
        </is>
      </c>
      <c r="S16" s="11" t="inlineStr"/>
      <c r="T16" s="11" t="inlineStr">
        <is>
          <t>1 - LCD design change AP EN</t>
        </is>
      </c>
      <c r="U16" s="17" t="inlineStr">
        <is>
          <t>Pendiente</t>
        </is>
      </c>
      <c r="V16" s="17" t="n"/>
      <c r="W16" s="10">
        <f>IF($G16&lt;&gt;"Numérico","",IF($V16="","Sin dato",IF(AND(OR(NOT(ISNUMBER($O16)),$V16&gt;=$O16),OR(NOT(ISNUMBER($P16)),$V16&lt;=$P16)),"Dentro de rango","Fuera de rango")))</f>
        <v/>
      </c>
      <c r="X16" s="17" t="n"/>
      <c r="Y16" s="18" t="n"/>
      <c r="Z16" s="16">
        <f>IF(OR($U16="",$U16="Conforme",$U16="No aplica",$U16="Pendiente"),"",$N16&amp;IF($W16="Fuera de rango"," Valor medido: "&amp;TEXT($V16,"0.####")&amp;IF($H16="",""," "&amp;$H16)&amp;IF(AND(ISNUMBER($O16),$V16&lt;$O16),", por debajo del límite inferior de "&amp;TEXT($O16,"0.####")&amp;IF($H16="",""," "&amp;$H16),"")&amp;IF(AND(ISNUMBER($P16),$V16&gt;$P16),", por encima del límite superior de "&amp;TEXT($P16,"0.####")&amp;IF($H16="",""," "&amp;$H16),"")&amp;".","")&amp;IF($Y16="",""," "&amp;$Y16&amp;IF(RIGHT($Y16,1)=".","","."))&amp;" Acción recomendada: "&amp;$M16&amp;IF(RIGHT($M16,1)=".","",".")&amp;IF($J16="Bloqueante"," El equipo no se libera hasta resolver este hallazgo.",IF($J16="Cobrable"," Se incluye en la cotización de repuestos y consumibles."," Se deja registrado como observación.")))</f>
        <v/>
      </c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Etiquetas de seguridad</t>
        </is>
      </c>
      <c r="D17" s="11" t="inlineStr">
        <is>
          <t>Etiqueta de advertencia de alto voltaje (lámpara)</t>
        </is>
      </c>
      <c r="E17" s="11" t="inlineStr">
        <is>
          <t>Presencia y legibilidad de la etiqueta de peligro de choque eléctrico cerca de la lámpara</t>
        </is>
      </c>
      <c r="F17" s="12" t="inlineStr">
        <is>
          <t>Con el equipo apagado, desconectado y frío, retirar la cubierta superior y verificar la presencia y legibilidad de la etiqueta de choque eléctrico junto al bloque óptico de la lámpara.</t>
        </is>
      </c>
      <c r="G17" s="10" t="inlineStr">
        <is>
          <t>Presente / Ausente</t>
        </is>
      </c>
      <c r="H17" s="10" t="inlineStr"/>
      <c r="I17" s="11" t="inlineStr">
        <is>
          <t>La etiqueta Choque Eléctrico 1 debe estar adherida y legible cerca del bloque óptico</t>
        </is>
      </c>
      <c r="J17" s="13" t="inlineStr">
        <is>
          <t>Alerta</t>
        </is>
      </c>
      <c r="K17" s="14" t="inlineStr">
        <is>
          <t>Etiqueta desprendida o ilegible</t>
        </is>
      </c>
      <c r="L17" s="15" t="inlineStr">
        <is>
          <t>Nodo terminal — actuar directamente</t>
        </is>
      </c>
      <c r="M17" s="14" t="inlineStr">
        <is>
          <t>Reponer la etiqueta de seguridad y dejar constancia del faltante</t>
        </is>
      </c>
      <c r="N17" s="16" t="inlineStr">
        <is>
          <t>Falta o no es legible la etiqueta de advertencia de riesgo eléctrico junto al bloque óptico.</t>
        </is>
      </c>
      <c r="O17" s="10" t="n"/>
      <c r="P17" s="10" t="n"/>
      <c r="Q17" s="10" t="inlineStr">
        <is>
          <t>Sí</t>
        </is>
      </c>
      <c r="R17" s="10" t="inlineStr">
        <is>
          <t>Sí</t>
        </is>
      </c>
      <c r="S17" s="11" t="inlineStr"/>
      <c r="T17" s="11" t="inlineStr">
        <is>
          <t>P-ST-029-MAN MTTO APSA370 V2</t>
        </is>
      </c>
      <c r="U17" s="17" t="inlineStr">
        <is>
          <t>Pendiente</t>
        </is>
      </c>
      <c r="V17" s="17" t="n"/>
      <c r="W17" s="10">
        <f>IF($G17&lt;&gt;"Numérico","",IF($V17="","Sin dato",IF(AND(OR(NOT(ISNUMBER($O17)),$V17&gt;=$O17),OR(NOT(ISNUMBER($P17)),$V17&lt;=$P17)),"Dentro de rango","Fuera de rango")))</f>
        <v/>
      </c>
      <c r="X17" s="17" t="n"/>
      <c r="Y17" s="18" t="n"/>
      <c r="Z17" s="16">
        <f>IF(OR($U17="",$U17="Conforme",$U17="No aplica",$U17="Pendiente"),"",$N17&amp;IF($W17="Fuera de rango"," Valor medido: "&amp;TEXT($V17,"0.####")&amp;IF($H17="",""," "&amp;$H17)&amp;IF(AND(ISNUMBER($O17),$V17&lt;$O17),", por debajo del límite inferior de "&amp;TEXT($O17,"0.####")&amp;IF($H17="",""," "&amp;$H17),"")&amp;IF(AND(ISNUMBER($P17),$V17&gt;$P17),", por encima del límite superior de "&amp;TEXT($P17,"0.####")&amp;IF($H17="",""," "&amp;$H17),"")&amp;".","")&amp;IF($Y17="",""," "&amp;$Y17&amp;IF(RIGHT($Y17,1)=".","","."))&amp;" Acción recomendada: "&amp;$M17&amp;IF(RIGHT($M17,1)=".","",".")&amp;IF($J17="Bloqueante"," El equipo no se libera hasta resolver este hallazgo.",IF($J17="Cobrable"," Se incluye en la cotización de repuestos y consumibles."," Se deja registrado como observación.")))</f>
        <v/>
      </c>
    </row>
    <row r="18" ht="48" customHeight="1">
      <c r="A18" s="10" t="inlineStr">
        <is>
          <t>2.2.2</t>
        </is>
      </c>
      <c r="B18" s="10" t="inlineStr">
        <is>
          <t>2. Identificación y trazabilidad</t>
        </is>
      </c>
      <c r="C18" s="10" t="inlineStr">
        <is>
          <t>2.2 Etiquetas de seguridad</t>
        </is>
      </c>
      <c r="D18" s="11" t="inlineStr">
        <is>
          <t>Etiqueta de advertencia de alta temperatura</t>
        </is>
      </c>
      <c r="E18" s="11" t="inlineStr">
        <is>
          <t>Etiqueta de peligro de quemadura térmica en componentes que acumulan calor</t>
        </is>
      </c>
      <c r="F18" s="12" t="inlineStr">
        <is>
          <t>Con el equipo apagado y frío, retirar la cubierta superior y verificar la presencia de las etiquetas de componente caliente sobre la carcasa de la bomba y del HC Cutter.</t>
        </is>
      </c>
      <c r="G18" s="10" t="inlineStr">
        <is>
          <t>Presente / Ausente</t>
        </is>
      </c>
      <c r="H18" s="10" t="inlineStr"/>
      <c r="I18" s="11" t="inlineStr">
        <is>
          <t>La etiqueta de componente caliente debe estar visible en la bomba y en el HC Cutter</t>
        </is>
      </c>
      <c r="J18" s="13" t="inlineStr">
        <is>
          <t>Alerta</t>
        </is>
      </c>
      <c r="K18" s="14" t="inlineStr">
        <is>
          <t>Etiqueta desprendida por el calor de la bomba o del HC Cutter</t>
        </is>
      </c>
      <c r="L18" s="15" t="inlineStr">
        <is>
          <t>Nodo terminal — actuar directamente</t>
        </is>
      </c>
      <c r="M18" s="14" t="inlineStr">
        <is>
          <t>Reponer la etiqueta de advertencia térmica</t>
        </is>
      </c>
      <c r="N18" s="16" t="inlineStr">
        <is>
          <t>Faltan o no son legibles las etiquetas de advertencia de superficies calientes sobre la bomba y el eliminador de hidrocarburos.</t>
        </is>
      </c>
      <c r="O18" s="10" t="n"/>
      <c r="P18" s="10" t="n"/>
      <c r="Q18" s="10" t="inlineStr">
        <is>
          <t>Sí</t>
        </is>
      </c>
      <c r="R18" s="10" t="inlineStr">
        <is>
          <t>Sí</t>
        </is>
      </c>
      <c r="S18" s="11" t="inlineStr"/>
      <c r="T18" s="11" t="inlineStr">
        <is>
          <t>P-ST-029-MAN MTTO APSA370 V2</t>
        </is>
      </c>
      <c r="U18" s="17" t="inlineStr">
        <is>
          <t>Pendiente</t>
        </is>
      </c>
      <c r="V18" s="17" t="n"/>
      <c r="W18" s="10">
        <f>IF($G18&lt;&gt;"Numérico","",IF($V18="","Sin dato",IF(AND(OR(NOT(ISNUMBER($O18)),$V18&gt;=$O18),OR(NOT(ISNUMBER($P18)),$V18&lt;=$P18)),"Dentro de rango","Fuera de rango")))</f>
        <v/>
      </c>
      <c r="X18" s="17" t="n"/>
      <c r="Y18" s="18" t="n"/>
      <c r="Z18" s="16">
        <f>IF(OR($U18="",$U18="Conforme",$U18="No aplica",$U18="Pendiente"),"",$N18&amp;IF($W18="Fuera de rango"," Valor medido: "&amp;TEXT($V18,"0.####")&amp;IF($H18="",""," "&amp;$H18)&amp;IF(AND(ISNUMBER($O18),$V18&lt;$O18),", por debajo del límite inferior de "&amp;TEXT($O18,"0.####")&amp;IF($H18="",""," "&amp;$H18),"")&amp;IF(AND(ISNUMBER($P18),$V18&gt;$P18),", por encima del límite superior de "&amp;TEXT($P18,"0.####")&amp;IF($H18="",""," "&amp;$H18),"")&amp;".","")&amp;IF($Y18="",""," "&amp;$Y18&amp;IF(RIGHT($Y18,1)=".","","."))&amp;" Acción recomendada: "&amp;$M18&amp;IF(RIGHT($M18,1)=".","",".")&amp;IF($J18="Bloqueante"," El equipo no se libera hasta resolver este hallazgo.",IF($J18="Cobrable"," Se incluye en la cotización de repuestos y consumibles."," Se deja registrado como observación.")))</f>
        <v/>
      </c>
    </row>
    <row r="19" ht="48" customHeight="1">
      <c r="A19" s="10" t="inlineStr">
        <is>
          <t>3.1.1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calibración de cero (ZERO ADJUST)</t>
        </is>
      </c>
      <c r="E19" s="11" t="inlineStr">
        <is>
          <t>Coeficiente almacenado en el menú de calibración para el ajuste de cero</t>
        </is>
      </c>
      <c r="F19" s="12" t="inlineStr">
        <is>
          <t>Ir a MENU / CAL. y leer el valor del coeficiente ZERO en pantalla. Anotarlo antes de realizar cualquier calibración.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Debe encontrarse dentro de los límites de tolerancia lógicos definidos por firmware</t>
        </is>
      </c>
      <c r="J19" s="13" t="inlineStr">
        <is>
          <t>Bloqueante</t>
        </is>
      </c>
      <c r="K19" s="14" t="inlineStr">
        <is>
          <t>Aire cero contaminado, calentamiento insuficiente, scrubber agotado o fuga neumática</t>
        </is>
      </c>
      <c r="L19" s="15" t="inlineStr">
        <is>
          <t>1.3.1 ; 6.3.2 ; 5.1.5 ; 4.1.3 ; 5.3.1</t>
        </is>
      </c>
      <c r="M19" s="14" t="inlineStr">
        <is>
          <t>Inyectar aire cero de cilindro certificado para descartar el generador; si persiste, seguir la rama de scrubber y fugas</t>
        </is>
      </c>
      <c r="N19" s="16" t="inlineStr">
        <is>
          <t>El coeficiente de calibración de cero se encuentra fuera del rango admisible, por lo que la calibración del punto cero no es válida.</t>
        </is>
      </c>
      <c r="O19" s="10" t="n">
        <v>-3500</v>
      </c>
      <c r="P19" s="10" t="n">
        <v>3500</v>
      </c>
      <c r="Q19" s="10" t="inlineStr">
        <is>
          <t>Sí</t>
        </is>
      </c>
      <c r="R19" s="10" t="inlineStr">
        <is>
          <t>No</t>
        </is>
      </c>
      <c r="S19" s="11" t="inlineStr"/>
      <c r="T19" s="11" t="inlineStr">
        <is>
          <t>P-ST-030-MAN OPER APSA 370 V2</t>
        </is>
      </c>
      <c r="U19" s="17" t="inlineStr">
        <is>
          <t>Pendiente</t>
        </is>
      </c>
      <c r="V19" s="17" t="n"/>
      <c r="W19" s="10">
        <f>IF($G19&lt;&gt;"Numérico","",IF($V19="","Sin dato",IF(AND(OR(NOT(ISNUMBER($O19)),$V19&gt;=$O19),OR(NOT(ISNUMBER($P19)),$V19&lt;=$P19)),"Dentro de rango","Fuera de rango")))</f>
        <v/>
      </c>
      <c r="X19" s="17" t="n"/>
      <c r="Y19" s="18" t="n"/>
      <c r="Z19" s="16">
        <f>IF(OR($U19="",$U19="Conforme",$U19="No aplica",$U19="Pendiente"),"",$N19&amp;IF($W19="Fuera de rango"," Valor medido: "&amp;TEXT($V19,"0.####")&amp;IF($H19="",""," "&amp;$H19)&amp;IF(AND(ISNUMBER($O19),$V19&lt;$O19),", por debajo del límite inferior de "&amp;TEXT($O19,"0.####")&amp;IF($H19="",""," "&amp;$H19),"")&amp;IF(AND(ISNUMBER($P19),$V19&gt;$P19),", por encima del límite superior de "&amp;TEXT($P19,"0.####")&amp;IF($H19="",""," "&amp;$H19),"")&amp;".","")&amp;IF($Y19="",""," "&amp;$Y19&amp;IF(RIGHT($Y19,1)=".","","."))&amp;" Acción recomendada: "&amp;$M19&amp;IF(RIGHT($M19,1)=".","",".")&amp;IF($J19="Bloqueante"," El equipo no se libera hasta resolver este hallazgo.",IF($J19="Cobrable"," Se incluye en la cotización de repuestos y consumibles."," Se deja registrado como observación.")))</f>
        <v/>
      </c>
    </row>
    <row r="20" ht="48" customHeight="1">
      <c r="A20" s="10" t="inlineStr">
        <is>
          <t>3.1.2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 (SPAN ADJUST)</t>
        </is>
      </c>
      <c r="E20" s="11" t="inlineStr">
        <is>
          <t>Coeficiente de ganancia de pendiente almacenado tras la calibración de span</t>
        </is>
      </c>
      <c r="F20" s="12" t="inlineStr">
        <is>
          <t>Ir a MENU / CAL. y leer el valor del coeficiente SPAN en pantalla. Anotarlo antes de calibrar y compararlo con el registrado en el servicio anterior.</t>
        </is>
      </c>
      <c r="G20" s="10" t="inlineStr">
        <is>
          <t>Numérico</t>
        </is>
      </c>
      <c r="H20" s="10" t="inlineStr"/>
      <c r="I20" s="11" t="inlineStr">
        <is>
          <t>Dentro de la tolerancia de ganancia de software; en campo se ubica típicamente entre 0,9 y 1,3</t>
        </is>
      </c>
      <c r="J20" s="13" t="inlineStr">
        <is>
          <t>Bloqueante</t>
        </is>
      </c>
      <c r="K20" s="14" t="inlineStr">
        <is>
          <t>Concentración del patrón mal configurada, lámpara degradada, o electroválvula con fuga</t>
        </is>
      </c>
      <c r="L20" s="15" t="inlineStr">
        <is>
          <t>3.1.3 ; 6.1.1 ; 5.3.2 ; 3.2.1</t>
        </is>
      </c>
      <c r="M20" s="14" t="inlineStr">
        <is>
          <t>Confirmar SPAN CONC. contra el certificado del cilindro y volver a calibrar</t>
        </is>
      </c>
      <c r="N20" s="16" t="inlineStr">
        <is>
          <t>El coeficiente de calibración de span se encuentra fuera del rango admisible, por lo que la calibración de sensibilidad no es válida.</t>
        </is>
      </c>
      <c r="O20" s="10" t="n">
        <v>0.5</v>
      </c>
      <c r="P20" s="10" t="n">
        <v>2</v>
      </c>
      <c r="Q20" s="10" t="inlineStr">
        <is>
          <t>Sí</t>
        </is>
      </c>
      <c r="R20" s="10" t="inlineStr">
        <is>
          <t>No</t>
        </is>
      </c>
      <c r="S20" s="11" t="inlineStr"/>
      <c r="T20" s="11" t="inlineStr">
        <is>
          <t>P-ST-030-MAN OPER APSA 370 V2</t>
        </is>
      </c>
      <c r="U20" s="17" t="inlineStr">
        <is>
          <t>Pendiente</t>
        </is>
      </c>
      <c r="V20" s="17" t="n"/>
      <c r="W20" s="10">
        <f>IF($G20&lt;&gt;"Numérico","",IF($V20="","Sin dato",IF(AND(OR(NOT(ISNUMBER($O20)),$V20&gt;=$O20),OR(NOT(ISNUMBER($P20)),$V20&lt;=$P20)),"Dentro de rango","Fuera de rango")))</f>
        <v/>
      </c>
      <c r="X20" s="17" t="n"/>
      <c r="Y20" s="18" t="n"/>
      <c r="Z20" s="16">
        <f>IF(OR($U20="",$U20="Conforme",$U20="No aplica",$U20="Pendiente"),"",$N20&amp;IF($W20="Fuera de rango"," Valor medido: "&amp;TEXT($V20,"0.####")&amp;IF($H20="",""," "&amp;$H20)&amp;IF(AND(ISNUMBER($O20),$V20&lt;$O20),", por debajo del límite inferior de "&amp;TEXT($O20,"0.####")&amp;IF($H20="",""," "&amp;$H20),"")&amp;IF(AND(ISNUMBER($P20),$V20&gt;$P20),", por encima del límite superior de "&amp;TEXT($P20,"0.####")&amp;IF($H20="",""," "&amp;$H20),"")&amp;".","")&amp;IF($Y20="",""," "&amp;$Y20&amp;IF(RIGHT($Y20,1)=".","","."))&amp;" Acción recomendada: "&amp;$M20&amp;IF(RIGHT($M20,1)=".","",".")&amp;IF($J20="Bloqueante"," El equipo no se libera hasta resolver este hallazgo.",IF($J20="Cobrable"," Se incluye en la cotización de repuestos y consumibles."," Se deja registrado como observación.")))</f>
        <v/>
      </c>
    </row>
    <row r="21" ht="48" customHeight="1">
      <c r="A21" s="10" t="inlineStr">
        <is>
          <t>3.1.3</t>
        </is>
      </c>
      <c r="B21" s="10" t="inlineStr">
        <is>
          <t>3. Estado de calibración</t>
        </is>
      </c>
      <c r="C21" s="10" t="inlineStr">
        <is>
          <t>3.1 Coeficientes de calibración</t>
        </is>
      </c>
      <c r="D21" s="11" t="inlineStr">
        <is>
          <t>Concentración de gas de span configurada (SPAN CONC)</t>
        </is>
      </c>
      <c r="E21" s="11" t="inlineStr">
        <is>
          <t>Ajuste de la concentración de gas patrón en la pantalla de edición de span</t>
        </is>
      </c>
      <c r="F21" s="12" t="inlineStr">
        <is>
          <t>Ir a MENU / CAL. / SPAN CONC. y leer el valor configurado. Contrastarlo contra el certificado del cilindro de gas patrón que se va a utilizar.</t>
        </is>
      </c>
      <c r="G21" s="10" t="inlineStr">
        <is>
          <t>Numérico</t>
        </is>
      </c>
      <c r="H21" s="10" t="inlineStr">
        <is>
          <t>ppm</t>
        </is>
      </c>
      <c r="I21" s="11" t="inlineStr">
        <is>
          <t>Debe configurarse el valor nominal exacto del cilindro de gas patrón de SO2 a utilizar</t>
        </is>
      </c>
      <c r="J21" s="13" t="inlineStr">
        <is>
          <t>Bloqueante</t>
        </is>
      </c>
      <c r="K21" s="14" t="inlineStr">
        <is>
          <t>Valor no coincide con el certificado del cilindro en uso</t>
        </is>
      </c>
      <c r="L21" s="15" t="inlineStr">
        <is>
          <t>3.1.2</t>
        </is>
      </c>
      <c r="M21" s="14" t="inlineStr">
        <is>
          <t>Corregir el valor en el menú y repetir la calibración de span</t>
        </is>
      </c>
      <c r="N21" s="16" t="inlineStr">
        <is>
          <t>La concentración de gas patrón configurada en el analizador no coincide con la del cilindro certificado en uso.</t>
        </is>
      </c>
      <c r="O21" s="10" t="n">
        <v>1e-05</v>
      </c>
      <c r="P21" s="10" t="n">
        <v>99999</v>
      </c>
      <c r="Q21" s="10" t="inlineStr">
        <is>
          <t>Sí</t>
        </is>
      </c>
      <c r="R21" s="10" t="inlineStr">
        <is>
          <t>No</t>
        </is>
      </c>
      <c r="S21" s="11" t="inlineStr"/>
      <c r="T21" s="11" t="inlineStr">
        <is>
          <t>P-ST-030-MAN OPER APSA 370 V2</t>
        </is>
      </c>
      <c r="U21" s="17" t="inlineStr">
        <is>
          <t>Pendiente</t>
        </is>
      </c>
      <c r="V21" s="17" t="n"/>
      <c r="W21" s="10">
        <f>IF($G21&lt;&gt;"Numérico","",IF($V21="","Sin dato",IF(AND(OR(NOT(ISNUMBER($O21)),$V21&gt;=$O21),OR(NOT(ISNUMBER($P21)),$V21&lt;=$P21)),"Dentro de rango","Fuera de rango")))</f>
        <v/>
      </c>
      <c r="X21" s="17" t="n"/>
      <c r="Y21" s="18" t="n"/>
      <c r="Z21" s="16">
        <f>IF(OR($U21="",$U21="Conforme",$U21="No aplica",$U21="Pendiente"),"",$N21&amp;IF($W21="Fuera de rango"," Valor medido: "&amp;TEXT($V21,"0.####")&amp;IF($H21="",""," "&amp;$H21)&amp;IF(AND(ISNUMBER($O21),$V21&lt;$O21),", por debajo del límite inferior de "&amp;TEXT($O21,"0.####")&amp;IF($H21="",""," "&amp;$H21),"")&amp;IF(AND(ISNUMBER($P21),$V21&gt;$P21),", por encima del límite superior de "&amp;TEXT($P21,"0.####")&amp;IF($H21="",""," "&amp;$H21),"")&amp;".","")&amp;IF($Y21="",""," "&amp;$Y21&amp;IF(RIGHT($Y21,1)=".","","."))&amp;" Acción recomendada: "&amp;$M21&amp;IF(RIGHT($M21,1)=".","",".")&amp;IF($J21="Bloqueante"," El equipo no se libera hasta resolver este hallazgo.",IF($J21="Cobrable"," Se incluye en la cotización de repuestos y consumibles."," Se deja registrado como observación.")))</f>
        <v/>
      </c>
    </row>
    <row r="22" ht="48" customHeight="1">
      <c r="A22" s="10" t="inlineStr">
        <is>
          <t>3.2.1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Presión del gas en el puerto posterior de calibración</t>
        </is>
      </c>
      <c r="E22" s="11" t="inlineStr">
        <is>
          <t>Estabilidad de la presión de suministro en la entrada de gas de calibración</t>
        </is>
      </c>
      <c r="F22" s="12" t="inlineStr">
        <is>
          <t>Conectar un manómetro de baja presión en la línea de gas de calibración, aguas arriba del puerto CAL GAS INLET, y leer la presión con el gas fluyendo.</t>
        </is>
      </c>
      <c r="G22" s="10" t="inlineStr">
        <is>
          <t>Numérico</t>
        </is>
      </c>
      <c r="H22" s="10" t="inlineStr">
        <is>
          <t>Pa</t>
        </is>
      </c>
      <c r="I22" s="11" t="inlineStr">
        <is>
          <t>La presión del gas de calibración debe mantenerse regulada para asegurar estabilidad neumática</t>
        </is>
      </c>
      <c r="J22" s="13" t="inlineStr">
        <is>
          <t>Bloqueante</t>
        </is>
      </c>
      <c r="K22" s="14" t="inlineStr">
        <is>
          <t>Regulador del cilindro mal ajustado o cilindro despresurizado</t>
        </is>
      </c>
      <c r="L22" s="15" t="inlineStr">
        <is>
          <t>3.1.2</t>
        </is>
      </c>
      <c r="M22" s="14" t="inlineStr">
        <is>
          <t>Reajustar el regulador de doble etapa y repetir la calibración</t>
        </is>
      </c>
      <c r="N22" s="16" t="inlineStr">
        <is>
          <t>La presión de entrega del gas de calibración no es estable, lo que compromete la validez de la calibración.</t>
        </is>
      </c>
      <c r="O22" s="10" t="n">
        <v>-500</v>
      </c>
      <c r="P22" s="10" t="n">
        <v>500</v>
      </c>
      <c r="Q22" s="10" t="inlineStr">
        <is>
          <t>Sí</t>
        </is>
      </c>
      <c r="R22" s="10" t="inlineStr">
        <is>
          <t>No</t>
        </is>
      </c>
      <c r="S22" s="11" t="inlineStr"/>
      <c r="T22" s="11" t="inlineStr">
        <is>
          <t>P-ST-030-MAN OPER APSA 370 V2</t>
        </is>
      </c>
      <c r="U22" s="17" t="inlineStr">
        <is>
          <t>Pendiente</t>
        </is>
      </c>
      <c r="V22" s="17" t="n"/>
      <c r="W22" s="10">
        <f>IF($G22&lt;&gt;"Numérico","",IF($V22="","Sin dato",IF(AND(OR(NOT(ISNUMBER($O22)),$V22&gt;=$O22),OR(NOT(ISNUMBER($P22)),$V22&lt;=$P22)),"Dentro de rango","Fuera de rango")))</f>
        <v/>
      </c>
      <c r="X22" s="17" t="n"/>
      <c r="Y22" s="18" t="n"/>
      <c r="Z22" s="16">
        <f>IF(OR($U22="",$U22="Conforme",$U22="No aplica",$U22="Pendiente"),"",$N22&amp;IF($W22="Fuera de rango"," Valor medido: "&amp;TEXT($V22,"0.####")&amp;IF($H22="",""," "&amp;$H22)&amp;IF(AND(ISNUMBER($O22),$V22&lt;$O22),", por debajo del límite inferior de "&amp;TEXT($O22,"0.####")&amp;IF($H22="",""," "&amp;$H22),"")&amp;IF(AND(ISNUMBER($P22),$V22&gt;$P22),", por encima del límite superior de "&amp;TEXT($P22,"0.####")&amp;IF($H22="",""," "&amp;$H22),"")&amp;".","")&amp;IF($Y22="",""," "&amp;$Y22&amp;IF(RIGHT($Y22,1)=".","","."))&amp;" Acción recomendada: "&amp;$M22&amp;IF(RIGHT($M22,1)=".","",".")&amp;IF($J22="Bloqueante"," El equipo no se libera hasta resolver este hallazgo.",IF($J22="Cobrable"," Se incluye en la cotización de repuestos y consumibles."," Se deja registrado como observación.")))</f>
        <v/>
      </c>
    </row>
    <row r="23" ht="48" customHeight="1">
      <c r="A23" s="10" t="inlineStr">
        <is>
          <t>3.3.1</t>
        </is>
      </c>
      <c r="B23" s="10" t="inlineStr">
        <is>
          <t>3. Estado de calibración</t>
        </is>
      </c>
      <c r="C23" s="10" t="inlineStr">
        <is>
          <t>3.3 Secuencia de autocalibración (AIC)</t>
        </is>
      </c>
      <c r="D23" s="11" t="inlineStr">
        <is>
          <t>Tiempo de espera para estabilización en AIC (WAIT)</t>
        </is>
      </c>
      <c r="E23" s="11" t="inlineStr">
        <is>
          <t>Tiempo de estabilización tras la conmutación de líneas de gas en calibración automática</t>
        </is>
      </c>
      <c r="F23" s="12" t="inlineStr">
        <is>
          <t>Ir a MENU / MAINTENANCE / AIC y leer el tiempo WAIT configurado. Anotarlo y verificar que dé margen suficiente de purga para la línea instalada.</t>
        </is>
      </c>
      <c r="G23" s="10" t="inlineStr">
        <is>
          <t>Numérico</t>
        </is>
      </c>
      <c r="H23" s="10" t="inlineStr">
        <is>
          <t>minutos</t>
        </is>
      </c>
      <c r="I23" s="11" t="inlineStr">
        <is>
          <t>Ajuste de tiempo para garantizar purga y estabilización completa de las lecturas</t>
        </is>
      </c>
      <c r="J23" s="13" t="inlineStr">
        <is>
          <t>Alerta</t>
        </is>
      </c>
      <c r="K23" s="14" t="inlineStr">
        <is>
          <t>Tiempo insuficiente para purgar la línea de calibración</t>
        </is>
      </c>
      <c r="L23" s="15" t="inlineStr">
        <is>
          <t>Nodo terminal — actuar directamente</t>
        </is>
      </c>
      <c r="M23" s="14" t="inlineStr">
        <is>
          <t>Subir el WAIT a 20 min o más, según la longitud de la línea instalada</t>
        </is>
      </c>
      <c r="N23" s="16" t="inlineStr">
        <is>
          <t>El tiempo de espera de la secuencia de autocalibración es insuficiente para purgar la línea antes de tomar la lectura.</t>
        </is>
      </c>
      <c r="O23" s="10" t="n">
        <v>20</v>
      </c>
      <c r="P23" s="10" t="n">
        <v>999</v>
      </c>
      <c r="Q23" s="10" t="inlineStr">
        <is>
          <t>Sí</t>
        </is>
      </c>
      <c r="R23" s="10" t="inlineStr">
        <is>
          <t>No</t>
        </is>
      </c>
      <c r="S23" s="11" t="inlineStr"/>
      <c r="T23" s="11" t="inlineStr">
        <is>
          <t>P-ST-030-MAN OPER APSA 370 V2</t>
        </is>
      </c>
      <c r="U23" s="17" t="inlineStr">
        <is>
          <t>Pendiente</t>
        </is>
      </c>
      <c r="V23" s="17" t="n"/>
      <c r="W23" s="10">
        <f>IF($G23&lt;&gt;"Numérico","",IF($V23="","Sin dato",IF(AND(OR(NOT(ISNUMBER($O23)),$V23&gt;=$O23),OR(NOT(ISNUMBER($P23)),$V23&lt;=$P23)),"Dentro de rango","Fuera de rango")))</f>
        <v/>
      </c>
      <c r="X23" s="17" t="n"/>
      <c r="Y23" s="18" t="n"/>
      <c r="Z23" s="16">
        <f>IF(OR($U23="",$U23="Conforme",$U23="No aplica",$U23="Pendiente"),"",$N23&amp;IF($W23="Fuera de rango"," Valor medido: "&amp;TEXT($V23,"0.####")&amp;IF($H23="",""," "&amp;$H23)&amp;IF(AND(ISNUMBER($O23),$V23&lt;$O23),", por debajo del límite inferior de "&amp;TEXT($O23,"0.####")&amp;IF($H23="",""," "&amp;$H23),"")&amp;IF(AND(ISNUMBER($P23),$V23&gt;$P23),", por encima del límite superior de "&amp;TEXT($P23,"0.####")&amp;IF($H23="",""," "&amp;$H23),"")&amp;".","")&amp;IF($Y23="",""," "&amp;$Y23&amp;IF(RIGHT($Y23,1)=".","","."))&amp;" Acción recomendada: "&amp;$M23&amp;IF(RIGHT($M23,1)=".","",".")&amp;IF($J23="Bloqueante"," El equipo no se libera hasta resolver este hallazgo.",IF($J23="Cobrable"," Se incluye en la cotización de repuestos y consumibles."," Se deja registrado como observación.")))</f>
        <v/>
      </c>
    </row>
    <row r="24" ht="48" customHeight="1">
      <c r="A24" s="10" t="inlineStr">
        <is>
          <t>3.3.2</t>
        </is>
      </c>
      <c r="B24" s="10" t="inlineStr">
        <is>
          <t>3. Estado de calibración</t>
        </is>
      </c>
      <c r="C24" s="10" t="inlineStr">
        <is>
          <t>3.3 Secuencia de autocalibración (AIC)</t>
        </is>
      </c>
      <c r="D24" s="11" t="inlineStr">
        <is>
          <t>Tiempo de retención en AIC (HOLD)</t>
        </is>
      </c>
      <c r="E24" s="11" t="inlineStr">
        <is>
          <t>Tiempo de validación para registrar y verificar lecturas tras volver a MEAS</t>
        </is>
      </c>
      <c r="F24" s="12" t="inlineStr">
        <is>
          <t>Ir a MENU / MAINTENANCE / AIC y leer el tiempo HOLD configurado. Anotarlo junto con el resto de parámetros de la secuencia.</t>
        </is>
      </c>
      <c r="G24" s="10" t="inlineStr">
        <is>
          <t>Numérico</t>
        </is>
      </c>
      <c r="H24" s="10" t="inlineStr">
        <is>
          <t>minutos</t>
        </is>
      </c>
      <c r="I24" s="11" t="inlineStr">
        <is>
          <t>Tiempo configurado para la verificación posterior a la calibración</t>
        </is>
      </c>
      <c r="J24" s="13" t="inlineStr">
        <is>
          <t>Alerta</t>
        </is>
      </c>
      <c r="K24" s="14" t="inlineStr">
        <is>
          <t>Parámetro distinto al acordado con la red de monitoreo</t>
        </is>
      </c>
      <c r="L24" s="15" t="inlineStr">
        <is>
          <t>Nodo terminal — actuar directamente</t>
        </is>
      </c>
      <c r="M24" s="14" t="inlineStr">
        <is>
          <t>Ajustar el HOLD al valor definido por el operador de la red</t>
        </is>
      </c>
      <c r="N24" s="16" t="inlineStr">
        <is>
          <t>El tiempo de sostenimiento de la secuencia de autocalibración no corresponde al definido para la red de monitoreo.</t>
        </is>
      </c>
      <c r="O24" s="10" t="n">
        <v>0</v>
      </c>
      <c r="P24" s="10" t="n">
        <v>999</v>
      </c>
      <c r="Q24" s="10" t="inlineStr">
        <is>
          <t>Sí</t>
        </is>
      </c>
      <c r="R24" s="10" t="inlineStr">
        <is>
          <t>No</t>
        </is>
      </c>
      <c r="S24" s="11" t="inlineStr"/>
      <c r="T24" s="11" t="inlineStr">
        <is>
          <t>P-ST-030-MAN OPER APSA 370 V2</t>
        </is>
      </c>
      <c r="U24" s="17" t="inlineStr">
        <is>
          <t>Pendiente</t>
        </is>
      </c>
      <c r="V24" s="17" t="n"/>
      <c r="W24" s="10">
        <f>IF($G24&lt;&gt;"Numérico","",IF($V24="","Sin dato",IF(AND(OR(NOT(ISNUMBER($O24)),$V24&gt;=$O24),OR(NOT(ISNUMBER($P24)),$V24&lt;=$P24)),"Dentro de rango","Fuera de rango")))</f>
        <v/>
      </c>
      <c r="X24" s="17" t="n"/>
      <c r="Y24" s="18" t="n"/>
      <c r="Z24" s="16">
        <f>IF(OR($U24="",$U24="Conforme",$U24="No aplica",$U24="Pendiente"),"",$N24&amp;IF($W24="Fuera de rango"," Valor medido: "&amp;TEXT($V24,"0.####")&amp;IF($H24="",""," "&amp;$H24)&amp;IF(AND(ISNUMBER($O24),$V24&lt;$O24),", por debajo del límite inferior de "&amp;TEXT($O24,"0.####")&amp;IF($H24="",""," "&amp;$H24),"")&amp;IF(AND(ISNUMBER($P24),$V24&gt;$P24),", por encima del límite superior de "&amp;TEXT($P24,"0.####")&amp;IF($H24="",""," "&amp;$H24),"")&amp;".","")&amp;IF($Y24="",""," "&amp;$Y24&amp;IF(RIGHT($Y24,1)=".","","."))&amp;" Acción recomendada: "&amp;$M24&amp;IF(RIGHT($M24,1)=".","",".")&amp;IF($J24="Bloqueante"," El equipo no se libera hasta resolver este hallazgo.",IF($J24="Cobrable"," Se incluye en la cotización de repuestos y consumibles."," Se deja registrado como observación.")))</f>
        <v/>
      </c>
    </row>
    <row r="25" ht="48" customHeight="1">
      <c r="A25" s="10" t="inlineStr">
        <is>
          <t>3.3.3</t>
        </is>
      </c>
      <c r="B25" s="10" t="inlineStr">
        <is>
          <t>3. Estado de calibración</t>
        </is>
      </c>
      <c r="C25" s="10" t="inlineStr">
        <is>
          <t>3.3 Secuencia de autocalibración (AIC)</t>
        </is>
      </c>
      <c r="D25" s="11" t="inlineStr">
        <is>
          <t>Habilitación de calibración en AIC (CAL YES/NO)</t>
        </is>
      </c>
      <c r="E25" s="11" t="inlineStr">
        <is>
          <t>Especificación de si se permite actualizar los coeficientes tras el AIC</t>
        </is>
      </c>
      <c r="F25" s="12" t="inlineStr">
        <is>
          <t>Ir a MENU / MAINTENANCE / AIC y leer el ajuste CAL (YES / NO). Confirmar con el responsable de la red si la política es corregir factores o solo verificar.</t>
        </is>
      </c>
      <c r="G25" s="10" t="inlineStr">
        <is>
          <t>Sí/No</t>
        </is>
      </c>
      <c r="H25" s="10" t="inlineStr"/>
      <c r="I25" s="11" t="inlineStr">
        <is>
          <t>YES actualiza automáticamente los coeficientes; NO solo calcula las derivas sin alterarlos</t>
        </is>
      </c>
      <c r="J25" s="13" t="inlineStr">
        <is>
          <t>Alerta</t>
        </is>
      </c>
      <c r="K25" s="14" t="inlineStr">
        <is>
          <t>Ajuste incoherente con la política de la red</t>
        </is>
      </c>
      <c r="L25" s="15" t="inlineStr">
        <is>
          <t>Nodo terminal — actuar directamente</t>
        </is>
      </c>
      <c r="M25" s="14" t="inlineStr">
        <is>
          <t>Definirlo con el responsable de la red y dejarlo documentado</t>
        </is>
      </c>
      <c r="N25" s="16" t="inlineStr">
        <is>
          <t>La opción de corrección automática de la secuencia de autocalibración no corresponde a la política definida para la estación.</t>
        </is>
      </c>
      <c r="O25" s="10" t="n"/>
      <c r="P25" s="10" t="n"/>
      <c r="Q25" s="10" t="inlineStr">
        <is>
          <t>Sí</t>
        </is>
      </c>
      <c r="R25" s="10" t="inlineStr">
        <is>
          <t>No</t>
        </is>
      </c>
      <c r="S25" s="11" t="inlineStr"/>
      <c r="T25" s="11" t="inlineStr">
        <is>
          <t>P-ST-030-MAN OPER APSA 370 V2</t>
        </is>
      </c>
      <c r="U25" s="17" t="inlineStr">
        <is>
          <t>Pendiente</t>
        </is>
      </c>
      <c r="V25" s="17" t="n"/>
      <c r="W25" s="10">
        <f>IF($G25&lt;&gt;"Numérico","",IF($V25="","Sin dato",IF(AND(OR(NOT(ISNUMBER($O25)),$V25&gt;=$O25),OR(NOT(ISNUMBER($P25)),$V25&lt;=$P25)),"Dentro de rango","Fuera de rango")))</f>
        <v/>
      </c>
      <c r="X25" s="17" t="n"/>
      <c r="Y25" s="18" t="n"/>
      <c r="Z25" s="16">
        <f>IF(OR($U25="",$U25="Conforme",$U25="No aplica",$U25="Pendiente"),"",$N25&amp;IF($W25="Fuera de rango"," Valor medido: "&amp;TEXT($V25,"0.####")&amp;IF($H25="",""," "&amp;$H25)&amp;IF(AND(ISNUMBER($O25),$V25&lt;$O25),", por debajo del límite inferior de "&amp;TEXT($O25,"0.####")&amp;IF($H25="",""," "&amp;$H25),"")&amp;IF(AND(ISNUMBER($P25),$V25&gt;$P25),", por encima del límite superior de "&amp;TEXT($P25,"0.####")&amp;IF($H25="",""," "&amp;$H25),"")&amp;".","")&amp;IF($Y25="",""," "&amp;$Y25&amp;IF(RIGHT($Y25,1)=".","","."))&amp;" Acción recomendada: "&amp;$M25&amp;IF(RIGHT($M25,1)=".","",".")&amp;IF($J25="Bloqueante"," El equipo no se libera hasta resolver este hallazgo.",IF($J25="Cobrable"," Se incluye en la cotización de repuestos y consumibles."," Se deja registrado como observación.")))</f>
        <v/>
      </c>
    </row>
    <row r="26" ht="48" customHeight="1">
      <c r="A26" s="10" t="inlineStr">
        <is>
          <t>3.4.1</t>
        </is>
      </c>
      <c r="B26" s="10" t="inlineStr">
        <is>
          <t>3. Estado de calibración</t>
        </is>
      </c>
      <c r="C26" s="10" t="inlineStr">
        <is>
          <t>3.4 Deriva de cero (Zero Drift)</t>
        </is>
      </c>
      <c r="D26" s="11" t="inlineStr">
        <is>
          <t>Deriva diaria de cero en rangos bajos (rango menor o igual a 0,2 ppm)</t>
        </is>
      </c>
      <c r="E26" s="11" t="inlineStr">
        <is>
          <t>Deriva diaria de cero máxima permitida en rangos menores o iguales a 0,2 ppm</t>
        </is>
      </c>
      <c r="F26" s="12" t="inlineStr">
        <is>
          <t>Introducir gas cero y dejar estabilizar; anotar la lectura, repetir la medición 24 h después en las mismas condiciones y calcular la diferencia.</t>
        </is>
      </c>
      <c r="G26" s="10" t="inlineStr">
        <is>
          <t>Numérico</t>
        </is>
      </c>
      <c r="H26" s="10" t="inlineStr">
        <is>
          <t>ppb/día</t>
        </is>
      </c>
      <c r="I26" s="11" t="inlineStr">
        <is>
          <t>Desviación máxima diaria de la lectura del cero en rangos bajos</t>
        </is>
      </c>
      <c r="J26" s="13" t="inlineStr">
        <is>
          <t>Bloqueante</t>
        </is>
      </c>
      <c r="K26" s="14" t="inlineStr">
        <is>
          <t>Scrubber de referencia agotado, microfuga, o inestabilidad térmica de la sala</t>
        </is>
      </c>
      <c r="L26" s="15" t="inlineStr">
        <is>
          <t>6.3.2 ; 5.1.5 ; 10.1.1</t>
        </is>
      </c>
      <c r="M26" s="14" t="inlineStr">
        <is>
          <t>Corregir la causa antes de recalibrar; recalibrar sin corregir solo enmascara la deriva</t>
        </is>
      </c>
      <c r="N26" s="16" t="inlineStr">
        <is>
          <t>La deriva diaria del punto cero en rangos bajos supera la tolerancia especificada por el fabricante.</t>
        </is>
      </c>
      <c r="O26" s="10" t="n">
        <v>-1</v>
      </c>
      <c r="P26" s="10" t="n">
        <v>1</v>
      </c>
      <c r="Q26" s="10" t="inlineStr">
        <is>
          <t>Sí</t>
        </is>
      </c>
      <c r="R26" s="10" t="inlineStr">
        <is>
          <t>No</t>
        </is>
      </c>
      <c r="S26" s="11" t="inlineStr"/>
      <c r="T26" s="11" t="inlineStr">
        <is>
          <t>P-ST-030-MAN OPER APSA 370 V2</t>
        </is>
      </c>
      <c r="U26" s="17" t="inlineStr">
        <is>
          <t>Pendiente</t>
        </is>
      </c>
      <c r="V26" s="17" t="n"/>
      <c r="W26" s="10">
        <f>IF($G26&lt;&gt;"Numérico","",IF($V26="","Sin dato",IF(AND(OR(NOT(ISNUMBER($O26)),$V26&gt;=$O26),OR(NOT(ISNUMBER($P26)),$V26&lt;=$P26)),"Dentro de rango","Fuera de rango")))</f>
        <v/>
      </c>
      <c r="X26" s="17" t="n"/>
      <c r="Y26" s="18" t="n"/>
      <c r="Z26" s="16">
        <f>IF(OR($U26="",$U26="Conforme",$U26="No aplica",$U26="Pendiente"),"",$N26&amp;IF($W26="Fuera de rango"," Valor medido: "&amp;TEXT($V26,"0.####")&amp;IF($H26="",""," "&amp;$H26)&amp;IF(AND(ISNUMBER($O26),$V26&lt;$O26),", por debajo del límite inferior de "&amp;TEXT($O26,"0.####")&amp;IF($H26="",""," "&amp;$H26),"")&amp;IF(AND(ISNUMBER($P26),$V26&gt;$P26),", por encima del límite superior de "&amp;TEXT($P26,"0.####")&amp;IF($H26="",""," "&amp;$H26),"")&amp;".","")&amp;IF($Y26="",""," "&amp;$Y26&amp;IF(RIGHT($Y26,1)=".","","."))&amp;" Acción recomendada: "&amp;$M26&amp;IF(RIGHT($M26,1)=".","",".")&amp;IF($J26="Bloqueante"," El equipo no se libera hasta resolver este hallazgo.",IF($J26="Cobrable"," Se incluye en la cotización de repuestos y consumibles."," Se deja registrado como observación.")))</f>
        <v/>
      </c>
    </row>
    <row r="27" ht="48" customHeight="1">
      <c r="A27" s="10" t="inlineStr">
        <is>
          <t>3.4.2</t>
        </is>
      </c>
      <c r="B27" s="10" t="inlineStr">
        <is>
          <t>3. Estado de calibración</t>
        </is>
      </c>
      <c r="C27" s="10" t="inlineStr">
        <is>
          <t>3.4 Deriva de cero (Zero Drift)</t>
        </is>
      </c>
      <c r="D27" s="11" t="inlineStr">
        <is>
          <t>Deriva semanal de cero en rangos bajos (rango menor o igual a 0,2 ppm)</t>
        </is>
      </c>
      <c r="E27" s="11" t="inlineStr">
        <is>
          <t>Deriva semanal de cero máxima permitida en rangos menores o iguales a 0,2 ppm</t>
        </is>
      </c>
      <c r="F27" s="12" t="inlineStr">
        <is>
          <t>Introducir gas cero y anotar la lectura; repetir la medición una semana después en las mismas condiciones y calcular la diferencia.</t>
        </is>
      </c>
      <c r="G27" s="10" t="inlineStr">
        <is>
          <t>Numérico</t>
        </is>
      </c>
      <c r="H27" s="10" t="inlineStr">
        <is>
          <t>ppb/semana</t>
        </is>
      </c>
      <c r="I27" s="11" t="inlineStr">
        <is>
          <t>Desviación máxima semanal de la lectura del cero en rangos bajos</t>
        </is>
      </c>
      <c r="J27" s="13" t="inlineStr">
        <is>
          <t>Bloqueante</t>
        </is>
      </c>
      <c r="K27" s="14" t="inlineStr">
        <is>
          <t>Degradación progresiva del scrubber o del HC Cutter</t>
        </is>
      </c>
      <c r="L27" s="15" t="inlineStr">
        <is>
          <t>6.3.2 ; 6.3.1 ; 8.1.2</t>
        </is>
      </c>
      <c r="M27" s="14" t="inlineStr">
        <is>
          <t>Reemplazar el consumible agotado y repetir el seguimiento semanal</t>
        </is>
      </c>
      <c r="N27" s="16" t="inlineStr">
        <is>
          <t>La deriva semanal del punto cero en rangos bajos supera la tolerancia especificada por el fabricante.</t>
        </is>
      </c>
      <c r="O27" s="10" t="n">
        <v>-1</v>
      </c>
      <c r="P27" s="10" t="n">
        <v>1</v>
      </c>
      <c r="Q27" s="10" t="inlineStr">
        <is>
          <t>Sí</t>
        </is>
      </c>
      <c r="R27" s="10" t="inlineStr">
        <is>
          <t>No</t>
        </is>
      </c>
      <c r="S27" s="11" t="inlineStr"/>
      <c r="T27" s="11" t="inlineStr">
        <is>
          <t>P-ST-030-MAN OPER APSA 370 V2</t>
        </is>
      </c>
      <c r="U27" s="17" t="inlineStr">
        <is>
          <t>Pendiente</t>
        </is>
      </c>
      <c r="V27" s="17" t="n"/>
      <c r="W27" s="10">
        <f>IF($G27&lt;&gt;"Numérico","",IF($V27="","Sin dato",IF(AND(OR(NOT(ISNUMBER($O27)),$V27&gt;=$O27),OR(NOT(ISNUMBER($P27)),$V27&lt;=$P27)),"Dentro de rango","Fuera de rango")))</f>
        <v/>
      </c>
      <c r="X27" s="17" t="n"/>
      <c r="Y27" s="18" t="n"/>
      <c r="Z27" s="16">
        <f>IF(OR($U27="",$U27="Conforme",$U27="No aplica",$U27="Pendiente"),"",$N27&amp;IF($W27="Fuera de rango"," Valor medido: "&amp;TEXT($V27,"0.####")&amp;IF($H27="",""," "&amp;$H27)&amp;IF(AND(ISNUMBER($O27),$V27&lt;$O27),", por debajo del límite inferior de "&amp;TEXT($O27,"0.####")&amp;IF($H27="",""," "&amp;$H27),"")&amp;IF(AND(ISNUMBER($P27),$V27&gt;$P27),", por encima del límite superior de "&amp;TEXT($P27,"0.####")&amp;IF($H27="",""," "&amp;$H27),"")&amp;".","")&amp;IF($Y27="",""," "&amp;$Y27&amp;IF(RIGHT($Y27,1)=".","","."))&amp;" Acción recomendada: "&amp;$M27&amp;IF(RIGHT($M27,1)=".","",".")&amp;IF($J27="Bloqueante"," El equipo no se libera hasta resolver este hallazgo.",IF($J27="Cobrable"," Se incluye en la cotización de repuestos y consumibles."," Se deja registrado como observación.")))</f>
        <v/>
      </c>
    </row>
    <row r="28" ht="48" customHeight="1">
      <c r="A28" s="10" t="inlineStr">
        <is>
          <t>3.4.3</t>
        </is>
      </c>
      <c r="B28" s="10" t="inlineStr">
        <is>
          <t>3. Estado de calibración</t>
        </is>
      </c>
      <c r="C28" s="10" t="inlineStr">
        <is>
          <t>3.4 Deriva de cero (Zero Drift)</t>
        </is>
      </c>
      <c r="D28" s="11" t="inlineStr">
        <is>
          <t>Deriva diaria de cero en rangos altos (rango mayor a 0,2 ppm)</t>
        </is>
      </c>
      <c r="E28" s="11" t="inlineStr">
        <is>
          <t>Deriva diaria de cero máxima permitida en rangos superiores a 0,2 ppm</t>
        </is>
      </c>
      <c r="F28" s="12" t="inlineStr">
        <is>
          <t>Introducir gas cero en el rango alto de trabajo y anotar la lectura; repetir 24 h después y expresar la diferencia como porcentaje del fondo de escala.</t>
        </is>
      </c>
      <c r="G28" s="10" t="inlineStr">
        <is>
          <t>Numérico</t>
        </is>
      </c>
      <c r="H28" s="10" t="inlineStr">
        <is>
          <t>% F.S.</t>
        </is>
      </c>
      <c r="I28" s="11" t="inlineStr">
        <is>
          <t>Desviación máxima diaria del cero respecto al fondo de escala, en rangos altos</t>
        </is>
      </c>
      <c r="J28" s="13" t="inlineStr">
        <is>
          <t>Bloqueante</t>
        </is>
      </c>
      <c r="K28" s="14" t="inlineStr">
        <is>
          <t>Fuga neumática o contaminación del aire cero</t>
        </is>
      </c>
      <c r="L28" s="15" t="inlineStr">
        <is>
          <t>5.1.5 ; 4.3.1 ; 6.3.2</t>
        </is>
      </c>
      <c r="M28" s="14" t="inlineStr">
        <is>
          <t>Ubicar la fuga o cambiar el aire cero y repetir la medición a 24 h</t>
        </is>
      </c>
      <c r="N28" s="16" t="inlineStr">
        <is>
          <t>La deriva diaria del punto cero en rangos altos supera la tolerancia especificada por el fabricante.</t>
        </is>
      </c>
      <c r="O28" s="10" t="n">
        <v>-1</v>
      </c>
      <c r="P28" s="10" t="n">
        <v>1</v>
      </c>
      <c r="Q28" s="10" t="inlineStr">
        <is>
          <t>Sí</t>
        </is>
      </c>
      <c r="R28" s="10" t="inlineStr">
        <is>
          <t>No</t>
        </is>
      </c>
      <c r="S28" s="11" t="inlineStr"/>
      <c r="T28" s="11" t="inlineStr">
        <is>
          <t>P-ST-030-MAN OPER APSA 370 V2</t>
        </is>
      </c>
      <c r="U28" s="17" t="inlineStr">
        <is>
          <t>Pendiente</t>
        </is>
      </c>
      <c r="V28" s="17" t="n"/>
      <c r="W28" s="10">
        <f>IF($G28&lt;&gt;"Numérico","",IF($V28="","Sin dato",IF(AND(OR(NOT(ISNUMBER($O28)),$V28&gt;=$O28),OR(NOT(ISNUMBER($P28)),$V28&lt;=$P28)),"Dentro de rango","Fuera de rango")))</f>
        <v/>
      </c>
      <c r="X28" s="17" t="n"/>
      <c r="Y28" s="18" t="n"/>
      <c r="Z28" s="16">
        <f>IF(OR($U28="",$U28="Conforme",$U28="No aplica",$U28="Pendiente"),"",$N28&amp;IF($W28="Fuera de rango"," Valor medido: "&amp;TEXT($V28,"0.####")&amp;IF($H28="",""," "&amp;$H28)&amp;IF(AND(ISNUMBER($O28),$V28&lt;$O28),", por debajo del límite inferior de "&amp;TEXT($O28,"0.####")&amp;IF($H28="",""," "&amp;$H28),"")&amp;IF(AND(ISNUMBER($P28),$V28&gt;$P28),", por encima del límite superior de "&amp;TEXT($P28,"0.####")&amp;IF($H28="",""," "&amp;$H28),"")&amp;".","")&amp;IF($Y28="",""," "&amp;$Y28&amp;IF(RIGHT($Y28,1)=".","","."))&amp;" Acción recomendada: "&amp;$M28&amp;IF(RIGHT($M28,1)=".","",".")&amp;IF($J28="Bloqueante"," El equipo no se libera hasta resolver este hallazgo.",IF($J28="Cobrable"," Se incluye en la cotización de repuestos y consumibles."," Se deja registrado como observación.")))</f>
        <v/>
      </c>
    </row>
    <row r="29" ht="48" customHeight="1">
      <c r="A29" s="10" t="inlineStr">
        <is>
          <t>3.4.4</t>
        </is>
      </c>
      <c r="B29" s="10" t="inlineStr">
        <is>
          <t>3. Estado de calibración</t>
        </is>
      </c>
      <c r="C29" s="10" t="inlineStr">
        <is>
          <t>3.4 Deriva de cero (Zero Drift)</t>
        </is>
      </c>
      <c r="D29" s="11" t="inlineStr">
        <is>
          <t>Deriva semanal de cero en rangos altos (rango mayor a 0,2 ppm)</t>
        </is>
      </c>
      <c r="E29" s="11" t="inlineStr">
        <is>
          <t>Deriva semanal de cero máxima permitida en rangos superiores a 0,2 ppm</t>
        </is>
      </c>
      <c r="F29" s="12" t="inlineStr">
        <is>
          <t>Introducir gas cero en el rango alto de trabajo y anotar la lectura; repetir una semana después y expresar la diferencia como porcentaje del fondo de escala.</t>
        </is>
      </c>
      <c r="G29" s="10" t="inlineStr">
        <is>
          <t>Numérico</t>
        </is>
      </c>
      <c r="H29" s="10" t="inlineStr">
        <is>
          <t>% F.S.</t>
        </is>
      </c>
      <c r="I29" s="11" t="inlineStr">
        <is>
          <t>Desviación máxima semanal del cero respecto al fondo de escala, en rangos altos</t>
        </is>
      </c>
      <c r="J29" s="13" t="inlineStr">
        <is>
          <t>Bloqueante</t>
        </is>
      </c>
      <c r="K29" s="14" t="inlineStr">
        <is>
          <t>Degradación de consumibles de referencia o del sellado neumático</t>
        </is>
      </c>
      <c r="L29" s="15" t="inlineStr">
        <is>
          <t>6.3.2 ; 5.1.5</t>
        </is>
      </c>
      <c r="M29" s="14" t="inlineStr">
        <is>
          <t>Reemplazar los consumibles vencidos y repetir el seguimiento semanal</t>
        </is>
      </c>
      <c r="N29" s="16" t="inlineStr">
        <is>
          <t>La deriva semanal del punto cero en rangos altos supera la tolerancia especificada por el fabricante.</t>
        </is>
      </c>
      <c r="O29" s="10" t="n">
        <v>-2</v>
      </c>
      <c r="P29" s="10" t="n">
        <v>2</v>
      </c>
      <c r="Q29" s="10" t="inlineStr">
        <is>
          <t>Sí</t>
        </is>
      </c>
      <c r="R29" s="10" t="inlineStr">
        <is>
          <t>No</t>
        </is>
      </c>
      <c r="S29" s="11" t="inlineStr"/>
      <c r="T29" s="11" t="inlineStr">
        <is>
          <t>P-ST-030-MAN OPER APSA 370 V2</t>
        </is>
      </c>
      <c r="U29" s="17" t="inlineStr">
        <is>
          <t>Pendiente</t>
        </is>
      </c>
      <c r="V29" s="17" t="n"/>
      <c r="W29" s="10">
        <f>IF($G29&lt;&gt;"Numérico","",IF($V29="","Sin dato",IF(AND(OR(NOT(ISNUMBER($O29)),$V29&gt;=$O29),OR(NOT(ISNUMBER($P29)),$V29&lt;=$P29)),"Dentro de rango","Fuera de rango")))</f>
        <v/>
      </c>
      <c r="X29" s="17" t="n"/>
      <c r="Y29" s="18" t="n"/>
      <c r="Z29" s="16">
        <f>IF(OR($U29="",$U29="Conforme",$U29="No aplica",$U29="Pendiente"),"",$N29&amp;IF($W29="Fuera de rango"," Valor medido: "&amp;TEXT($V29,"0.####")&amp;IF($H29="",""," "&amp;$H29)&amp;IF(AND(ISNUMBER($O29),$V29&lt;$O29),", por debajo del límite inferior de "&amp;TEXT($O29,"0.####")&amp;IF($H29="",""," "&amp;$H29),"")&amp;IF(AND(ISNUMBER($P29),$V29&gt;$P29),", por encima del límite superior de "&amp;TEXT($P29,"0.####")&amp;IF($H29="",""," "&amp;$H29),"")&amp;".","")&amp;IF($Y29="",""," "&amp;$Y29&amp;IF(RIGHT($Y29,1)=".","","."))&amp;" Acción recomendada: "&amp;$M29&amp;IF(RIGHT($M29,1)=".","",".")&amp;IF($J29="Bloqueante"," El equipo no se libera hasta resolver este hallazgo.",IF($J29="Cobrable"," Se incluye en la cotización de repuestos y consumibles."," Se deja registrado como observación.")))</f>
        <v/>
      </c>
    </row>
    <row r="30" ht="48" customHeight="1">
      <c r="A30" s="10" t="inlineStr">
        <is>
          <t>3.5.1</t>
        </is>
      </c>
      <c r="B30" s="10" t="inlineStr">
        <is>
          <t>3. Estado de calibración</t>
        </is>
      </c>
      <c r="C30" s="10" t="inlineStr">
        <is>
          <t>3.5 Deriva de span (Span Drift)</t>
        </is>
      </c>
      <c r="D30" s="11" t="inlineStr">
        <is>
          <t>Deriva diaria de span (todos los rangos)</t>
        </is>
      </c>
      <c r="E30" s="11" t="inlineStr">
        <is>
          <t>Deriva diaria de span máxima permitida con variación térmica dentro de 5 °C</t>
        </is>
      </c>
      <c r="F30" s="12" t="inlineStr">
        <is>
          <t>Introducir gas patrón de span y anotar la lectura estabilizada; repetir 24 h después con el mismo cilindro y expresar la diferencia como porcentaje del fondo de escala.</t>
        </is>
      </c>
      <c r="G30" s="10" t="inlineStr">
        <is>
          <t>Numérico</t>
        </is>
      </c>
      <c r="H30" s="10" t="inlineStr">
        <is>
          <t>% F.S.</t>
        </is>
      </c>
      <c r="I30" s="11" t="inlineStr">
        <is>
          <t>Desviación diaria máxima tolerada de la lectura de span</t>
        </is>
      </c>
      <c r="J30" s="13" t="inlineStr">
        <is>
          <t>Bloqueante</t>
        </is>
      </c>
      <c r="K30" s="14" t="inlineStr">
        <is>
          <t>Pérdida de intensidad de la lámpara, óptica sucia, o caudal inestable</t>
        </is>
      </c>
      <c r="L30" s="15" t="inlineStr">
        <is>
          <t>6.1.1 ; 6.2.4 ; 5.1.1</t>
        </is>
      </c>
      <c r="M30" s="14" t="inlineStr">
        <is>
          <t>Recorrer la rama óptica y neumática antes de reajustar el span</t>
        </is>
      </c>
      <c r="N30" s="16" t="inlineStr">
        <is>
          <t>La deriva diaria del punto de span supera la tolerancia especificada por el fabricante.</t>
        </is>
      </c>
      <c r="O30" s="10" t="n">
        <v>-1</v>
      </c>
      <c r="P30" s="10" t="n">
        <v>1</v>
      </c>
      <c r="Q30" s="10" t="inlineStr">
        <is>
          <t>Sí</t>
        </is>
      </c>
      <c r="R30" s="10" t="inlineStr">
        <is>
          <t>No</t>
        </is>
      </c>
      <c r="S30" s="11" t="inlineStr"/>
      <c r="T30" s="11" t="inlineStr">
        <is>
          <t>P-ST-030-MAN OPER APSA 370 V2</t>
        </is>
      </c>
      <c r="U30" s="17" t="inlineStr">
        <is>
          <t>Pendiente</t>
        </is>
      </c>
      <c r="V30" s="17" t="n"/>
      <c r="W30" s="10">
        <f>IF($G30&lt;&gt;"Numérico","",IF($V30="","Sin dato",IF(AND(OR(NOT(ISNUMBER($O30)),$V30&gt;=$O30),OR(NOT(ISNUMBER($P30)),$V30&lt;=$P30)),"Dentro de rango","Fuera de rango")))</f>
        <v/>
      </c>
      <c r="X30" s="17" t="n"/>
      <c r="Y30" s="18" t="n"/>
      <c r="Z30" s="16">
        <f>IF(OR($U30="",$U30="Conforme",$U30="No aplica",$U30="Pendiente"),"",$N30&amp;IF($W30="Fuera de rango"," Valor medido: "&amp;TEXT($V30,"0.####")&amp;IF($H30="",""," "&amp;$H30)&amp;IF(AND(ISNUMBER($O30),$V30&lt;$O30),", por debajo del límite inferior de "&amp;TEXT($O30,"0.####")&amp;IF($H30="",""," "&amp;$H30),"")&amp;IF(AND(ISNUMBER($P30),$V30&gt;$P30),", por encima del límite superior de "&amp;TEXT($P30,"0.####")&amp;IF($H30="",""," "&amp;$H30),"")&amp;".","")&amp;IF($Y30="",""," "&amp;$Y30&amp;IF(RIGHT($Y30,1)=".","","."))&amp;" Acción recomendada: "&amp;$M30&amp;IF(RIGHT($M30,1)=".","",".")&amp;IF($J30="Bloqueante"," El equipo no se libera hasta resolver este hallazgo.",IF($J30="Cobrable"," Se incluye en la cotización de repuestos y consumibles."," Se deja registrado como observación.")))</f>
        <v/>
      </c>
    </row>
    <row r="31" ht="48" customHeight="1">
      <c r="A31" s="10" t="inlineStr">
        <is>
          <t>3.5.2</t>
        </is>
      </c>
      <c r="B31" s="10" t="inlineStr">
        <is>
          <t>3. Estado de calibración</t>
        </is>
      </c>
      <c r="C31" s="10" t="inlineStr">
        <is>
          <t>3.5 Deriva de span (Span Drift)</t>
        </is>
      </c>
      <c r="D31" s="11" t="inlineStr">
        <is>
          <t>Deriva semanal de span (todos los rangos)</t>
        </is>
      </c>
      <c r="E31" s="11" t="inlineStr">
        <is>
          <t>Deriva semanal de span máxima permitida con variación térmica dentro de 5 °C</t>
        </is>
      </c>
      <c r="F31" s="12" t="inlineStr">
        <is>
          <t>Introducir gas patrón de span y anotar la lectura estabilizada; repetir una semana después con el mismo cilindro y expresar la diferencia como porcentaje del fondo de escala.</t>
        </is>
      </c>
      <c r="G31" s="10" t="inlineStr">
        <is>
          <t>Numérico</t>
        </is>
      </c>
      <c r="H31" s="10" t="inlineStr">
        <is>
          <t>% F.S.</t>
        </is>
      </c>
      <c r="I31" s="11" t="inlineStr">
        <is>
          <t>Desviación semanal máxima tolerada de la lectura de span</t>
        </is>
      </c>
      <c r="J31" s="13" t="inlineStr">
        <is>
          <t>Bloqueante</t>
        </is>
      </c>
      <c r="K31" s="14" t="inlineStr">
        <is>
          <t>Envejecimiento de la lámpara de xenón o ensuciamiento progresivo de la óptica</t>
        </is>
      </c>
      <c r="L31" s="15" t="inlineStr">
        <is>
          <t>8.1.5 ; 6.1.1 ; 6.2.5</t>
        </is>
      </c>
      <c r="M31" s="14" t="inlineStr">
        <is>
          <t>Programar el cambio de lámpara y la limpieza óptica</t>
        </is>
      </c>
      <c r="N31" s="16" t="inlineStr">
        <is>
          <t>La deriva semanal del punto de span supera la tolerancia especificada por el fabricante.</t>
        </is>
      </c>
      <c r="O31" s="10" t="n">
        <v>-2</v>
      </c>
      <c r="P31" s="10" t="n">
        <v>2</v>
      </c>
      <c r="Q31" s="10" t="inlineStr">
        <is>
          <t>Sí</t>
        </is>
      </c>
      <c r="R31" s="10" t="inlineStr">
        <is>
          <t>No</t>
        </is>
      </c>
      <c r="S31" s="11" t="inlineStr"/>
      <c r="T31" s="11" t="inlineStr">
        <is>
          <t>P-ST-030-MAN OPER APSA 370 V2</t>
        </is>
      </c>
      <c r="U31" s="17" t="inlineStr">
        <is>
          <t>Pendiente</t>
        </is>
      </c>
      <c r="V31" s="17" t="n"/>
      <c r="W31" s="10">
        <f>IF($G31&lt;&gt;"Numérico","",IF($V31="","Sin dato",IF(AND(OR(NOT(ISNUMBER($O31)),$V31&gt;=$O31),OR(NOT(ISNUMBER($P31)),$V31&lt;=$P31)),"Dentro de rango","Fuera de rango")))</f>
        <v/>
      </c>
      <c r="X31" s="17" t="n"/>
      <c r="Y31" s="18" t="n"/>
      <c r="Z31" s="16">
        <f>IF(OR($U31="",$U31="Conforme",$U31="No aplica",$U31="Pendiente"),"",$N31&amp;IF($W31="Fuera de rango"," Valor medido: "&amp;TEXT($V31,"0.####")&amp;IF($H31="",""," "&amp;$H31)&amp;IF(AND(ISNUMBER($O31),$V31&lt;$O31),", por debajo del límite inferior de "&amp;TEXT($O31,"0.####")&amp;IF($H31="",""," "&amp;$H31),"")&amp;IF(AND(ISNUMBER($P31),$V31&gt;$P31),", por encima del límite superior de "&amp;TEXT($P31,"0.####")&amp;IF($H31="",""," "&amp;$H31),"")&amp;".","")&amp;IF($Y31="",""," "&amp;$Y31&amp;IF(RIGHT($Y31,1)=".","","."))&amp;" Acción recomendada: "&amp;$M31&amp;IF(RIGHT($M31,1)=".","",".")&amp;IF($J31="Bloqueante"," El equipo no se libera hasta resolver este hallazgo.",IF($J31="Cobrable"," Se incluye en la cotización de repuestos y consumibles."," Se deja registrado como observación.")))</f>
        <v/>
      </c>
    </row>
    <row r="32" ht="48" customHeight="1">
      <c r="A32" s="10" t="inlineStr">
        <is>
          <t>3.6.1</t>
        </is>
      </c>
      <c r="B32" s="10" t="inlineStr">
        <is>
          <t>3. Estado de calibración</t>
        </is>
      </c>
      <c r="C32" s="10" t="inlineStr">
        <is>
          <t>3.6 Linealidad</t>
        </is>
      </c>
      <c r="D32" s="11" t="inlineStr">
        <is>
          <t>Criterio de linealidad de calibración (diferencia de mejor ajuste)</t>
        </is>
      </c>
      <c r="E32" s="11" t="inlineStr">
        <is>
          <t>Desviación máxima de cada punto de una calibración multipunto respecto a la recta de regresión</t>
        </is>
      </c>
      <c r="F32" s="12" t="inlineStr">
        <is>
          <t>Realizar una calibración multipunto con dilutor, ajustar la recta de regresión y calcular para cada punto la diferencia respecto a la línea de mejor ajuste, en porcentaje del fondo de escala.</t>
        </is>
      </c>
      <c r="G32" s="10" t="inlineStr">
        <is>
          <t>Numérico</t>
        </is>
      </c>
      <c r="H32" s="10" t="inlineStr">
        <is>
          <t>% F.S.</t>
        </is>
      </c>
      <c r="I32" s="11" t="inlineStr">
        <is>
          <t>Diferencia máxima respecto a la línea de mejor ajuste, conforme a la normativa de calibración</t>
        </is>
      </c>
      <c r="J32" s="13" t="inlineStr">
        <is>
          <t>Bloqueante</t>
        </is>
      </c>
      <c r="K32" s="14" t="inlineStr">
        <is>
          <t>Dilutor descalibrado, fuga en la línea de calibración, o no linealidad del detector</t>
        </is>
      </c>
      <c r="L32" s="15" t="inlineStr">
        <is>
          <t>3.2.1 ; 5.1.5 ; 6.2.6</t>
        </is>
      </c>
      <c r="M32" s="14" t="inlineStr">
        <is>
          <t>Verificar el dilutor con patrón externo antes de atribuir la no linealidad al equipo</t>
        </is>
      </c>
      <c r="N32" s="16" t="inlineStr">
        <is>
          <t>La calibración multipunto presenta una desviación respecto a la recta de mejor ajuste superior a la tolerancia admisible.</t>
        </is>
      </c>
      <c r="O32" s="10" t="n">
        <v>-2</v>
      </c>
      <c r="P32" s="10" t="n">
        <v>2</v>
      </c>
      <c r="Q32" s="10" t="inlineStr">
        <is>
          <t>Sí</t>
        </is>
      </c>
      <c r="R32" s="10" t="inlineStr">
        <is>
          <t>No</t>
        </is>
      </c>
      <c r="S32" s="11" t="inlineStr"/>
      <c r="T32" s="11" t="inlineStr">
        <is>
          <t>P-ST-030-MAN OPER APSA 370 V2</t>
        </is>
      </c>
      <c r="U32" s="17" t="inlineStr">
        <is>
          <t>Pendiente</t>
        </is>
      </c>
      <c r="V32" s="17" t="n"/>
      <c r="W32" s="10">
        <f>IF($G32&lt;&gt;"Numérico","",IF($V32="","Sin dato",IF(AND(OR(NOT(ISNUMBER($O32)),$V32&gt;=$O32),OR(NOT(ISNUMBER($P32)),$V32&lt;=$P32)),"Dentro de rango","Fuera de rango")))</f>
        <v/>
      </c>
      <c r="X32" s="17" t="n"/>
      <c r="Y32" s="18" t="n"/>
      <c r="Z32" s="16">
        <f>IF(OR($U32="",$U32="Conforme",$U32="No aplica",$U32="Pendiente"),"",$N32&amp;IF($W32="Fuera de rango"," Valor medido: "&amp;TEXT($V32,"0.####")&amp;IF($H32="",""," "&amp;$H32)&amp;IF(AND(ISNUMBER($O32),$V32&lt;$O32),", por debajo del límite inferior de "&amp;TEXT($O32,"0.####")&amp;IF($H32="",""," "&amp;$H32),"")&amp;IF(AND(ISNUMBER($P32),$V32&gt;$P32),", por encima del límite superior de "&amp;TEXT($P32,"0.####")&amp;IF($H32="",""," "&amp;$H32),"")&amp;".","")&amp;IF($Y32="",""," "&amp;$Y32&amp;IF(RIGHT($Y32,1)=".","","."))&amp;" Acción recomendada: "&amp;$M32&amp;IF(RIGHT($M32,1)=".","",".")&amp;IF($J32="Bloqueante"," El equipo no se libera hasta resolver este hallazgo.",IF($J32="Cobrable"," Se incluye en la cotización de repuestos y consumibles."," Se deja registrado como observación.")))</f>
        <v/>
      </c>
    </row>
    <row r="33" ht="48" customHeight="1">
      <c r="A33" s="10" t="inlineStr">
        <is>
          <t>4.1.1</t>
        </is>
      </c>
      <c r="B33" s="10" t="inlineStr">
        <is>
          <t>4. Línea de muestreo y acondicionamiento</t>
        </is>
      </c>
      <c r="C33" s="10" t="inlineStr">
        <is>
          <t>4.1 Portafiltros frontal</t>
        </is>
      </c>
      <c r="D33" s="11" t="inlineStr">
        <is>
          <t>Estado del elemento filtrante PA-10L</t>
        </is>
      </c>
      <c r="E33" s="11" t="inlineStr">
        <is>
          <t>Grado de saturación y oscurecimiento del filtro de teflón de 54 mm del panel frontal</t>
        </is>
      </c>
      <c r="F33" s="12" t="inlineStr">
        <is>
          <t>Abrir la puerta frontal, desenroscar el vaso del portafiltros, extraer el elemento y compararlo contra un filtro nuevo sobre fondo blanco. Fotografiar antes de reemplazar.</t>
        </is>
      </c>
      <c r="G33" s="10" t="inlineStr">
        <is>
          <t>OK / No OK</t>
        </is>
      </c>
      <c r="H33" s="10" t="inlineStr"/>
      <c r="I33" s="11" t="inlineStr">
        <is>
          <t>Debe verse limpio, sin hollín ni decoloración marrón; reemplazar cada 2 semanas</t>
        </is>
      </c>
      <c r="J33" s="13" t="inlineStr">
        <is>
          <t>Cobrable</t>
        </is>
      </c>
      <c r="K33" s="14" t="inlineStr">
        <is>
          <t>Filtro saturado de material particulado, hollín o humedad</t>
        </is>
      </c>
      <c r="L33" s="15" t="inlineStr">
        <is>
          <t>5.1.2 ; 5.1.1 ; 8.1.1</t>
        </is>
      </c>
      <c r="M33" s="14" t="inlineStr">
        <is>
          <t>Reemplazar el elemento filtrante y reiniciar su horómetro</t>
        </is>
      </c>
      <c r="N33" s="16" t="inlineStr">
        <is>
          <t>El filtro de partículas se encuentra colmatado, lo que restringe el caudal de muestra.</t>
        </is>
      </c>
      <c r="O33" s="10" t="n"/>
      <c r="P33" s="10" t="n"/>
      <c r="Q33" s="10" t="inlineStr">
        <is>
          <t>Sí</t>
        </is>
      </c>
      <c r="R33" s="10" t="inlineStr">
        <is>
          <t>Sí</t>
        </is>
      </c>
      <c r="S33" s="11" t="inlineStr">
        <is>
          <t>Filter Element PA-10L diámetro 54*0.5t (24pc/set) (3200043947; alt. 3200043947-1PC)</t>
        </is>
      </c>
      <c r="T33" s="11" t="inlineStr">
        <is>
          <t>P-ST-029-MAN MTTO APSA370 V2</t>
        </is>
      </c>
      <c r="U33" s="17" t="inlineStr">
        <is>
          <t>Pendiente</t>
        </is>
      </c>
      <c r="V33" s="17" t="n"/>
      <c r="W33" s="10">
        <f>IF($G33&lt;&gt;"Numérico","",IF($V33="","Sin dato",IF(AND(OR(NOT(ISNUMBER($O33)),$V33&gt;=$O33),OR(NOT(ISNUMBER($P33)),$V33&lt;=$P33)),"Dentro de rango","Fuera de rango")))</f>
        <v/>
      </c>
      <c r="X33" s="17" t="n"/>
      <c r="Y33" s="18" t="n"/>
      <c r="Z33" s="16">
        <f>IF(OR($U33="",$U33="Conforme",$U33="No aplica",$U33="Pendiente"),"",$N33&amp;IF($W33="Fuera de rango"," Valor medido: "&amp;TEXT($V33,"0.####")&amp;IF($H33="",""," "&amp;$H33)&amp;IF(AND(ISNUMBER($O33),$V33&lt;$O33),", por debajo del límite inferior de "&amp;TEXT($O33,"0.####")&amp;IF($H33="",""," "&amp;$H33),"")&amp;IF(AND(ISNUMBER($P33),$V33&gt;$P33),", por encima del límite superior de "&amp;TEXT($P33,"0.####")&amp;IF($H33="",""," "&amp;$H33),"")&amp;".","")&amp;IF($Y33="",""," "&amp;$Y33&amp;IF(RIGHT($Y33,1)=".","","."))&amp;" Acción recomendada: "&amp;$M33&amp;IF(RIGHT($M33,1)=".","",".")&amp;IF($J33="Bloqueante"," El equipo no se libera hasta resolver este hallazgo.",IF($J33="Cobrable"," Se incluye en la cotización de repuestos y consumibles."," Se deja registrado como observación.")))</f>
        <v/>
      </c>
    </row>
    <row r="34" ht="48" customHeight="1">
      <c r="A34" s="10" t="inlineStr">
        <is>
          <t>4.1.2</t>
        </is>
      </c>
      <c r="B34" s="10" t="inlineStr">
        <is>
          <t>4. Línea de muestreo y acondicionamiento</t>
        </is>
      </c>
      <c r="C34" s="10" t="inlineStr">
        <is>
          <t>4.1 Portafiltros frontal</t>
        </is>
      </c>
      <c r="D34" s="11" t="inlineStr">
        <is>
          <t>Junta tórica del portafiltros (O-Ring)</t>
        </is>
      </c>
      <c r="E34" s="11" t="inlineStr">
        <is>
          <t>Elasticidad y sellado del O-ring de la tapa del portafiltros frontal</t>
        </is>
      </c>
      <c r="F34" s="12" t="inlineStr">
        <is>
          <t>Retirar la junta tórica de la tapa del portafiltros, limpiarla y examinarla estirándola suavemente contra la luz, buscando microfisuras, resequedad o aplastamiento permanente.</t>
        </is>
      </c>
      <c r="G34" s="10" t="inlineStr">
        <is>
          <t>OK / No OK</t>
        </is>
      </c>
      <c r="H34" s="10" t="inlineStr"/>
      <c r="I34" s="11" t="inlineStr">
        <is>
          <t>Sin resequedad, fisuras ni deformación por aplastamiento; reemplazar cada 1 año</t>
        </is>
      </c>
      <c r="J34" s="13" t="inlineStr">
        <is>
          <t>Cobrable</t>
        </is>
      </c>
      <c r="K34" s="14" t="inlineStr">
        <is>
          <t>Junta reseca o aplastada: fuga en la tapa del portafiltros</t>
        </is>
      </c>
      <c r="L34" s="15" t="inlineStr">
        <is>
          <t>5.1.5</t>
        </is>
      </c>
      <c r="M34" s="14" t="inlineStr">
        <is>
          <t>Reemplazar la junta tórica y repetir la prueba de hermeticidad</t>
        </is>
      </c>
      <c r="N34" s="16" t="inlineStr">
        <is>
          <t>La junta tórica de la tapa del portafiltros presenta resequedad, fisuras o aplastamiento y no garantiza la hermeticidad.</t>
        </is>
      </c>
      <c r="O34" s="10" t="n"/>
      <c r="P34" s="10" t="n"/>
      <c r="Q34" s="10" t="inlineStr">
        <is>
          <t>Sí</t>
        </is>
      </c>
      <c r="R34" s="10" t="inlineStr">
        <is>
          <t>Sí</t>
        </is>
      </c>
      <c r="S34" s="11" t="inlineStr">
        <is>
          <t>O-Ring 160ﾟC12H drawing vacuum APSA / APOA (3014059499)</t>
        </is>
      </c>
      <c r="T34" s="11" t="inlineStr">
        <is>
          <t>P-ST-029-MAN MTTO APSA370 V2</t>
        </is>
      </c>
      <c r="U34" s="17" t="inlineStr">
        <is>
          <t>Pendiente</t>
        </is>
      </c>
      <c r="V34" s="17" t="n"/>
      <c r="W34" s="10">
        <f>IF($G34&lt;&gt;"Numérico","",IF($V34="","Sin dato",IF(AND(OR(NOT(ISNUMBER($O34)),$V34&gt;=$O34),OR(NOT(ISNUMBER($P34)),$V34&lt;=$P34)),"Dentro de rango","Fuera de rango")))</f>
        <v/>
      </c>
      <c r="X34" s="17" t="n"/>
      <c r="Y34" s="18" t="n"/>
      <c r="Z34" s="16">
        <f>IF(OR($U34="",$U34="Conforme",$U34="No aplica",$U34="Pendiente"),"",$N34&amp;IF($W34="Fuera de rango"," Valor medido: "&amp;TEXT($V34,"0.####")&amp;IF($H34="",""," "&amp;$H34)&amp;IF(AND(ISNUMBER($O34),$V34&lt;$O34),", por debajo del límite inferior de "&amp;TEXT($O34,"0.####")&amp;IF($H34="",""," "&amp;$H34),"")&amp;IF(AND(ISNUMBER($P34),$V34&gt;$P34),", por encima del límite superior de "&amp;TEXT($P34,"0.####")&amp;IF($H34="",""," "&amp;$H34),"")&amp;".","")&amp;IF($Y34="",""," "&amp;$Y34&amp;IF(RIGHT($Y34,1)=".","","."))&amp;" Acción recomendada: "&amp;$M34&amp;IF(RIGHT($M34,1)=".","",".")&amp;IF($J34="Bloqueante"," El equipo no se libera hasta resolver este hallazgo.",IF($J34="Cobrable"," Se incluye en la cotización de repuestos y consumibles."," Se deja registrado como observación.")))</f>
        <v/>
      </c>
    </row>
    <row r="35" ht="48" customHeight="1">
      <c r="A35" s="10" t="inlineStr">
        <is>
          <t>4.1.3</t>
        </is>
      </c>
      <c r="B35" s="10" t="inlineStr">
        <is>
          <t>4. Línea de muestreo y acondicionamiento</t>
        </is>
      </c>
      <c r="C35" s="10" t="inlineStr">
        <is>
          <t>4.1 Portafiltros frontal</t>
        </is>
      </c>
      <c r="D35" s="11" t="inlineStr">
        <is>
          <t>Humedad en el portafiltros</t>
        </is>
      </c>
      <c r="E35" s="11" t="inlineStr">
        <is>
          <t>Presencia de condensación de agua líquida en la caja del portafiltros frontal</t>
        </is>
      </c>
      <c r="F35" s="12" t="inlineStr">
        <is>
          <t>Con el portafiltros abierto, pasar un paño limpio por el interior del vaso y verificar si sale húmedo. Revisar también la manguera aguas arriba en busca de gotas.</t>
        </is>
      </c>
      <c r="G35" s="10" t="inlineStr">
        <is>
          <t>Sí/No</t>
        </is>
      </c>
      <c r="H35" s="10" t="inlineStr"/>
      <c r="I35" s="11" t="inlineStr">
        <is>
          <t>Debe estar completamente seco; la presencia de agua indica falla en trampas de condensado previas</t>
        </is>
      </c>
      <c r="J35" s="13" t="inlineStr">
        <is>
          <t>Bloqueante</t>
        </is>
      </c>
      <c r="K35" s="14" t="inlineStr">
        <is>
          <t>Ingreso de agua por la sonda, o condensación por oscilación térmica del shelter</t>
        </is>
      </c>
      <c r="L35" s="15" t="inlineStr">
        <is>
          <t>4.2.1 ; 4.2.2 ; 10.1.1 ; 5.1.3</t>
        </is>
      </c>
      <c r="M35" s="14" t="inlineStr">
        <is>
          <t>Apagar la bomba, secar y purgar el circuito con aire seco, y corregir el origen del agua antes de volver a medir</t>
        </is>
      </c>
      <c r="N35" s="16" t="inlineStr">
        <is>
          <t>Se encontró agua condensada en el portafiltros, con riesgo de daño del sistema óptico y de la bomba.</t>
        </is>
      </c>
      <c r="O35" s="10" t="n"/>
      <c r="P35" s="10" t="n"/>
      <c r="Q35" s="10" t="inlineStr">
        <is>
          <t>Sí</t>
        </is>
      </c>
      <c r="R35" s="10" t="inlineStr">
        <is>
          <t>No</t>
        </is>
      </c>
      <c r="S35" s="11" t="inlineStr"/>
      <c r="T35" s="11" t="inlineStr">
        <is>
          <t>MT_B8RUT7HE_APSA370_20111702</t>
        </is>
      </c>
      <c r="U35" s="17" t="inlineStr">
        <is>
          <t>Pendiente</t>
        </is>
      </c>
      <c r="V35" s="17" t="n"/>
      <c r="W35" s="10">
        <f>IF($G35&lt;&gt;"Numérico","",IF($V35="","Sin dato",IF(AND(OR(NOT(ISNUMBER($O35)),$V35&gt;=$O35),OR(NOT(ISNUMBER($P35)),$V35&lt;=$P35)),"Dentro de rango","Fuera de rango")))</f>
        <v/>
      </c>
      <c r="X35" s="17" t="n"/>
      <c r="Y35" s="18" t="n"/>
      <c r="Z35" s="16">
        <f>IF(OR($U35="",$U35="Conforme",$U35="No aplica",$U35="Pendiente"),"",$N35&amp;IF($W35="Fuera de rango"," Valor medido: "&amp;TEXT($V35,"0.####")&amp;IF($H35="",""," "&amp;$H35)&amp;IF(AND(ISNUMBER($O35),$V35&lt;$O35),", por debajo del límite inferior de "&amp;TEXT($O35,"0.####")&amp;IF($H35="",""," "&amp;$H35),"")&amp;IF(AND(ISNUMBER($P35),$V35&gt;$P35),", por encima del límite superior de "&amp;TEXT($P35,"0.####")&amp;IF($H35="",""," "&amp;$H35),"")&amp;".","")&amp;IF($Y35="",""," "&amp;$Y35&amp;IF(RIGHT($Y35,1)=".","","."))&amp;" Acción recomendada: "&amp;$M35&amp;IF(RIGHT($M35,1)=".","",".")&amp;IF($J35="Bloqueante"," El equipo no se libera hasta resolver este hallazgo.",IF($J35="Cobrable"," Se incluye en la cotización de repuestos y consumibles."," Se deja registrado como observación.")))</f>
        <v/>
      </c>
    </row>
    <row r="36" ht="48" customHeight="1">
      <c r="A36" s="10" t="inlineStr">
        <is>
          <t>4.2.1</t>
        </is>
      </c>
      <c r="B36" s="10" t="inlineStr">
        <is>
          <t>4. Línea de muestreo y acondicionamiento</t>
        </is>
      </c>
      <c r="C36" s="10" t="inlineStr">
        <is>
          <t>4.2 Sonda y líneas de muestreo</t>
        </is>
      </c>
      <c r="D36" s="11" t="inlineStr">
        <is>
          <t>Integridad de la línea de teflón</t>
        </is>
      </c>
      <c r="E36" s="11" t="inlineStr">
        <is>
          <t>Estrangulamientos, fisuras o fugas físicas en la tubería de muestreo</t>
        </is>
      </c>
      <c r="F36" s="12" t="inlineStr">
        <is>
          <t>Recorrer la línea de muestreo desde la sonda hasta el equipo buscando dobleces agudos, aplastamientos, empalmes improvisados o tramos vencidos. Verificar el apriete de cada racor.</t>
        </is>
      </c>
      <c r="G36" s="10" t="inlineStr">
        <is>
          <t>OK / No OK</t>
        </is>
      </c>
      <c r="H36" s="10" t="inlineStr"/>
      <c r="I36" s="11" t="inlineStr">
        <is>
          <t>Tubería de teflón de 6 mm OD libre de dobleces agudos y bien ajustada</t>
        </is>
      </c>
      <c r="J36" s="13" t="inlineStr">
        <is>
          <t>Cobrable</t>
        </is>
      </c>
      <c r="K36" s="14" t="inlineStr">
        <is>
          <t>Manguera doblada, fisurada o con empalmes improvisados</t>
        </is>
      </c>
      <c r="L36" s="15" t="inlineStr">
        <is>
          <t>5.1.1 ; 4.1.3</t>
        </is>
      </c>
      <c r="M36" s="14" t="inlineStr">
        <is>
          <t>Reemplazar el tramo afectado y rehacer la conexión</t>
        </is>
      </c>
      <c r="N36" s="16" t="inlineStr">
        <is>
          <t>La línea de muestreo presenta dobleces, fisuras o empalmes que comprometen la integridad de la muestra.</t>
        </is>
      </c>
      <c r="O36" s="10" t="n"/>
      <c r="P36" s="10" t="n"/>
      <c r="Q36" s="10" t="inlineStr">
        <is>
          <t>Sí</t>
        </is>
      </c>
      <c r="R36" s="10" t="inlineStr">
        <is>
          <t>Sí</t>
        </is>
      </c>
      <c r="S36" s="11" t="inlineStr"/>
      <c r="T36" s="11" t="inlineStr">
        <is>
          <t>P-ST-030-MAN OPER APSA 370 V2</t>
        </is>
      </c>
      <c r="U36" s="17" t="inlineStr">
        <is>
          <t>Pendiente</t>
        </is>
      </c>
      <c r="V36" s="17" t="n"/>
      <c r="W36" s="10">
        <f>IF($G36&lt;&gt;"Numérico","",IF($V36="","Sin dato",IF(AND(OR(NOT(ISNUMBER($O36)),$V36&gt;=$O36),OR(NOT(ISNUMBER($P36)),$V36&lt;=$P36)),"Dentro de rango","Fuera de rango")))</f>
        <v/>
      </c>
      <c r="X36" s="17" t="n"/>
      <c r="Y36" s="18" t="n"/>
      <c r="Z36" s="16">
        <f>IF(OR($U36="",$U36="Conforme",$U36="No aplica",$U36="Pendiente"),"",$N36&amp;IF($W36="Fuera de rango"," Valor medido: "&amp;TEXT($V36,"0.####")&amp;IF($H36="",""," "&amp;$H36)&amp;IF(AND(ISNUMBER($O36),$V36&lt;$O36),", por debajo del límite inferior de "&amp;TEXT($O36,"0.####")&amp;IF($H36="",""," "&amp;$H36),"")&amp;IF(AND(ISNUMBER($P36),$V36&gt;$P36),", por encima del límite superior de "&amp;TEXT($P36,"0.####")&amp;IF($H36="",""," "&amp;$H36),"")&amp;".","")&amp;IF($Y36="",""," "&amp;$Y36&amp;IF(RIGHT($Y36,1)=".","","."))&amp;" Acción recomendada: "&amp;$M36&amp;IF(RIGHT($M36,1)=".","",".")&amp;IF($J36="Bloqueante"," El equipo no se libera hasta resolver este hallazgo.",IF($J36="Cobrable"," Se incluye en la cotización de repuestos y consumibles."," Se deja registrado como observación.")))</f>
        <v/>
      </c>
    </row>
    <row r="37" ht="48" customHeight="1">
      <c r="A37" s="10" t="inlineStr">
        <is>
          <t>4.2.2</t>
        </is>
      </c>
      <c r="B37" s="10" t="inlineStr">
        <is>
          <t>4. Línea de muestreo y acondicionamiento</t>
        </is>
      </c>
      <c r="C37" s="10" t="inlineStr">
        <is>
          <t>4.2 Sonda y líneas de muestreo</t>
        </is>
      </c>
      <c r="D37" s="11" t="inlineStr">
        <is>
          <t>Protección térmica de las líneas</t>
        </is>
      </c>
      <c r="E37" s="11" t="inlineStr">
        <is>
          <t>Aislamiento de las tuberías de muestra frente a corrientes de aire frío directo</t>
        </is>
      </c>
      <c r="F37" s="12" t="inlineStr">
        <is>
          <t>Verificar el recorrido de la línea de muestreo dentro del shelter y comprobar que no pase frente a la descarga del aire acondicionado. Palpar la línea buscando tramos anormalmente fríos.</t>
        </is>
      </c>
      <c r="G37" s="10" t="inlineStr">
        <is>
          <t>OK / No OK</t>
        </is>
      </c>
      <c r="H37" s="10" t="inlineStr"/>
      <c r="I37" s="11" t="inlineStr">
        <is>
          <t>No deben estar expuestas a corrientes de aire frío (p. ej. aire acondicionado) para evitar condensados</t>
        </is>
      </c>
      <c r="J37" s="13" t="inlineStr">
        <is>
          <t>Alerta</t>
        </is>
      </c>
      <c r="K37" s="14" t="inlineStr">
        <is>
          <t>Línea expuesta a la descarga del aire acondicionado: condensación puntual</t>
        </is>
      </c>
      <c r="L37" s="15" t="inlineStr">
        <is>
          <t>4.1.3 ; 10.1.1</t>
        </is>
      </c>
      <c r="M37" s="14" t="inlineStr">
        <is>
          <t>Redirigir la línea fuera del chorro de aire frío o aislarla térmicamente</t>
        </is>
      </c>
      <c r="N37" s="16" t="inlineStr">
        <is>
          <t>La línea de muestreo está expuesta a corrientes de aire frío, lo que favorece la condensación dentro del circuito.</t>
        </is>
      </c>
      <c r="O37" s="10" t="n"/>
      <c r="P37" s="10" t="n"/>
      <c r="Q37" s="10" t="inlineStr">
        <is>
          <t>Sí</t>
        </is>
      </c>
      <c r="R37" s="10" t="inlineStr">
        <is>
          <t>Sí</t>
        </is>
      </c>
      <c r="S37" s="11" t="inlineStr"/>
      <c r="T37" s="11" t="inlineStr">
        <is>
          <t>P-ST-030-MAN OPER APSA 370 V2</t>
        </is>
      </c>
      <c r="U37" s="17" t="inlineStr">
        <is>
          <t>Pendiente</t>
        </is>
      </c>
      <c r="V37" s="17" t="n"/>
      <c r="W37" s="10">
        <f>IF($G37&lt;&gt;"Numérico","",IF($V37="","Sin dato",IF(AND(OR(NOT(ISNUMBER($O37)),$V37&gt;=$O37),OR(NOT(ISNUMBER($P37)),$V37&lt;=$P37)),"Dentro de rango","Fuera de rango")))</f>
        <v/>
      </c>
      <c r="X37" s="17" t="n"/>
      <c r="Y37" s="18" t="n"/>
      <c r="Z37" s="16">
        <f>IF(OR($U37="",$U37="Conforme",$U37="No aplica",$U37="Pendiente"),"",$N37&amp;IF($W37="Fuera de rango"," Valor medido: "&amp;TEXT($V37,"0.####")&amp;IF($H37="",""," "&amp;$H37)&amp;IF(AND(ISNUMBER($O37),$V37&lt;$O37),", por debajo del límite inferior de "&amp;TEXT($O37,"0.####")&amp;IF($H37="",""," "&amp;$H37),"")&amp;IF(AND(ISNUMBER($P37),$V37&gt;$P37),", por encima del límite superior de "&amp;TEXT($P37,"0.####")&amp;IF($H37="",""," "&amp;$H37),"")&amp;".","")&amp;IF($Y37="",""," "&amp;$Y37&amp;IF(RIGHT($Y37,1)=".","","."))&amp;" Acción recomendada: "&amp;$M37&amp;IF(RIGHT($M37,1)=".","",".")&amp;IF($J37="Bloqueante"," El equipo no se libera hasta resolver este hallazgo.",IF($J37="Cobrable"," Se incluye en la cotización de repuestos y consumibles."," Se deja registrado como observación.")))</f>
        <v/>
      </c>
    </row>
    <row r="38" ht="48" customHeight="1">
      <c r="A38" s="10" t="inlineStr">
        <is>
          <t>4.3.1</t>
        </is>
      </c>
      <c r="B38" s="10" t="inlineStr">
        <is>
          <t>4. Línea de muestreo y acondicionamiento</t>
        </is>
      </c>
      <c r="C38" s="10" t="inlineStr">
        <is>
          <t>4.3 Conexiones neumáticas traseras</t>
        </is>
      </c>
      <c r="D38" s="11" t="inlineStr">
        <is>
          <t>Férulas (Sleeve) en puertos de entrada y salida</t>
        </is>
      </c>
      <c r="E38" s="11" t="inlineStr">
        <is>
          <t>Presencia y estado del casquillo de soporte en las uniones de teflón posteriores</t>
        </is>
      </c>
      <c r="F38" s="12" t="inlineStr">
        <is>
          <t>Aflojar las tuercas de los puertos INLET y EXHAUST, extraer las mangueras y verificar que cada tubo tenga su férula de teflón montada. Volver a montar sin sobreapretar.</t>
        </is>
      </c>
      <c r="G38" s="10" t="inlineStr">
        <is>
          <t>Presente / Ausente</t>
        </is>
      </c>
      <c r="H38" s="10" t="inlineStr"/>
      <c r="I38" s="11" t="inlineStr">
        <is>
          <t>Los casquillos de 6 mm deben estar presentes en las uniones traseras para garantizar el sellado</t>
        </is>
      </c>
      <c r="J38" s="13" t="inlineStr">
        <is>
          <t>Bloqueante</t>
        </is>
      </c>
      <c r="K38" s="14" t="inlineStr">
        <is>
          <t>Férula ausente o mal montada: ingreso de aire falso</t>
        </is>
      </c>
      <c r="L38" s="15" t="inlineStr">
        <is>
          <t>5.1.5 ; 5.1.1 ; 3.1.1</t>
        </is>
      </c>
      <c r="M38" s="14" t="inlineStr">
        <is>
          <t>Instalar las férulas de 6 mm y repetir la prueba de hermeticidad antes de calibrar</t>
        </is>
      </c>
      <c r="N38" s="16" t="inlineStr">
        <is>
          <t>Faltan férulas de sellado en los puertos neumáticos posteriores, lo que permite el ingreso de aire ambiente y altera la medición.</t>
        </is>
      </c>
      <c r="O38" s="10" t="n"/>
      <c r="P38" s="10" t="n"/>
      <c r="Q38" s="10" t="inlineStr">
        <is>
          <t>Sí</t>
        </is>
      </c>
      <c r="R38" s="10" t="inlineStr">
        <is>
          <t>Sí</t>
        </is>
      </c>
      <c r="S38" s="11" t="inlineStr">
        <is>
          <t>Sleeve / SO2001-6 (3030021777)</t>
        </is>
      </c>
      <c r="T38" s="11" t="inlineStr">
        <is>
          <t>MT_829WE09R_APSA370_221102</t>
        </is>
      </c>
      <c r="U38" s="17" t="inlineStr">
        <is>
          <t>Pendiente</t>
        </is>
      </c>
      <c r="V38" s="17" t="n"/>
      <c r="W38" s="10">
        <f>IF($G38&lt;&gt;"Numérico","",IF($V38="","Sin dato",IF(AND(OR(NOT(ISNUMBER($O38)),$V38&gt;=$O38),OR(NOT(ISNUMBER($P38)),$V38&lt;=$P38)),"Dentro de rango","Fuera de rango")))</f>
        <v/>
      </c>
      <c r="X38" s="17" t="n"/>
      <c r="Y38" s="18" t="n"/>
      <c r="Z38" s="16">
        <f>IF(OR($U38="",$U38="Conforme",$U38="No aplica",$U38="Pendiente"),"",$N38&amp;IF($W38="Fuera de rango"," Valor medido: "&amp;TEXT($V38,"0.####")&amp;IF($H38="",""," "&amp;$H38)&amp;IF(AND(ISNUMBER($O38),$V38&lt;$O38),", por debajo del límite inferior de "&amp;TEXT($O38,"0.####")&amp;IF($H38="",""," "&amp;$H38),"")&amp;IF(AND(ISNUMBER($P38),$V38&gt;$P38),", por encima del límite superior de "&amp;TEXT($P38,"0.####")&amp;IF($H38="",""," "&amp;$H38),"")&amp;".","")&amp;IF($Y38="",""," "&amp;$Y38&amp;IF(RIGHT($Y38,1)=".","","."))&amp;" Acción recomendada: "&amp;$M38&amp;IF(RIGHT($M38,1)=".","",".")&amp;IF($J38="Bloqueante"," El equipo no se libera hasta resolver este hallazgo.",IF($J38="Cobrable"," Se incluye en la cotización de repuestos y consumibles."," Se deja registrado como observación.")))</f>
        <v/>
      </c>
    </row>
    <row r="39" ht="48" customHeight="1">
      <c r="A39" s="10" t="inlineStr">
        <is>
          <t>4.3.2</t>
        </is>
      </c>
      <c r="B39" s="10" t="inlineStr">
        <is>
          <t>4. Línea de muestreo y acondicionamiento</t>
        </is>
      </c>
      <c r="C39" s="10" t="inlineStr">
        <is>
          <t>4.3 Conexiones neumáticas traseras</t>
        </is>
      </c>
      <c r="D39" s="11" t="inlineStr">
        <is>
          <t>Tuercas de compresión PVDF (Cap Nut) en puertos traseros</t>
        </is>
      </c>
      <c r="E39" s="11" t="inlineStr">
        <is>
          <t>Presencia y torque de las tuercas plásticas para tuberías de teflón de 6 mm</t>
        </is>
      </c>
      <c r="F39" s="12" t="inlineStr">
        <is>
          <t>Inspeccionar visualmente los puertos traseros y comprobar que las tuercas de PVDF estén presentes y roscadas. Verificar el apriete manualmente, sin herramienta.</t>
        </is>
      </c>
      <c r="G39" s="10" t="inlineStr">
        <is>
          <t>Presente / Ausente</t>
        </is>
      </c>
      <c r="H39" s="10" t="inlineStr"/>
      <c r="I39" s="11" t="inlineStr">
        <is>
          <t>Deben estar completas y debidamente ajustadas para evitar fugas neumáticas</t>
        </is>
      </c>
      <c r="J39" s="13" t="inlineStr">
        <is>
          <t>Bloqueante</t>
        </is>
      </c>
      <c r="K39" s="14" t="inlineStr">
        <is>
          <t>Tuerca ausente, fisurada o floja</t>
        </is>
      </c>
      <c r="L39" s="15" t="inlineStr">
        <is>
          <t>4.3.1 ; 5.1.5</t>
        </is>
      </c>
      <c r="M39" s="14" t="inlineStr">
        <is>
          <t>Reponer las tuercas de PVDF y reapretar</t>
        </is>
      </c>
      <c r="N39" s="16" t="inlineStr">
        <is>
          <t>Las tuercas de sellado de los puertos posteriores están ausentes, fisuradas o flojas, con riesgo de fuga.</t>
        </is>
      </c>
      <c r="O39" s="10" t="n"/>
      <c r="P39" s="10" t="n"/>
      <c r="Q39" s="10" t="inlineStr">
        <is>
          <t>Sí</t>
        </is>
      </c>
      <c r="R39" s="10" t="inlineStr">
        <is>
          <t>Sí</t>
        </is>
      </c>
      <c r="S39" s="11" t="inlineStr">
        <is>
          <t>Cap Nut / S020020-6PVDF (3030021779)</t>
        </is>
      </c>
      <c r="T39" s="11" t="inlineStr">
        <is>
          <t>MT_829WE09R_APSA370_221102</t>
        </is>
      </c>
      <c r="U39" s="17" t="inlineStr">
        <is>
          <t>Pendiente</t>
        </is>
      </c>
      <c r="V39" s="17" t="n"/>
      <c r="W39" s="10">
        <f>IF($G39&lt;&gt;"Numérico","",IF($V39="","Sin dato",IF(AND(OR(NOT(ISNUMBER($O39)),$V39&gt;=$O39),OR(NOT(ISNUMBER($P39)),$V39&lt;=$P39)),"Dentro de rango","Fuera de rango")))</f>
        <v/>
      </c>
      <c r="X39" s="17" t="n"/>
      <c r="Y39" s="18" t="n"/>
      <c r="Z39" s="16">
        <f>IF(OR($U39="",$U39="Conforme",$U39="No aplica",$U39="Pendiente"),"",$N39&amp;IF($W39="Fuera de rango"," Valor medido: "&amp;TEXT($V39,"0.####")&amp;IF($H39="",""," "&amp;$H39)&amp;IF(AND(ISNUMBER($O39),$V39&lt;$O39),", por debajo del límite inferior de "&amp;TEXT($O39,"0.####")&amp;IF($H39="",""," "&amp;$H39),"")&amp;IF(AND(ISNUMBER($P39),$V39&gt;$P39),", por encima del límite superior de "&amp;TEXT($P39,"0.####")&amp;IF($H39="",""," "&amp;$H39),"")&amp;".","")&amp;IF($Y39="",""," "&amp;$Y39&amp;IF(RIGHT($Y39,1)=".","","."))&amp;" Acción recomendada: "&amp;$M39&amp;IF(RIGHT($M39,1)=".","",".")&amp;IF($J39="Bloqueante"," El equipo no se libera hasta resolver este hallazgo.",IF($J39="Cobrable"," Se incluye en la cotización de repuestos y consumibles."," Se deja registrado como observación.")))</f>
        <v/>
      </c>
    </row>
    <row r="40" ht="48" customHeight="1">
      <c r="A40" s="10" t="inlineStr">
        <is>
          <t>5.1.1</t>
        </is>
      </c>
      <c r="B40" s="10" t="inlineStr">
        <is>
          <t>5. Sistema neumático</t>
        </is>
      </c>
      <c r="C40" s="10" t="inlineStr">
        <is>
          <t>5.1 Bomba y caudal de muestra</t>
        </is>
      </c>
      <c r="D40" s="11" t="inlineStr">
        <is>
          <t>Caudal de gas de muestra (SAMPLE)</t>
        </is>
      </c>
      <c r="E40" s="11" t="inlineStr">
        <is>
          <t>Flujo del gas de muestra a través de la celda óptica medido por el analizador</t>
        </is>
      </c>
      <c r="F40" s="12" t="inlineStr">
        <is>
          <t>Leer el valor SAMPLE en MENU / MAINTENANCE / ANALOG INPUT. Para verificación independiente, medir con flujómetro de burbuja en el puerto SAMPLE INLET con la línea desconectada.</t>
        </is>
      </c>
      <c r="G40" s="10" t="inlineStr">
        <is>
          <t>Numérico</t>
        </is>
      </c>
      <c r="H40" s="10" t="inlineStr">
        <is>
          <t>L/min</t>
        </is>
      </c>
      <c r="I40" s="11" t="inlineStr">
        <is>
          <t>El flujo debe mantenerse estable dentro de los límites de diseño neumático</t>
        </is>
      </c>
      <c r="J40" s="13" t="inlineStr">
        <is>
          <t>Bloqueante</t>
        </is>
      </c>
      <c r="K40" s="14" t="inlineStr">
        <is>
          <t>Filtro colmatado, diafragma desgastado, o capilar restrictor obstruido</t>
        </is>
      </c>
      <c r="L40" s="15" t="inlineStr">
        <is>
          <t>4.1.1 ; 5.1.2 ; 5.1.3 ; 5.1.4</t>
        </is>
      </c>
      <c r="M40" s="14" t="inlineStr">
        <is>
          <t>Medir el caudal real con flujómetro de burbuja y recorrer la rama en ese orden</t>
        </is>
      </c>
      <c r="N40" s="16" t="inlineStr">
        <is>
          <t>El caudal de muestra se encuentra fuera del rango de operación especificado por el fabricante.</t>
        </is>
      </c>
      <c r="O40" s="10" t="n">
        <v>0.6</v>
      </c>
      <c r="P40" s="10" t="n">
        <v>1</v>
      </c>
      <c r="Q40" s="10" t="inlineStr">
        <is>
          <t>Sí</t>
        </is>
      </c>
      <c r="R40" s="10" t="inlineStr">
        <is>
          <t>No</t>
        </is>
      </c>
      <c r="S40" s="11" t="inlineStr">
        <is>
          <t>Pump GD-6EH-100 (100～120V) APMA / APNA / APSA / APHA (3014059459) · Pump Unit (GD-6EH-220/230) (3014059491)</t>
        </is>
      </c>
      <c r="T40" s="11" t="inlineStr">
        <is>
          <t>P-ST-030-MAN OPER APSA 370 V2</t>
        </is>
      </c>
      <c r="U40" s="17" t="inlineStr">
        <is>
          <t>Pendiente</t>
        </is>
      </c>
      <c r="V40" s="17" t="n"/>
      <c r="W40" s="10">
        <f>IF($G40&lt;&gt;"Numérico","",IF($V40="","Sin dato",IF(AND(OR(NOT(ISNUMBER($O40)),$V40&gt;=$O40),OR(NOT(ISNUMBER($P40)),$V40&lt;=$P40)),"Dentro de rango","Fuera de rango")))</f>
        <v/>
      </c>
      <c r="X40" s="17" t="n"/>
      <c r="Y40" s="18" t="n"/>
      <c r="Z40" s="16">
        <f>IF(OR($U40="",$U40="Conforme",$U40="No aplica",$U40="Pendiente"),"",$N40&amp;IF($W40="Fuera de rango"," Valor medido: "&amp;TEXT($V40,"0.####")&amp;IF($H40="",""," "&amp;$H40)&amp;IF(AND(ISNUMBER($O40),$V40&lt;$O40),", por debajo del límite inferior de "&amp;TEXT($O40,"0.####")&amp;IF($H40="",""," "&amp;$H40),"")&amp;IF(AND(ISNUMBER($P40),$V40&gt;$P40),", por encima del límite superior de "&amp;TEXT($P40,"0.####")&amp;IF($H40="",""," "&amp;$H40),"")&amp;".","")&amp;IF($Y40="",""," "&amp;$Y40&amp;IF(RIGHT($Y40,1)=".","","."))&amp;" Acción recomendada: "&amp;$M40&amp;IF(RIGHT($M40,1)=".","",".")&amp;IF($J40="Bloqueante"," El equipo no se libera hasta resolver este hallazgo.",IF($J40="Cobrable"," Se incluye en la cotización de repuestos y consumibles."," Se deja registrado como observación.")))</f>
        <v/>
      </c>
    </row>
    <row r="41" ht="48" customHeight="1">
      <c r="A41" s="10" t="inlineStr">
        <is>
          <t>5.1.2</t>
        </is>
      </c>
      <c r="B41" s="10" t="inlineStr">
        <is>
          <t>5. Sistema neumático</t>
        </is>
      </c>
      <c r="C41" s="10" t="inlineStr">
        <is>
          <t>5.1 Bomba y caudal de muestra</t>
        </is>
      </c>
      <c r="D41" s="11" t="inlineStr">
        <is>
          <t>Presión de succión de la bomba (PUMP)</t>
        </is>
      </c>
      <c r="E41" s="11" t="inlineStr">
        <is>
          <t>Vacío de arrastre absoluto generado en la succión interna del analizador</t>
        </is>
      </c>
      <c r="F41" s="12" t="inlineStr">
        <is>
          <t>Leer el valor PUMP en MENU / MAINTENANCE / ANALOG INPUT con el equipo en operación normal y la línea de muestra conectada. Anotar el valor estabilizado.</t>
        </is>
      </c>
      <c r="G41" s="10" t="inlineStr">
        <is>
          <t>Numérico</t>
        </is>
      </c>
      <c r="H41" s="10" t="inlineStr">
        <is>
          <t>kPa</t>
        </is>
      </c>
      <c r="I41" s="11" t="inlineStr">
        <is>
          <t>Debe mantenerse por debajo del umbral de alarma; la alarma PRE1 se activa a 65 kPa o más</t>
        </is>
      </c>
      <c r="J41" s="13" t="inlineStr">
        <is>
          <t>Bloqueante</t>
        </is>
      </c>
      <c r="K41" s="14" t="inlineStr">
        <is>
          <t>Vacío alto: obstrucción aguas arriba. Vacío bajo: fuga o diafragma roto</t>
        </is>
      </c>
      <c r="L41" s="15" t="inlineStr">
        <is>
          <t>4.1.1 ; 5.1.3 ; 5.1.5 ; 4.2.1</t>
        </is>
      </c>
      <c r="M41" s="14" t="inlineStr">
        <is>
          <t>Desconectar la línea en SAMPLE INLET: si la presión cae, la obstrucción está aguas arriba</t>
        </is>
      </c>
      <c r="N41" s="16" t="inlineStr">
        <is>
          <t>La presión de succión de la bomba está fuera del rango de operación, lo que indica una obstrucción o una fuga en el circuito neumático.</t>
        </is>
      </c>
      <c r="O41" s="10" t="n"/>
      <c r="P41" s="10" t="n">
        <v>65</v>
      </c>
      <c r="Q41" s="10" t="inlineStr">
        <is>
          <t>Sí</t>
        </is>
      </c>
      <c r="R41" s="10" t="inlineStr">
        <is>
          <t>No</t>
        </is>
      </c>
      <c r="S41" s="11" t="inlineStr">
        <is>
          <t>Diaphragm Assy GS,Gdseries EPDM (3011026485)</t>
        </is>
      </c>
      <c r="T41" s="11" t="inlineStr">
        <is>
          <t>P-ST-030-MAN OPER APSA 370 V2</t>
        </is>
      </c>
      <c r="U41" s="17" t="inlineStr">
        <is>
          <t>Pendiente</t>
        </is>
      </c>
      <c r="V41" s="17" t="n"/>
      <c r="W41" s="10">
        <f>IF($G41&lt;&gt;"Numérico","",IF($V41="","Sin dato",IF(AND(OR(NOT(ISNUMBER($O41)),$V41&gt;=$O41),OR(NOT(ISNUMBER($P41)),$V41&lt;=$P41)),"Dentro de rango","Fuera de rango")))</f>
        <v/>
      </c>
      <c r="X41" s="17" t="n"/>
      <c r="Y41" s="18" t="n"/>
      <c r="Z41" s="16">
        <f>IF(OR($U41="",$U41="Conforme",$U41="No aplica",$U41="Pendiente"),"",$N41&amp;IF($W41="Fuera de rango"," Valor medido: "&amp;TEXT($V41,"0.####")&amp;IF($H41="",""," "&amp;$H41)&amp;IF(AND(ISNUMBER($O41),$V41&lt;$O41),", por debajo del límite inferior de "&amp;TEXT($O41,"0.####")&amp;IF($H41="",""," "&amp;$H41),"")&amp;IF(AND(ISNUMBER($P41),$V41&gt;$P41),", por encima del límite superior de "&amp;TEXT($P41,"0.####")&amp;IF($H41="",""," "&amp;$H41),"")&amp;".","")&amp;IF($Y41="",""," "&amp;$Y41&amp;IF(RIGHT($Y41,1)=".","","."))&amp;" Acción recomendada: "&amp;$M41&amp;IF(RIGHT($M41,1)=".","",".")&amp;IF($J41="Bloqueante"," El equipo no se libera hasta resolver este hallazgo.",IF($J41="Cobrable"," Se incluye en la cotización de repuestos y consumibles."," Se deja registrado como observación.")))</f>
        <v/>
      </c>
    </row>
    <row r="42" ht="48" customHeight="1">
      <c r="A42" s="10" t="inlineStr">
        <is>
          <t>5.1.3</t>
        </is>
      </c>
      <c r="B42" s="10" t="inlineStr">
        <is>
          <t>5. Sistema neumático</t>
        </is>
      </c>
      <c r="C42" s="10" t="inlineStr">
        <is>
          <t>5.1 Bomba y caudal de muestra</t>
        </is>
      </c>
      <c r="D42" s="11" t="inlineStr">
        <is>
          <t>Integridad del diafragma de la bomba</t>
        </is>
      </c>
      <c r="E42" s="11" t="inlineStr">
        <is>
          <t>Estado de las membranas de diafragma de doble cabezal de la bomba</t>
        </is>
      </c>
      <c r="F42" s="12" t="inlineStr">
        <is>
          <t>Apagar el equipo, desmontar los cabezales de la bomba y extraer los diafragmas. Examinarlos contra la luz buscando fisuras, perforaciones o endurecimiento del EPDM.</t>
        </is>
      </c>
      <c r="G42" s="10" t="inlineStr">
        <is>
          <t>OK / No OK</t>
        </is>
      </c>
      <c r="H42" s="10" t="inlineStr"/>
      <c r="I42" s="11" t="inlineStr">
        <is>
          <t>Sin fisuras, grietas ni roturas; el desgaste causa baja de vacío, ruidos y disminución de flujo</t>
        </is>
      </c>
      <c r="J42" s="13" t="inlineStr">
        <is>
          <t>Cobrable</t>
        </is>
      </c>
      <c r="K42" s="14" t="inlineStr">
        <is>
          <t>Fatiga del EPDM por horas de servicio, o arrastre de condensado</t>
        </is>
      </c>
      <c r="L42" s="15" t="inlineStr">
        <is>
          <t>8.1.4 ; 4.1.3 ; 5.1.4</t>
        </is>
      </c>
      <c r="M42" s="14" t="inlineStr">
        <is>
          <t>Reemplazar el juego de diafragmas, reiniciar el horómetro y corregir el origen del condensado</t>
        </is>
      </c>
      <c r="N42" s="16" t="inlineStr">
        <is>
          <t>Los diafragmas de la bomba de muestreo presentan fisuras, perforaciones o pérdida de elasticidad.</t>
        </is>
      </c>
      <c r="O42" s="10" t="n"/>
      <c r="P42" s="10" t="n"/>
      <c r="Q42" s="10" t="inlineStr">
        <is>
          <t>Sí</t>
        </is>
      </c>
      <c r="R42" s="10" t="inlineStr">
        <is>
          <t>Sí</t>
        </is>
      </c>
      <c r="S42" s="11" t="inlineStr">
        <is>
          <t>Diaphragm Assy GS, Gdseries EPDM (3200602390) · Diaphragm Assy GS,Gdseries EPDM (3011026485)</t>
        </is>
      </c>
      <c r="T42" s="11" t="inlineStr">
        <is>
          <t>MT_829WE09R_APSA370_21041205</t>
        </is>
      </c>
      <c r="U42" s="17" t="inlineStr">
        <is>
          <t>Pendiente</t>
        </is>
      </c>
      <c r="V42" s="17" t="n"/>
      <c r="W42" s="10">
        <f>IF($G42&lt;&gt;"Numérico","",IF($V42="","Sin dato",IF(AND(OR(NOT(ISNUMBER($O42)),$V42&gt;=$O42),OR(NOT(ISNUMBER($P42)),$V42&lt;=$P42)),"Dentro de rango","Fuera de rango")))</f>
        <v/>
      </c>
      <c r="X42" s="17" t="n"/>
      <c r="Y42" s="18" t="n"/>
      <c r="Z42" s="16">
        <f>IF(OR($U42="",$U42="Conforme",$U42="No aplica",$U42="Pendiente"),"",$N42&amp;IF($W42="Fuera de rango"," Valor medido: "&amp;TEXT($V42,"0.####")&amp;IF($H42="",""," "&amp;$H42)&amp;IF(AND(ISNUMBER($O42),$V42&lt;$O42),", por debajo del límite inferior de "&amp;TEXT($O42,"0.####")&amp;IF($H42="",""," "&amp;$H42),"")&amp;IF(AND(ISNUMBER($P42),$V42&gt;$P42),", por encima del límite superior de "&amp;TEXT($P42,"0.####")&amp;IF($H42="",""," "&amp;$H42),"")&amp;".","")&amp;IF($Y42="",""," "&amp;$Y42&amp;IF(RIGHT($Y42,1)=".","","."))&amp;" Acción recomendada: "&amp;$M42&amp;IF(RIGHT($M42,1)=".","",".")&amp;IF($J42="Bloqueante"," El equipo no se libera hasta resolver este hallazgo.",IF($J42="Cobrable"," Se incluye en la cotización de repuestos y consumibles."," Se deja registrado como observación.")))</f>
        <v/>
      </c>
    </row>
    <row r="43" ht="48" customHeight="1">
      <c r="A43" s="10" t="inlineStr">
        <is>
          <t>5.1.4</t>
        </is>
      </c>
      <c r="B43" s="10" t="inlineStr">
        <is>
          <t>5. Sistema neumático</t>
        </is>
      </c>
      <c r="C43" s="10" t="inlineStr">
        <is>
          <t>5.1 Bomba y caudal de muestra</t>
        </is>
      </c>
      <c r="D43" s="11" t="inlineStr">
        <is>
          <t>Válvulas del cabezal de la bomba</t>
        </is>
      </c>
      <c r="E43" s="11" t="inlineStr">
        <is>
          <t>Estado físico y sello elástico de las juntas de flapper del cabezal</t>
        </is>
      </c>
      <c r="F43" s="12" t="inlineStr">
        <is>
          <t>Con los cabezales desmontados, retirar las válvulas de flapper, limpiarlas y verificar que asienten planas sobre su sede, sin deformación ni partículas atrapadas.</t>
        </is>
      </c>
      <c r="G43" s="10" t="inlineStr">
        <is>
          <t>OK / No OK</t>
        </is>
      </c>
      <c r="H43" s="10" t="inlineStr"/>
      <c r="I43" s="11" t="inlineStr">
        <is>
          <t>Las válvulas elastoméricas deben estar limpias de partículas y sin deformaciones</t>
        </is>
      </c>
      <c r="J43" s="13" t="inlineStr">
        <is>
          <t>Cobrable</t>
        </is>
      </c>
      <c r="K43" s="14" t="inlineStr">
        <is>
          <t>Flapper deformado, endurecido, o con partículas atrapadas</t>
        </is>
      </c>
      <c r="L43" s="15" t="inlineStr">
        <is>
          <t>5.1.3 ; 4.1.1</t>
        </is>
      </c>
      <c r="M43" s="14" t="inlineStr">
        <is>
          <t>Limpiar o reemplazar las válvulas junto con el juego de diafragmas</t>
        </is>
      </c>
      <c r="N43" s="16" t="inlineStr">
        <is>
          <t>Las válvulas del cabezal de la bomba presentan deformación, endurecimiento o partículas atrapadas que afectan su sellado.</t>
        </is>
      </c>
      <c r="O43" s="10" t="n"/>
      <c r="P43" s="10" t="n"/>
      <c r="Q43" s="10" t="inlineStr">
        <is>
          <t>Sí</t>
        </is>
      </c>
      <c r="R43" s="10" t="inlineStr">
        <is>
          <t>Sí</t>
        </is>
      </c>
      <c r="S43" s="11" t="inlineStr">
        <is>
          <t>Diaphragm Assy GS,Gdseries EPDM (3011026485)</t>
        </is>
      </c>
      <c r="T43" s="11" t="inlineStr">
        <is>
          <t>P-ST-029-MAN MTTO APSA370 V2</t>
        </is>
      </c>
      <c r="U43" s="17" t="inlineStr">
        <is>
          <t>Pendiente</t>
        </is>
      </c>
      <c r="V43" s="17" t="n"/>
      <c r="W43" s="10">
        <f>IF($G43&lt;&gt;"Numérico","",IF($V43="","Sin dato",IF(AND(OR(NOT(ISNUMBER($O43)),$V43&gt;=$O43),OR(NOT(ISNUMBER($P43)),$V43&lt;=$P43)),"Dentro de rango","Fuera de rango")))</f>
        <v/>
      </c>
      <c r="X43" s="17" t="n"/>
      <c r="Y43" s="18" t="n"/>
      <c r="Z43" s="16">
        <f>IF(OR($U43="",$U43="Conforme",$U43="No aplica",$U43="Pendiente"),"",$N43&amp;IF($W43="Fuera de rango"," Valor medido: "&amp;TEXT($V43,"0.####")&amp;IF($H43="",""," "&amp;$H43)&amp;IF(AND(ISNUMBER($O43),$V43&lt;$O43),", por debajo del límite inferior de "&amp;TEXT($O43,"0.####")&amp;IF($H43="",""," "&amp;$H43),"")&amp;IF(AND(ISNUMBER($P43),$V43&gt;$P43),", por encima del límite superior de "&amp;TEXT($P43,"0.####")&amp;IF($H43="",""," "&amp;$H43),"")&amp;".","")&amp;IF($Y43="",""," "&amp;$Y43&amp;IF(RIGHT($Y43,1)=".","","."))&amp;" Acción recomendada: "&amp;$M43&amp;IF(RIGHT($M43,1)=".","",".")&amp;IF($J43="Bloqueante"," El equipo no se libera hasta resolver este hallazgo.",IF($J43="Cobrable"," Se incluye en la cotización de repuestos y consumibles."," Se deja registrado como observación.")))</f>
        <v/>
      </c>
    </row>
    <row r="44" ht="48" customHeight="1">
      <c r="A44" s="10" t="inlineStr">
        <is>
          <t>5.1.5</t>
        </is>
      </c>
      <c r="B44" s="10" t="inlineStr">
        <is>
          <t>5. Sistema neumático</t>
        </is>
      </c>
      <c r="C44" s="10" t="inlineStr">
        <is>
          <t>5.1 Bomba y caudal de muestra</t>
        </is>
      </c>
      <c r="D44" s="11" t="inlineStr">
        <is>
          <t>Sellado de las juntas de conexión de la bomba</t>
        </is>
      </c>
      <c r="E44" s="11" t="inlineStr">
        <is>
          <t>Uso de cinta selladora en las juntas roscadas de unión neumática a la bomba</t>
        </is>
      </c>
      <c r="F44" s="12" t="inlineStr">
        <is>
          <t>Al reinstalar la bomba, verificar que las juntas roscadas lleven cinta de teflón y comprobar que no haya fuga aplicando agua jabonosa sobre cada unión con la bomba en marcha.</t>
        </is>
      </c>
      <c r="G44" s="10" t="inlineStr">
        <is>
          <t>OK / No OK</t>
        </is>
      </c>
      <c r="H44" s="10" t="inlineStr"/>
      <c r="I44" s="11" t="inlineStr">
        <is>
          <t>Las juntas roscadas deben sellarse con cinta de teflón para evitar fugas</t>
        </is>
      </c>
      <c r="J44" s="13" t="inlineStr">
        <is>
          <t>Bloqueante</t>
        </is>
      </c>
      <c r="K44" s="14" t="inlineStr">
        <is>
          <t>Junta roscada sin cinta de teflón, o unión floja tras el mantenimiento</t>
        </is>
      </c>
      <c r="L44" s="15" t="inlineStr">
        <is>
          <t>5.1.2 ; 4.3.1 ; 4.1.2</t>
        </is>
      </c>
      <c r="M44" s="14" t="inlineStr">
        <is>
          <t>Aplicar agua jabonosa en cada unión con la bomba en marcha para ubicar la fuga y resellar</t>
        </is>
      </c>
      <c r="N44" s="16" t="inlineStr">
        <is>
          <t>Las uniones neumáticas de la bomba presentan fuga por sellado deficiente.</t>
        </is>
      </c>
      <c r="O44" s="10" t="n"/>
      <c r="P44" s="10" t="n"/>
      <c r="Q44" s="10" t="inlineStr">
        <is>
          <t>Sí</t>
        </is>
      </c>
      <c r="R44" s="10" t="inlineStr">
        <is>
          <t>Sí</t>
        </is>
      </c>
      <c r="S44" s="11" t="inlineStr"/>
      <c r="T44" s="11" t="inlineStr">
        <is>
          <t>P-ST-029-MAN MTTO APSA370 V2</t>
        </is>
      </c>
      <c r="U44" s="17" t="inlineStr">
        <is>
          <t>Pendiente</t>
        </is>
      </c>
      <c r="V44" s="17" t="n"/>
      <c r="W44" s="10">
        <f>IF($G44&lt;&gt;"Numérico","",IF($V44="","Sin dato",IF(AND(OR(NOT(ISNUMBER($O44)),$V44&gt;=$O44),OR(NOT(ISNUMBER($P44)),$V44&lt;=$P44)),"Dentro de rango","Fuera de rango")))</f>
        <v/>
      </c>
      <c r="X44" s="17" t="n"/>
      <c r="Y44" s="18" t="n"/>
      <c r="Z44" s="16">
        <f>IF(OR($U44="",$U44="Conforme",$U44="No aplica",$U44="Pendiente"),"",$N44&amp;IF($W44="Fuera de rango"," Valor medido: "&amp;TEXT($V44,"0.####")&amp;IF($H44="",""," "&amp;$H44)&amp;IF(AND(ISNUMBER($O44),$V44&lt;$O44),", por debajo del límite inferior de "&amp;TEXT($O44,"0.####")&amp;IF($H44="",""," "&amp;$H44),"")&amp;IF(AND(ISNUMBER($P44),$V44&gt;$P44),", por encima del límite superior de "&amp;TEXT($P44,"0.####")&amp;IF($H44="",""," "&amp;$H44),"")&amp;".","")&amp;IF($Y44="",""," "&amp;$Y44&amp;IF(RIGHT($Y44,1)=".","","."))&amp;" Acción recomendada: "&amp;$M44&amp;IF(RIGHT($M44,1)=".","",".")&amp;IF($J44="Bloqueante"," El equipo no se libera hasta resolver este hallazgo.",IF($J44="Cobrable"," Se incluye en la cotización de repuestos y consumibles."," Se deja registrado como observación.")))</f>
        <v/>
      </c>
    </row>
    <row r="45" ht="48" customHeight="1">
      <c r="A45" s="10" t="inlineStr">
        <is>
          <t>5.2.1</t>
        </is>
      </c>
      <c r="B45" s="10" t="inlineStr">
        <is>
          <t>5. Sistema neumático</t>
        </is>
      </c>
      <c r="C45" s="10" t="inlineStr">
        <is>
          <t>5.2 Aire de purga del HC Cutter</t>
        </is>
      </c>
      <c r="D45" s="11" t="inlineStr">
        <is>
          <t>Caudal de purga del HC Cutter</t>
        </is>
      </c>
      <c r="E45" s="11" t="inlineStr">
        <is>
          <t>Flujo de aire de purga por la línea del eliminador de hidrocarburos</t>
        </is>
      </c>
      <c r="F45" s="12" t="inlineStr">
        <is>
          <t>Medir con flujómetro de burbuja el caudal en la línea de purga del HC Cutter, o leer el valor en ANALOG INPUT si el equipo tiene el sensor de flujo opcional instalado.</t>
        </is>
      </c>
      <c r="G45" s="10" t="inlineStr">
        <is>
          <t>Numérico</t>
        </is>
      </c>
      <c r="H45" s="10" t="inlineStr">
        <is>
          <t>L/min</t>
        </is>
      </c>
      <c r="I45" s="11" t="inlineStr">
        <is>
          <t>Flujo de aire limpio necesario para la correcta remoción de hidrocarburos interferentes</t>
        </is>
      </c>
      <c r="J45" s="13" t="inlineStr">
        <is>
          <t>Bloqueante</t>
        </is>
      </c>
      <c r="K45" s="14" t="inlineStr">
        <is>
          <t>Filtro de aire F-2 saturado, capilar de purga obstruido, o pérdida general de vacío</t>
        </is>
      </c>
      <c r="L45" s="15" t="inlineStr">
        <is>
          <t>8.1.1 ; 6.3.1 ; 5.1.2</t>
        </is>
      </c>
      <c r="M45" s="14" t="inlineStr">
        <is>
          <t>Reemplazar el filtro de 0,3 µm y verificar que el capilar de purga esté libre</t>
        </is>
      </c>
      <c r="N45" s="16" t="inlineStr">
        <is>
          <t>El caudal de purga del eliminador de hidrocarburos está fuera de rango, lo que compromete la remoción de compuestos interferentes.</t>
        </is>
      </c>
      <c r="O45" s="10" t="n">
        <v>2</v>
      </c>
      <c r="P45" s="10" t="n">
        <v>3</v>
      </c>
      <c r="Q45" s="10" t="inlineStr">
        <is>
          <t>Sí</t>
        </is>
      </c>
      <c r="R45" s="10" t="inlineStr">
        <is>
          <t>No</t>
        </is>
      </c>
      <c r="S45" s="11" t="inlineStr">
        <is>
          <t>HC Cutter (3014059458)</t>
        </is>
      </c>
      <c r="T45" s="11" t="inlineStr">
        <is>
          <t>GZ0000117746B SM E APXX-370 (Service Manual)</t>
        </is>
      </c>
      <c r="U45" s="17" t="inlineStr">
        <is>
          <t>Pendiente</t>
        </is>
      </c>
      <c r="V45" s="17" t="n"/>
      <c r="W45" s="10">
        <f>IF($G45&lt;&gt;"Numérico","",IF($V45="","Sin dato",IF(AND(OR(NOT(ISNUMBER($O45)),$V45&gt;=$O45),OR(NOT(ISNUMBER($P45)),$V45&lt;=$P45)),"Dentro de rango","Fuera de rango")))</f>
        <v/>
      </c>
      <c r="X45" s="17" t="n"/>
      <c r="Y45" s="18" t="n"/>
      <c r="Z45" s="16">
        <f>IF(OR($U45="",$U45="Conforme",$U45="No aplica",$U45="Pendiente"),"",$N45&amp;IF($W45="Fuera de rango"," Valor medido: "&amp;TEXT($V45,"0.####")&amp;IF($H45="",""," "&amp;$H45)&amp;IF(AND(ISNUMBER($O45),$V45&lt;$O45),", por debajo del límite inferior de "&amp;TEXT($O45,"0.####")&amp;IF($H45="",""," "&amp;$H45),"")&amp;IF(AND(ISNUMBER($P45),$V45&gt;$P45),", por encima del límite superior de "&amp;TEXT($P45,"0.####")&amp;IF($H45="",""," "&amp;$H45),"")&amp;".","")&amp;IF($Y45="",""," "&amp;$Y45&amp;IF(RIGHT($Y45,1)=".","","."))&amp;" Acción recomendada: "&amp;$M45&amp;IF(RIGHT($M45,1)=".","",".")&amp;IF($J45="Bloqueante"," El equipo no se libera hasta resolver este hallazgo.",IF($J45="Cobrable"," Se incluye en la cotización de repuestos y consumibles."," Se deja registrado como observación.")))</f>
        <v/>
      </c>
    </row>
    <row r="46" ht="48" customHeight="1">
      <c r="A46" s="10" t="inlineStr">
        <is>
          <t>5.3.1</t>
        </is>
      </c>
      <c r="B46" s="10" t="inlineStr">
        <is>
          <t>5. Sistema neumático</t>
        </is>
      </c>
      <c r="C46" s="10" t="inlineStr">
        <is>
          <t>5.3 Válvulas solenoides</t>
        </is>
      </c>
      <c r="D46" s="11" t="inlineStr">
        <is>
          <t>Operación de la solenoide de cero (SV3)</t>
        </is>
      </c>
      <c r="E46" s="11" t="inlineStr">
        <is>
          <t>Conmutación física del solenoide al activar el modo ZERO</t>
        </is>
      </c>
      <c r="F46" s="12" t="inlineStr">
        <is>
          <t>Con el equipo en modo ZERO, escuchar y palpar la electroválvula SV3 para confirmar su conmutación, y verificar en pantalla que la lectura responda al cambio de línea.</t>
        </is>
      </c>
      <c r="G46" s="10" t="inlineStr">
        <is>
          <t>OK / No OK</t>
        </is>
      </c>
      <c r="H46" s="10" t="inlineStr"/>
      <c r="I46" s="11" t="inlineStr">
        <is>
          <t>Debe conmutar sin fugas internas y dirigir el flujo de gas cero hacia la celda</t>
        </is>
      </c>
      <c r="J46" s="13" t="inlineStr">
        <is>
          <t>Bloqueante</t>
        </is>
      </c>
      <c r="K46" s="14" t="inlineStr">
        <is>
          <t>Bobina quemada, vástago atascado, o fuga interna</t>
        </is>
      </c>
      <c r="L46" s="15" t="inlineStr">
        <is>
          <t>3.1.1 ; 9.4.1</t>
        </is>
      </c>
      <c r="M46" s="14" t="inlineStr">
        <is>
          <t>Reemplazar la electroválvula y repetir la calibración de cero</t>
        </is>
      </c>
      <c r="N46" s="16" t="inlineStr">
        <is>
          <t>La electroválvula de gas cero no conmuta correctamente o presenta fuga interna.</t>
        </is>
      </c>
      <c r="O46" s="10" t="n"/>
      <c r="P46" s="10" t="n"/>
      <c r="Q46" s="10" t="inlineStr">
        <is>
          <t>Sí</t>
        </is>
      </c>
      <c r="R46" s="10" t="inlineStr">
        <is>
          <t>Sí</t>
        </is>
      </c>
      <c r="S46" s="11" t="inlineStr">
        <is>
          <t>SV Unit WTA-2K-MFF-1 APSA / APNA / APHA (3014035610)</t>
        </is>
      </c>
      <c r="T46" s="11" t="inlineStr">
        <is>
          <t>GZ0000117746B SM E APXX-370 (Service Manual)</t>
        </is>
      </c>
      <c r="U46" s="17" t="inlineStr">
        <is>
          <t>Pendiente</t>
        </is>
      </c>
      <c r="V46" s="17" t="n"/>
      <c r="W46" s="10">
        <f>IF($G46&lt;&gt;"Numérico","",IF($V46="","Sin dato",IF(AND(OR(NOT(ISNUMBER($O46)),$V46&gt;=$O46),OR(NOT(ISNUMBER($P46)),$V46&lt;=$P46)),"Dentro de rango","Fuera de rango")))</f>
        <v/>
      </c>
      <c r="X46" s="17" t="n"/>
      <c r="Y46" s="18" t="n"/>
      <c r="Z46" s="16">
        <f>IF(OR($U46="",$U46="Conforme",$U46="No aplica",$U46="Pendiente"),"",$N46&amp;IF($W46="Fuera de rango"," Valor medido: "&amp;TEXT($V46,"0.####")&amp;IF($H46="",""," "&amp;$H46)&amp;IF(AND(ISNUMBER($O46),$V46&lt;$O46),", por debajo del límite inferior de "&amp;TEXT($O46,"0.####")&amp;IF($H46="",""," "&amp;$H46),"")&amp;IF(AND(ISNUMBER($P46),$V46&gt;$P46),", por encima del límite superior de "&amp;TEXT($P46,"0.####")&amp;IF($H46="",""," "&amp;$H46),"")&amp;".","")&amp;IF($Y46="",""," "&amp;$Y46&amp;IF(RIGHT($Y46,1)=".","","."))&amp;" Acción recomendada: "&amp;$M46&amp;IF(RIGHT($M46,1)=".","",".")&amp;IF($J46="Bloqueante"," El equipo no se libera hasta resolver este hallazgo.",IF($J46="Cobrable"," Se incluye en la cotización de repuestos y consumibles."," Se deja registrado como observación.")))</f>
        <v/>
      </c>
    </row>
    <row r="47" ht="48" customHeight="1">
      <c r="A47" s="10" t="inlineStr">
        <is>
          <t>5.3.2</t>
        </is>
      </c>
      <c r="B47" s="10" t="inlineStr">
        <is>
          <t>5. Sistema neumático</t>
        </is>
      </c>
      <c r="C47" s="10" t="inlineStr">
        <is>
          <t>5.3 Válvulas solenoides</t>
        </is>
      </c>
      <c r="D47" s="11" t="inlineStr">
        <is>
          <t>Operación de la solenoide de span (SV7)</t>
        </is>
      </c>
      <c r="E47" s="11" t="inlineStr">
        <is>
          <t>Conmutación física del solenoide al activar el modo SPAN</t>
        </is>
      </c>
      <c r="F47" s="12" t="inlineStr">
        <is>
          <t>Con el equipo en modo SPAN, escuchar y palpar la electroválvula SV7 para confirmar su conmutación, y verificar que el gas patrón llegue efectivamente a la celda.</t>
        </is>
      </c>
      <c r="G47" s="10" t="inlineStr">
        <is>
          <t>OK / No OK</t>
        </is>
      </c>
      <c r="H47" s="10" t="inlineStr"/>
      <c r="I47" s="11" t="inlineStr">
        <is>
          <t>Debe activarse herméticamente para direccionar el gas patrón hacia la celda</t>
        </is>
      </c>
      <c r="J47" s="13" t="inlineStr">
        <is>
          <t>Bloqueante</t>
        </is>
      </c>
      <c r="K47" s="14" t="inlineStr">
        <is>
          <t>Bobina quemada, vástago atascado, o fuga interna</t>
        </is>
      </c>
      <c r="L47" s="15" t="inlineStr">
        <is>
          <t>3.1.2 ; 9.4.1</t>
        </is>
      </c>
      <c r="M47" s="14" t="inlineStr">
        <is>
          <t>Reemplazar la electroválvula y repetir la calibración de span</t>
        </is>
      </c>
      <c r="N47" s="16" t="inlineStr">
        <is>
          <t>La electroválvula de gas patrón no conmuta correctamente o presenta fuga interna.</t>
        </is>
      </c>
      <c r="O47" s="10" t="n"/>
      <c r="P47" s="10" t="n"/>
      <c r="Q47" s="10" t="inlineStr">
        <is>
          <t>Sí</t>
        </is>
      </c>
      <c r="R47" s="10" t="inlineStr">
        <is>
          <t>Sí</t>
        </is>
      </c>
      <c r="S47" s="11" t="inlineStr">
        <is>
          <t>SV Unit WTA-2K-MFF-1 APSA / APNA / APHA (3014035610)</t>
        </is>
      </c>
      <c r="T47" s="11" t="inlineStr">
        <is>
          <t>GZ0000117746B SM E APXX-370 (Service Manual)</t>
        </is>
      </c>
      <c r="U47" s="17" t="inlineStr">
        <is>
          <t>Pendiente</t>
        </is>
      </c>
      <c r="V47" s="17" t="n"/>
      <c r="W47" s="10">
        <f>IF($G47&lt;&gt;"Numérico","",IF($V47="","Sin dato",IF(AND(OR(NOT(ISNUMBER($O47)),$V47&gt;=$O47),OR(NOT(ISNUMBER($P47)),$V47&lt;=$P47)),"Dentro de rango","Fuera de rango")))</f>
        <v/>
      </c>
      <c r="X47" s="17" t="n"/>
      <c r="Y47" s="18" t="n"/>
      <c r="Z47" s="16">
        <f>IF(OR($U47="",$U47="Conforme",$U47="No aplica",$U47="Pendiente"),"",$N47&amp;IF($W47="Fuera de rango"," Valor medido: "&amp;TEXT($V47,"0.####")&amp;IF($H47="",""," "&amp;$H47)&amp;IF(AND(ISNUMBER($O47),$V47&lt;$O47),", por debajo del límite inferior de "&amp;TEXT($O47,"0.####")&amp;IF($H47="",""," "&amp;$H47),"")&amp;IF(AND(ISNUMBER($P47),$V47&gt;$P47),", por encima del límite superior de "&amp;TEXT($P47,"0.####")&amp;IF($H47="",""," "&amp;$H47),"")&amp;".","")&amp;IF($Y47="",""," "&amp;$Y47&amp;IF(RIGHT($Y47,1)=".","","."))&amp;" Acción recomendada: "&amp;$M47&amp;IF(RIGHT($M47,1)=".","",".")&amp;IF($J47="Bloqueante"," El equipo no se libera hasta resolver este hallazgo.",IF($J47="Cobrable"," Se incluye en la cotización de repuestos y consumibles."," Se deja registrado como observación.")))</f>
        <v/>
      </c>
    </row>
    <row r="48" ht="48" customHeight="1">
      <c r="A48" s="10" t="inlineStr">
        <is>
          <t>5.3.3</t>
        </is>
      </c>
      <c r="B48" s="10" t="inlineStr">
        <is>
          <t>5. Sistema neumático</t>
        </is>
      </c>
      <c r="C48" s="10" t="inlineStr">
        <is>
          <t>5.3 Válvulas solenoides</t>
        </is>
      </c>
      <c r="D48" s="11" t="inlineStr">
        <is>
          <t>Operación de la solenoide de selección MEAS-CAL (SV8)</t>
        </is>
      </c>
      <c r="E48" s="11" t="inlineStr">
        <is>
          <t>Cambio entre la línea de muestreo de campo y la línea de calibración posterior</t>
        </is>
      </c>
      <c r="F48" s="12" t="inlineStr">
        <is>
          <t>Conmutar el equipo de MEAS a calibración y confirmar audiblemente la actuación de SV8, verificando que la respuesta en pantalla sea inmediata y sin retardos anómalos.</t>
        </is>
      </c>
      <c r="G48" s="10" t="inlineStr">
        <is>
          <t>OK / No OK</t>
        </is>
      </c>
      <c r="H48" s="10" t="inlineStr"/>
      <c r="I48" s="11" t="inlineStr">
        <is>
          <t>Debe operar de forma instantánea al conmutar de MEAS a calibración (ZERO o SPAN)</t>
        </is>
      </c>
      <c r="J48" s="13" t="inlineStr">
        <is>
          <t>Bloqueante</t>
        </is>
      </c>
      <c r="K48" s="14" t="inlineStr">
        <is>
          <t>Conmutación lenta o incompleta entre línea de campo y línea de calibración</t>
        </is>
      </c>
      <c r="L48" s="15" t="inlineStr">
        <is>
          <t>3.1.1 ; 9.4.1</t>
        </is>
      </c>
      <c r="M48" s="14" t="inlineStr">
        <is>
          <t>Reemplazar la electroválvula; una conmutación incompleta mezcla muestra y patrón</t>
        </is>
      </c>
      <c r="N48" s="16" t="inlineStr">
        <is>
          <t>La electroválvula de selección entre línea de muestreo y línea de calibración no conmuta de forma completa.</t>
        </is>
      </c>
      <c r="O48" s="10" t="n"/>
      <c r="P48" s="10" t="n"/>
      <c r="Q48" s="10" t="inlineStr">
        <is>
          <t>Sí</t>
        </is>
      </c>
      <c r="R48" s="10" t="inlineStr">
        <is>
          <t>Sí</t>
        </is>
      </c>
      <c r="S48" s="11" t="inlineStr">
        <is>
          <t>SV Unit WTA-2K-MFF-1 APSA / APNA / APHA (3014035610)</t>
        </is>
      </c>
      <c r="T48" s="11" t="inlineStr">
        <is>
          <t>GZ0000117746B SM E APXX-370 (Service Manual)</t>
        </is>
      </c>
      <c r="U48" s="17" t="inlineStr">
        <is>
          <t>Pendiente</t>
        </is>
      </c>
      <c r="V48" s="17" t="n"/>
      <c r="W48" s="10">
        <f>IF($G48&lt;&gt;"Numérico","",IF($V48="","Sin dato",IF(AND(OR(NOT(ISNUMBER($O48)),$V48&gt;=$O48),OR(NOT(ISNUMBER($P48)),$V48&lt;=$P48)),"Dentro de rango","Fuera de rango")))</f>
        <v/>
      </c>
      <c r="X48" s="17" t="n"/>
      <c r="Y48" s="18" t="n"/>
      <c r="Z48" s="16">
        <f>IF(OR($U48="",$U48="Conforme",$U48="No aplica",$U48="Pendiente"),"",$N48&amp;IF($W48="Fuera de rango"," Valor medido: "&amp;TEXT($V48,"0.####")&amp;IF($H48="",""," "&amp;$H48)&amp;IF(AND(ISNUMBER($O48),$V48&lt;$O48),", por debajo del límite inferior de "&amp;TEXT($O48,"0.####")&amp;IF($H48="",""," "&amp;$H48),"")&amp;IF(AND(ISNUMBER($P48),$V48&gt;$P48),", por encima del límite superior de "&amp;TEXT($P48,"0.####")&amp;IF($H48="",""," "&amp;$H48),"")&amp;".","")&amp;IF($Y48="",""," "&amp;$Y48&amp;IF(RIGHT($Y48,1)=".","","."))&amp;" Acción recomendada: "&amp;$M48&amp;IF(RIGHT($M48,1)=".","",".")&amp;IF($J48="Bloqueante"," El equipo no se libera hasta resolver este hallazgo.",IF($J48="Cobrable"," Se incluye en la cotización de repuestos y consumibles."," Se deja registrado como observación.")))</f>
        <v/>
      </c>
    </row>
    <row r="49" ht="48" customHeight="1">
      <c r="A49" s="10" t="inlineStr">
        <is>
          <t>5.4.1</t>
        </is>
      </c>
      <c r="B49" s="10" t="inlineStr">
        <is>
          <t>5. Sistema neumático</t>
        </is>
      </c>
      <c r="C49" s="10" t="inlineStr">
        <is>
          <t>5.4 Escape</t>
        </is>
      </c>
      <c r="D49" s="11" t="inlineStr">
        <is>
          <t>Caudal de gases de escape (Exhaust Flow)</t>
        </is>
      </c>
      <c r="E49" s="11" t="inlineStr">
        <is>
          <t>Flujo del gas de salida liberado por el puerto posterior EXHAUST</t>
        </is>
      </c>
      <c r="F49" s="12" t="inlineStr">
        <is>
          <t>Medir con flujómetro de burbuja el caudal en el puerto EXHAUST del panel trasero, con la línea de escape desconectada y el equipo en operación normal.</t>
        </is>
      </c>
      <c r="G49" s="10" t="inlineStr">
        <is>
          <t>Numérico</t>
        </is>
      </c>
      <c r="H49" s="10" t="inlineStr">
        <is>
          <t>L/min</t>
        </is>
      </c>
      <c r="I49" s="11" t="inlineStr">
        <is>
          <t>Flujo de escape en operación normal; debe mantenerse por debajo de 0,8 L/min</t>
        </is>
      </c>
      <c r="J49" s="13" t="inlineStr">
        <is>
          <t>Alerta</t>
        </is>
      </c>
      <c r="K49" s="14" t="inlineStr">
        <is>
          <t>Contrapresión en la línea de escape o restricción aguas abajo</t>
        </is>
      </c>
      <c r="L49" s="15" t="inlineStr">
        <is>
          <t>5.4.2 ; 5.1.2</t>
        </is>
      </c>
      <c r="M49" s="14" t="inlineStr">
        <is>
          <t>Liberar la línea de escape y verificar que descargue a un punto seguro sin restricción</t>
        </is>
      </c>
      <c r="N49" s="16" t="inlineStr">
        <is>
          <t>El caudal de la línea de escape está fuera de rango, lo que sugiere restricción aguas abajo del analizador.</t>
        </is>
      </c>
      <c r="O49" s="10" t="n"/>
      <c r="P49" s="10" t="n">
        <v>0.8</v>
      </c>
      <c r="Q49" s="10" t="inlineStr">
        <is>
          <t>Sí</t>
        </is>
      </c>
      <c r="R49" s="10" t="inlineStr">
        <is>
          <t>No</t>
        </is>
      </c>
      <c r="S49" s="11" t="inlineStr"/>
      <c r="T49" s="11" t="inlineStr">
        <is>
          <t>P-ST-030-MAN OPER APSA 370 V2</t>
        </is>
      </c>
      <c r="U49" s="17" t="inlineStr">
        <is>
          <t>Pendiente</t>
        </is>
      </c>
      <c r="V49" s="17" t="n"/>
      <c r="W49" s="10">
        <f>IF($G49&lt;&gt;"Numérico","",IF($V49="","Sin dato",IF(AND(OR(NOT(ISNUMBER($O49)),$V49&gt;=$O49),OR(NOT(ISNUMBER($P49)),$V49&lt;=$P49)),"Dentro de rango","Fuera de rango")))</f>
        <v/>
      </c>
      <c r="X49" s="17" t="n"/>
      <c r="Y49" s="18" t="n"/>
      <c r="Z49" s="16">
        <f>IF(OR($U49="",$U49="Conforme",$U49="No aplica",$U49="Pendiente"),"",$N49&amp;IF($W49="Fuera de rango"," Valor medido: "&amp;TEXT($V49,"0.####")&amp;IF($H49="",""," "&amp;$H49)&amp;IF(AND(ISNUMBER($O49),$V49&lt;$O49),", por debajo del límite inferior de "&amp;TEXT($O49,"0.####")&amp;IF($H49="",""," "&amp;$H49),"")&amp;IF(AND(ISNUMBER($P49),$V49&gt;$P49),", por encima del límite superior de "&amp;TEXT($P49,"0.####")&amp;IF($H49="",""," "&amp;$H49),"")&amp;".","")&amp;IF($Y49="",""," "&amp;$Y49&amp;IF(RIGHT($Y49,1)=".","","."))&amp;" Acción recomendada: "&amp;$M49&amp;IF(RIGHT($M49,1)=".","",".")&amp;IF($J49="Bloqueante"," El equipo no se libera hasta resolver este hallazgo.",IF($J49="Cobrable"," Se incluye en la cotización de repuestos y consumibles."," Se deja registrado como observación.")))</f>
        <v/>
      </c>
    </row>
    <row r="50" ht="48" customHeight="1">
      <c r="A50" s="10" t="inlineStr">
        <is>
          <t>5.4.2</t>
        </is>
      </c>
      <c r="B50" s="10" t="inlineStr">
        <is>
          <t>5. Sistema neumático</t>
        </is>
      </c>
      <c r="C50" s="10" t="inlineStr">
        <is>
          <t>5.4 Escape</t>
        </is>
      </c>
      <c r="D50" s="11" t="inlineStr">
        <is>
          <t>Presión de descarga del gas de escape</t>
        </is>
      </c>
      <c r="E50" s="11" t="inlineStr">
        <is>
          <t>Estabilidad de presión en la línea posterior de descarga del gas medido</t>
        </is>
      </c>
      <c r="F50" s="12" t="inlineStr">
        <is>
          <t>Conectar un manómetro de baja presión en la línea de escape aguas abajo del puerto EXHAUST y verificar que no haya contrapresión fuera del rango.</t>
        </is>
      </c>
      <c r="G50" s="10" t="inlineStr">
        <is>
          <t>Numérico</t>
        </is>
      </c>
      <c r="H50" s="10" t="inlineStr">
        <is>
          <t>Pa</t>
        </is>
      </c>
      <c r="I50" s="11" t="inlineStr">
        <is>
          <t>La línea de descarga debe estar libre de contrapresión, dentro del rango seguro</t>
        </is>
      </c>
      <c r="J50" s="13" t="inlineStr">
        <is>
          <t>Alerta</t>
        </is>
      </c>
      <c r="K50" s="14" t="inlineStr">
        <is>
          <t>Línea de escape obstruida, demasiado larga, o descargando contra presión</t>
        </is>
      </c>
      <c r="L50" s="15" t="inlineStr">
        <is>
          <t>5.4.1</t>
        </is>
      </c>
      <c r="M50" s="14" t="inlineStr">
        <is>
          <t>Acortar o redirigir la línea de escape</t>
        </is>
      </c>
      <c r="N50" s="16" t="inlineStr">
        <is>
          <t>La línea de escape presenta contrapresión fuera del rango admisible.</t>
        </is>
      </c>
      <c r="O50" s="10" t="n">
        <v>-490</v>
      </c>
      <c r="P50" s="10" t="n">
        <v>490</v>
      </c>
      <c r="Q50" s="10" t="inlineStr">
        <is>
          <t>Sí</t>
        </is>
      </c>
      <c r="R50" s="10" t="inlineStr">
        <is>
          <t>No</t>
        </is>
      </c>
      <c r="S50" s="11" t="inlineStr"/>
      <c r="T50" s="11" t="inlineStr">
        <is>
          <t>P-ST-030-MAN OPER APSA 370 V2</t>
        </is>
      </c>
      <c r="U50" s="17" t="inlineStr">
        <is>
          <t>Pendiente</t>
        </is>
      </c>
      <c r="V50" s="17" t="n"/>
      <c r="W50" s="10">
        <f>IF($G50&lt;&gt;"Numérico","",IF($V50="","Sin dato",IF(AND(OR(NOT(ISNUMBER($O50)),$V50&gt;=$O50),OR(NOT(ISNUMBER($P50)),$V50&lt;=$P50)),"Dentro de rango","Fuera de rango")))</f>
        <v/>
      </c>
      <c r="X50" s="17" t="n"/>
      <c r="Y50" s="18" t="n"/>
      <c r="Z50" s="16">
        <f>IF(OR($U50="",$U50="Conforme",$U50="No aplica",$U50="Pendiente"),"",$N50&amp;IF($W50="Fuera de rango"," Valor medido: "&amp;TEXT($V50,"0.####")&amp;IF($H50="",""," "&amp;$H50)&amp;IF(AND(ISNUMBER($O50),$V50&lt;$O50),", por debajo del límite inferior de "&amp;TEXT($O50,"0.####")&amp;IF($H50="",""," "&amp;$H50),"")&amp;IF(AND(ISNUMBER($P50),$V50&gt;$P50),", por encima del límite superior de "&amp;TEXT($P50,"0.####")&amp;IF($H50="",""," "&amp;$H50),"")&amp;".","")&amp;IF($Y50="",""," "&amp;$Y50&amp;IF(RIGHT($Y50,1)=".","","."))&amp;" Acción recomendada: "&amp;$M50&amp;IF(RIGHT($M50,1)=".","",".")&amp;IF($J50="Bloqueante"," El equipo no se libera hasta resolver este hallazgo.",IF($J50="Cobrable"," Se incluye en la cotización de repuestos y consumibles."," Se deja registrado como observación.")))</f>
        <v/>
      </c>
    </row>
    <row r="51" ht="48" customHeight="1">
      <c r="A51" s="10" t="inlineStr">
        <is>
          <t>6.1.1</t>
        </is>
      </c>
      <c r="B51" s="10" t="inlineStr">
        <is>
          <t>6. Banco de medición y óptica</t>
        </is>
      </c>
      <c r="C51" s="10" t="inlineStr">
        <is>
          <t>6.1 Lámpara de excitación UV</t>
        </is>
      </c>
      <c r="D51" s="11" t="inlineStr">
        <is>
          <t>Voltaje de intensidad de la lámpara de xenón (LAMP)</t>
        </is>
      </c>
      <c r="E51" s="11" t="inlineStr">
        <is>
          <t>Lectura del voltaje de la lámpara en el menú de entradas analógicas</t>
        </is>
      </c>
      <c r="F51" s="12" t="inlineStr">
        <is>
          <t>Ir a MENU / MAINTENANCE / ANALOG INPUT, ubicar LAMP y anotar el valor con el equipo estabilizado y al menos 30 min después del encendido.</t>
        </is>
      </c>
      <c r="G51" s="10" t="inlineStr">
        <is>
          <t>Numérico</t>
        </is>
      </c>
      <c r="H51" s="10" t="inlineStr">
        <is>
          <t>mV</t>
        </is>
      </c>
      <c r="I51" s="11" t="inlineStr">
        <is>
          <t>Lámpara nueva entre 500 y 1100 mV; por debajo de 200 mV se activa alarma y debe reemplazarse</t>
        </is>
      </c>
      <c r="J51" s="13" t="inlineStr">
        <is>
          <t>Bloqueante</t>
        </is>
      </c>
      <c r="K51" s="14" t="inlineStr">
        <is>
          <t>Electrodos desgastados, socket corroído, u óptica sucia</t>
        </is>
      </c>
      <c r="L51" s="15" t="inlineStr">
        <is>
          <t>8.1.5 ; 6.1.2 ; 6.1.3 ; 6.2.4 ; 6.2.1</t>
        </is>
      </c>
      <c r="M51" s="14" t="inlineStr">
        <is>
          <t>Ajustar primero la tensión con VR2; si sigue por debajo de 200 mV, reemplazar la lámpara L4646</t>
        </is>
      </c>
      <c r="N51" s="16" t="inlineStr">
        <is>
          <t>La intensidad de la lámpara de xenón está por debajo del umbral de operación, lo que reduce la sensibilidad del analizador.</t>
        </is>
      </c>
      <c r="O51" s="10" t="n">
        <v>200</v>
      </c>
      <c r="P51" s="10" t="n">
        <v>1100</v>
      </c>
      <c r="Q51" s="10" t="inlineStr">
        <is>
          <t>Sí</t>
        </is>
      </c>
      <c r="R51" s="10" t="inlineStr">
        <is>
          <t>No</t>
        </is>
      </c>
      <c r="S51" s="11" t="inlineStr">
        <is>
          <t>Xenon Lamp L4646 (3030020915; alt. 3030020915-TCA)</t>
        </is>
      </c>
      <c r="T51" s="11" t="inlineStr">
        <is>
          <t>P-ST-030-MAN OPER APSA 370 V2</t>
        </is>
      </c>
      <c r="U51" s="17" t="inlineStr">
        <is>
          <t>Pendiente</t>
        </is>
      </c>
      <c r="V51" s="17" t="n"/>
      <c r="W51" s="10">
        <f>IF($G51&lt;&gt;"Numérico","",IF($V51="","Sin dato",IF(AND(OR(NOT(ISNUMBER($O51)),$V51&gt;=$O51),OR(NOT(ISNUMBER($P51)),$V51&lt;=$P51)),"Dentro de rango","Fuera de rango")))</f>
        <v/>
      </c>
      <c r="X51" s="17" t="n"/>
      <c r="Y51" s="18" t="n"/>
      <c r="Z51" s="16">
        <f>IF(OR($U51="",$U51="Conforme",$U51="No aplica",$U51="Pendiente"),"",$N51&amp;IF($W51="Fuera de rango"," Valor medido: "&amp;TEXT($V51,"0.####")&amp;IF($H51="",""," "&amp;$H51)&amp;IF(AND(ISNUMBER($O51),$V51&lt;$O51),", por debajo del límite inferior de "&amp;TEXT($O51,"0.####")&amp;IF($H51="",""," "&amp;$H51),"")&amp;IF(AND(ISNUMBER($P51),$V51&gt;$P51),", por encima del límite superior de "&amp;TEXT($P51,"0.####")&amp;IF($H51="",""," "&amp;$H51),"")&amp;".","")&amp;IF($Y51="",""," "&amp;$Y51&amp;IF(RIGHT($Y51,1)=".","","."))&amp;" Acción recomendada: "&amp;$M51&amp;IF(RIGHT($M51,1)=".","",".")&amp;IF($J51="Bloqueante"," El equipo no se libera hasta resolver este hallazgo.",IF($J51="Cobrable"," Se incluye en la cotización de repuestos y consumibles."," Se deja registrado como observación.")))</f>
        <v/>
      </c>
    </row>
    <row r="52" ht="48" customHeight="1">
      <c r="A52" s="10" t="inlineStr">
        <is>
          <t>6.1.2</t>
        </is>
      </c>
      <c r="B52" s="10" t="inlineStr">
        <is>
          <t>6. Banco de medición y óptica</t>
        </is>
      </c>
      <c r="C52" s="10" t="inlineStr">
        <is>
          <t>6.1 Lámpara de excitación UV</t>
        </is>
      </c>
      <c r="D52" s="11" t="inlineStr">
        <is>
          <t>Contacto del socket y terminales de la lámpara</t>
        </is>
      </c>
      <c r="E52" s="11" t="inlineStr">
        <is>
          <t>Corrosión u oxidación en el socket de la lámpara de alta tensión (1000 V)</t>
        </is>
      </c>
      <c r="F52" s="12" t="inlineStr">
        <is>
          <t>Con el equipo apagado, desconectado y descargado, retirar la lámpara de su socket y examinar los pines y contactos con lupa, buscando hollín, oxidación o marcas de arco.</t>
        </is>
      </c>
      <c r="G52" s="10" t="inlineStr">
        <is>
          <t>OK / No OK</t>
        </is>
      </c>
      <c r="H52" s="10" t="inlineStr"/>
      <c r="I52" s="11" t="inlineStr">
        <is>
          <t>Pines y contactos limpios y sin hollín, para evitar arcos eléctricos de alta tensión</t>
        </is>
      </c>
      <c r="J52" s="13" t="inlineStr">
        <is>
          <t>Cobrable</t>
        </is>
      </c>
      <c r="K52" s="14" t="inlineStr">
        <is>
          <t>Hollín u oxidación en los pines por arcos de alta tensión</t>
        </is>
      </c>
      <c r="L52" s="15" t="inlineStr">
        <is>
          <t>6.1.1</t>
        </is>
      </c>
      <c r="M52" s="14" t="inlineStr">
        <is>
          <t>Limpiar los terminales o reemplazar el cableado del socket</t>
        </is>
      </c>
      <c r="N52" s="16" t="inlineStr">
        <is>
          <t>El portalámparas presenta corrosión u hollín en sus contactos, con riesgo de arco eléctrico de alta tensión.</t>
        </is>
      </c>
      <c r="O52" s="10" t="n"/>
      <c r="P52" s="10" t="n"/>
      <c r="Q52" s="10" t="inlineStr">
        <is>
          <t>Sí</t>
        </is>
      </c>
      <c r="R52" s="10" t="inlineStr">
        <is>
          <t>Sí</t>
        </is>
      </c>
      <c r="S52" s="11" t="inlineStr">
        <is>
          <t>Xenon Lamp L4646 (3030020915; alt. 3030020915-TCA)</t>
        </is>
      </c>
      <c r="T52" s="11" t="inlineStr">
        <is>
          <t>MT_829WE09R_APSA370_241031</t>
        </is>
      </c>
      <c r="U52" s="17" t="inlineStr">
        <is>
          <t>Pendiente</t>
        </is>
      </c>
      <c r="V52" s="17" t="n"/>
      <c r="W52" s="10">
        <f>IF($G52&lt;&gt;"Numérico","",IF($V52="","Sin dato",IF(AND(OR(NOT(ISNUMBER($O52)),$V52&gt;=$O52),OR(NOT(ISNUMBER($P52)),$V52&lt;=$P52)),"Dentro de rango","Fuera de rango")))</f>
        <v/>
      </c>
      <c r="X52" s="17" t="n"/>
      <c r="Y52" s="18" t="n"/>
      <c r="Z52" s="16">
        <f>IF(OR($U52="",$U52="Conforme",$U52="No aplica",$U52="Pendiente"),"",$N52&amp;IF($W52="Fuera de rango"," Valor medido: "&amp;TEXT($V52,"0.####")&amp;IF($H52="",""," "&amp;$H52)&amp;IF(AND(ISNUMBER($O52),$V52&lt;$O52),", por debajo del límite inferior de "&amp;TEXT($O52,"0.####")&amp;IF($H52="",""," "&amp;$H52),"")&amp;IF(AND(ISNUMBER($P52),$V52&gt;$P52),", por encima del límite superior de "&amp;TEXT($P52,"0.####")&amp;IF($H52="",""," "&amp;$H52),"")&amp;".","")&amp;IF($Y52="",""," "&amp;$Y52&amp;IF(RIGHT($Y52,1)=".","","."))&amp;" Acción recomendada: "&amp;$M52&amp;IF(RIGHT($M52,1)=".","",".")&amp;IF($J52="Bloqueante"," El equipo no se libera hasta resolver este hallazgo.",IF($J52="Cobrable"," Se incluye en la cotización de repuestos y consumibles."," Se deja registrado como observación.")))</f>
        <v/>
      </c>
    </row>
    <row r="53" ht="48" customHeight="1">
      <c r="A53" s="10" t="inlineStr">
        <is>
          <t>6.1.3</t>
        </is>
      </c>
      <c r="B53" s="10" t="inlineStr">
        <is>
          <t>6. Banco de medición y óptica</t>
        </is>
      </c>
      <c r="C53" s="10" t="inlineStr">
        <is>
          <t>6.1 Lámpara de excitación UV</t>
        </is>
      </c>
      <c r="D53" s="11" t="inlineStr">
        <is>
          <t>Ajuste de la tensión de alimentación de la lámpara</t>
        </is>
      </c>
      <c r="E53" s="11" t="inlineStr">
        <is>
          <t>Medición y calibración del voltaje de la lámpara en cátodo y ánodo de D16 en la tarjeta de potencia</t>
        </is>
      </c>
      <c r="F53" s="12" t="inlineStr">
        <is>
          <t>Con SW1 en EXT, medir con multímetro entre el cátodo y el ánodo de D16 en la tarjeta de potencia y ajustar el potenciómetro VR2 hasta el valor especificado. Trabajo de alto voltaje.</t>
        </is>
      </c>
      <c r="G53" s="10" t="inlineStr">
        <is>
          <t>Numérico</t>
        </is>
      </c>
      <c r="H53" s="10" t="inlineStr">
        <is>
          <t>V</t>
        </is>
      </c>
      <c r="I53" s="11" t="inlineStr">
        <is>
          <t>Ajuste para lámpara nueva mediante el potenciómetro VR2 (HV.C) con SW1 en EXT</t>
        </is>
      </c>
      <c r="J53" s="13" t="inlineStr">
        <is>
          <t>Cobrable</t>
        </is>
      </c>
      <c r="K53" s="14" t="inlineStr">
        <is>
          <t>Potenciómetro VR2 desajustado tras cambiar la lámpara</t>
        </is>
      </c>
      <c r="L53" s="15" t="inlineStr">
        <is>
          <t>6.1.1</t>
        </is>
      </c>
      <c r="M53" s="14" t="inlineStr">
        <is>
          <t>Ajustar a 950 V con SW1 en EXT y volver a leer LAMP en ANALOG INPUT</t>
        </is>
      </c>
      <c r="N53" s="16" t="inlineStr">
        <is>
          <t>La tensión de alimentación de la lámpara no corresponde al valor de ajuste especificado por el fabricante.</t>
        </is>
      </c>
      <c r="O53" s="10" t="n">
        <v>945</v>
      </c>
      <c r="P53" s="10" t="n">
        <v>955</v>
      </c>
      <c r="Q53" s="10" t="inlineStr">
        <is>
          <t>Sí</t>
        </is>
      </c>
      <c r="R53" s="10" t="inlineStr">
        <is>
          <t>No</t>
        </is>
      </c>
      <c r="S53" s="11" t="inlineStr">
        <is>
          <t>Printed Board Unit AP-XEP-02 (3200092499)</t>
        </is>
      </c>
      <c r="T53" s="11" t="inlineStr">
        <is>
          <t>Ajuste_lampara_APSA</t>
        </is>
      </c>
      <c r="U53" s="17" t="inlineStr">
        <is>
          <t>Pendiente</t>
        </is>
      </c>
      <c r="V53" s="17" t="n"/>
      <c r="W53" s="10">
        <f>IF($G53&lt;&gt;"Numérico","",IF($V53="","Sin dato",IF(AND(OR(NOT(ISNUMBER($O53)),$V53&gt;=$O53),OR(NOT(ISNUMBER($P53)),$V53&lt;=$P53)),"Dentro de rango","Fuera de rango")))</f>
        <v/>
      </c>
      <c r="X53" s="17" t="n"/>
      <c r="Y53" s="18" t="n"/>
      <c r="Z53" s="16">
        <f>IF(OR($U53="",$U53="Conforme",$U53="No aplica",$U53="Pendiente"),"",$N53&amp;IF($W53="Fuera de rango"," Valor medido: "&amp;TEXT($V53,"0.####")&amp;IF($H53="",""," "&amp;$H53)&amp;IF(AND(ISNUMBER($O53),$V53&lt;$O53),", por debajo del límite inferior de "&amp;TEXT($O53,"0.####")&amp;IF($H53="",""," "&amp;$H53),"")&amp;IF(AND(ISNUMBER($P53),$V53&gt;$P53),", por encima del límite superior de "&amp;TEXT($P53,"0.####")&amp;IF($H53="",""," "&amp;$H53),"")&amp;".","")&amp;IF($Y53="",""," "&amp;$Y53&amp;IF(RIGHT($Y53,1)=".","","."))&amp;" Acción recomendada: "&amp;$M53&amp;IF(RIGHT($M53,1)=".","",".")&amp;IF($J53="Bloqueante"," El equipo no se libera hasta resolver este hallazgo.",IF($J53="Cobrable"," Se incluye en la cotización de repuestos y consumibles."," Se deja registrado como observación.")))</f>
        <v/>
      </c>
    </row>
    <row r="54" ht="48" customHeight="1">
      <c r="A54" s="10" t="inlineStr">
        <is>
          <t>6.1.4</t>
        </is>
      </c>
      <c r="B54" s="10" t="inlineStr">
        <is>
          <t>6. Banco de medición y óptica</t>
        </is>
      </c>
      <c r="C54" s="10" t="inlineStr">
        <is>
          <t>6.1 Lámpara de excitación UV</t>
        </is>
      </c>
      <c r="D54" s="11" t="inlineStr">
        <is>
          <t>Desgaste de electrodos de la lámpara de xenón</t>
        </is>
      </c>
      <c r="E54" s="11" t="inlineStr">
        <is>
          <t>Envejecimiento y desgaste de los electrodos emisores de la lámpara L4646</t>
        </is>
      </c>
      <c r="F54" s="12" t="inlineStr">
        <is>
          <t>Con el equipo apagado y la lámpara extraída, examinar la ampolla contra la luz buscando electrodos quemados o depósitos oscuros en el vidrio. No tocar el vidrio con los dedos.</t>
        </is>
      </c>
      <c r="G54" s="10" t="inlineStr">
        <is>
          <t>OK / No OK</t>
        </is>
      </c>
      <c r="H54" s="10" t="inlineStr"/>
      <c r="I54" s="11" t="inlineStr">
        <is>
          <t>Los electrodos internos no deben verse excesivamente quemados ni presentar depósitos negros</t>
        </is>
      </c>
      <c r="J54" s="13" t="inlineStr">
        <is>
          <t>Cobrable</t>
        </is>
      </c>
      <c r="K54" s="14" t="inlineStr">
        <is>
          <t>Envejecimiento normal por horas de destello</t>
        </is>
      </c>
      <c r="L54" s="15" t="inlineStr">
        <is>
          <t>8.1.5 ; 6.1.1</t>
        </is>
      </c>
      <c r="M54" s="14" t="inlineStr">
        <is>
          <t>Reemplazar la lámpara L4646 y reajustar la tensión de alimentación</t>
        </is>
      </c>
      <c r="N54" s="16" t="inlineStr">
        <is>
          <t>Los electrodos de la lámpara de xenón presentan desgaste por envejecimiento, con pérdida progresiva de intensidad.</t>
        </is>
      </c>
      <c r="O54" s="10" t="n"/>
      <c r="P54" s="10" t="n"/>
      <c r="Q54" s="10" t="inlineStr">
        <is>
          <t>Sí</t>
        </is>
      </c>
      <c r="R54" s="10" t="inlineStr">
        <is>
          <t>Sí</t>
        </is>
      </c>
      <c r="S54" s="11" t="inlineStr">
        <is>
          <t>Xenon Lamp L4646 (3030020915; alt. 3030020915-TCA)</t>
        </is>
      </c>
      <c r="T54" s="11" t="inlineStr">
        <is>
          <t>P-ST-029-MAN MTTO APSA370 V2</t>
        </is>
      </c>
      <c r="U54" s="17" t="inlineStr">
        <is>
          <t>Pendiente</t>
        </is>
      </c>
      <c r="V54" s="17" t="n"/>
      <c r="W54" s="10">
        <f>IF($G54&lt;&gt;"Numérico","",IF($V54="","Sin dato",IF(AND(OR(NOT(ISNUMBER($O54)),$V54&gt;=$O54),OR(NOT(ISNUMBER($P54)),$V54&lt;=$P54)),"Dentro de rango","Fuera de rango")))</f>
        <v/>
      </c>
      <c r="X54" s="17" t="n"/>
      <c r="Y54" s="18" t="n"/>
      <c r="Z54" s="16">
        <f>IF(OR($U54="",$U54="Conforme",$U54="No aplica",$U54="Pendiente"),"",$N54&amp;IF($W54="Fuera de rango"," Valor medido: "&amp;TEXT($V54,"0.####")&amp;IF($H54="",""," "&amp;$H54)&amp;IF(AND(ISNUMBER($O54),$V54&lt;$O54),", por debajo del límite inferior de "&amp;TEXT($O54,"0.####")&amp;IF($H54="",""," "&amp;$H54),"")&amp;IF(AND(ISNUMBER($P54),$V54&gt;$P54),", por encima del límite superior de "&amp;TEXT($P54,"0.####")&amp;IF($H54="",""," "&amp;$H54),"")&amp;".","")&amp;IF($Y54="",""," "&amp;$Y54&amp;IF(RIGHT($Y54,1)=".","","."))&amp;" Acción recomendada: "&amp;$M54&amp;IF(RIGHT($M54,1)=".","",".")&amp;IF($J54="Bloqueante"," El equipo no se libera hasta resolver este hallazgo.",IF($J54="Cobrable"," Se incluye en la cotización de repuestos y consumibles."," Se deja registrado como observación.")))</f>
        <v/>
      </c>
    </row>
    <row r="55" ht="48" customHeight="1">
      <c r="A55" s="10" t="inlineStr">
        <is>
          <t>6.2.1</t>
        </is>
      </c>
      <c r="B55" s="10" t="inlineStr">
        <is>
          <t>6. Banco de medición y óptica</t>
        </is>
      </c>
      <c r="C55" s="10" t="inlineStr">
        <is>
          <t>6.2 Bloque óptico y detección</t>
        </is>
      </c>
      <c r="D55" s="11" t="inlineStr">
        <is>
          <t>Integridad del espejo del detector y su holder</t>
        </is>
      </c>
      <c r="E55" s="11" t="inlineStr">
        <is>
          <t>Estado del espejo cóncavo detector y su fijación en el holder del bloque óptico</t>
        </is>
      </c>
      <c r="F55" s="12" t="inlineStr">
        <is>
          <t>Con el equipo apagado, acceder al bloque óptico y verificar que el espejo esté firmemente adherido a su holder y sin desplazamiento. No forzar ni intentar reposicionarlo.</t>
        </is>
      </c>
      <c r="G55" s="10" t="inlineStr">
        <is>
          <t>OK / No OK</t>
        </is>
      </c>
      <c r="H55" s="10" t="inlineStr"/>
      <c r="I55" s="11" t="inlineStr">
        <is>
          <t>El espejo no debe estar suelto ni desalineado; debe estar adherido al holder</t>
        </is>
      </c>
      <c r="J55" s="13" t="inlineStr">
        <is>
          <t>Bloqueante</t>
        </is>
      </c>
      <c r="K55" s="14" t="inlineStr">
        <is>
          <t>Espejo despegado del holder o desalineado tras una intervención</t>
        </is>
      </c>
      <c r="L55" s="15" t="inlineStr">
        <is>
          <t>6.1.1 ; 6.2.6</t>
        </is>
      </c>
      <c r="M55" s="14" t="inlineStr">
        <is>
          <t>Reinstalar el espejo con la unidad de adhesión Miller; no forzar la alineación en campo</t>
        </is>
      </c>
      <c r="N55" s="16" t="inlineStr">
        <is>
          <t>El espejo del bloque óptico se encuentra desprendido o desalineado, lo que reduce la señal de fluorescencia.</t>
        </is>
      </c>
      <c r="O55" s="10" t="n"/>
      <c r="P55" s="10" t="n"/>
      <c r="Q55" s="10" t="inlineStr">
        <is>
          <t>Sí</t>
        </is>
      </c>
      <c r="R55" s="10" t="inlineStr">
        <is>
          <t>Sí</t>
        </is>
      </c>
      <c r="S55" s="11" t="inlineStr">
        <is>
          <t>Mirror Adhesion Unit. APSA-370 (3014038766)</t>
        </is>
      </c>
      <c r="T55" s="11" t="inlineStr">
        <is>
          <t>MT_829WE09R_APSA370_221102</t>
        </is>
      </c>
      <c r="U55" s="17" t="inlineStr">
        <is>
          <t>Pendiente</t>
        </is>
      </c>
      <c r="V55" s="17" t="n"/>
      <c r="W55" s="10">
        <f>IF($G55&lt;&gt;"Numérico","",IF($V55="","Sin dato",IF(AND(OR(NOT(ISNUMBER($O55)),$V55&gt;=$O55),OR(NOT(ISNUMBER($P55)),$V55&lt;=$P55)),"Dentro de rango","Fuera de rango")))</f>
        <v/>
      </c>
      <c r="X55" s="17" t="n"/>
      <c r="Y55" s="18" t="n"/>
      <c r="Z55" s="16">
        <f>IF(OR($U55="",$U55="Conforme",$U55="No aplica",$U55="Pendiente"),"",$N55&amp;IF($W55="Fuera de rango"," Valor medido: "&amp;TEXT($V55,"0.####")&amp;IF($H55="",""," "&amp;$H55)&amp;IF(AND(ISNUMBER($O55),$V55&lt;$O55),", por debajo del límite inferior de "&amp;TEXT($O55,"0.####")&amp;IF($H55="",""," "&amp;$H55),"")&amp;IF(AND(ISNUMBER($P55),$V55&gt;$P55),", por encima del límite superior de "&amp;TEXT($P55,"0.####")&amp;IF($H55="",""," "&amp;$H55),"")&amp;".","")&amp;IF($Y55="",""," "&amp;$Y55&amp;IF(RIGHT($Y55,1)=".","","."))&amp;" Acción recomendada: "&amp;$M55&amp;IF(RIGHT($M55,1)=".","",".")&amp;IF($J55="Bloqueante"," El equipo no se libera hasta resolver este hallazgo.",IF($J55="Cobrable"," Se incluye en la cotización de repuestos y consumibles."," Se deja registrado como observación.")))</f>
        <v/>
      </c>
    </row>
    <row r="56" ht="48" customHeight="1">
      <c r="A56" s="10" t="inlineStr">
        <is>
          <t>6.2.2</t>
        </is>
      </c>
      <c r="B56" s="10" t="inlineStr">
        <is>
          <t>6. Banco de medición y óptica</t>
        </is>
      </c>
      <c r="C56" s="10" t="inlineStr">
        <is>
          <t>6.2 Bloque óptico y detección</t>
        </is>
      </c>
      <c r="D56" s="11" t="inlineStr">
        <is>
          <t>Filtro óptico de color HA-50 (lente de emisión)</t>
        </is>
      </c>
      <c r="E56" s="11" t="inlineStr">
        <is>
          <t>Presencia e integridad del filtro óptico de vidrio de color en el tubo de enfoque del PMT</t>
        </is>
      </c>
      <c r="F56" s="12" t="inlineStr">
        <is>
          <t>Con el equipo apagado, extraer el filtro del tubo de enfoque del PMT y examinarlo contra la luz buscando manchas, ralladuras profundas o desportilladuras en el borde.</t>
        </is>
      </c>
      <c r="G56" s="10" t="inlineStr">
        <is>
          <t>OK / No OK</t>
        </is>
      </c>
      <c r="H56" s="10" t="inlineStr"/>
      <c r="I56" s="11" t="inlineStr">
        <is>
          <t>El filtro HOYA HA-50 de 21,5 mm debe estar limpio, sin manchas, ralladuras graves ni desportilladuras</t>
        </is>
      </c>
      <c r="J56" s="13" t="inlineStr">
        <is>
          <t>Cobrable</t>
        </is>
      </c>
      <c r="K56" s="14" t="inlineStr">
        <is>
          <t>Filtro manchado, rayado o desportillado</t>
        </is>
      </c>
      <c r="L56" s="15" t="inlineStr">
        <is>
          <t>6.1.1 ; 6.2.4</t>
        </is>
      </c>
      <c r="M56" s="14" t="inlineStr">
        <is>
          <t>Reemplazar el filtro HA-50 y recalibrar cero y span</t>
        </is>
      </c>
      <c r="N56" s="16" t="inlineStr">
        <is>
          <t>El filtro óptico de emisión presenta manchas, ralladuras o desportilladuras que atenúan la señal.</t>
        </is>
      </c>
      <c r="O56" s="10" t="n"/>
      <c r="P56" s="10" t="n"/>
      <c r="Q56" s="10" t="inlineStr">
        <is>
          <t>Sí</t>
        </is>
      </c>
      <c r="R56" s="10" t="inlineStr">
        <is>
          <t>Sí</t>
        </is>
      </c>
      <c r="S56" s="11" t="inlineStr">
        <is>
          <t>Color Filter Glass 21.5 HOYA HA-50 (3012305464)</t>
        </is>
      </c>
      <c r="T56" s="11" t="inlineStr">
        <is>
          <t>MT_B45H0D2F_APSA370_251028</t>
        </is>
      </c>
      <c r="U56" s="17" t="inlineStr">
        <is>
          <t>Pendiente</t>
        </is>
      </c>
      <c r="V56" s="17" t="n"/>
      <c r="W56" s="10">
        <f>IF($G56&lt;&gt;"Numérico","",IF($V56="","Sin dato",IF(AND(OR(NOT(ISNUMBER($O56)),$V56&gt;=$O56),OR(NOT(ISNUMBER($P56)),$V56&lt;=$P56)),"Dentro de rango","Fuera de rango")))</f>
        <v/>
      </c>
      <c r="X56" s="17" t="n"/>
      <c r="Y56" s="18" t="n"/>
      <c r="Z56" s="16">
        <f>IF(OR($U56="",$U56="Conforme",$U56="No aplica",$U56="Pendiente"),"",$N56&amp;IF($W56="Fuera de rango"," Valor medido: "&amp;TEXT($V56,"0.####")&amp;IF($H56="",""," "&amp;$H56)&amp;IF(AND(ISNUMBER($O56),$V56&lt;$O56),", por debajo del límite inferior de "&amp;TEXT($O56,"0.####")&amp;IF($H56="",""," "&amp;$H56),"")&amp;IF(AND(ISNUMBER($P56),$V56&gt;$P56),", por encima del límite superior de "&amp;TEXT($P56,"0.####")&amp;IF($H56="",""," "&amp;$H56),"")&amp;".","")&amp;IF($Y56="",""," "&amp;$Y56&amp;IF(RIGHT($Y56,1)=".","","."))&amp;" Acción recomendada: "&amp;$M56&amp;IF(RIGHT($M56,1)=".","",".")&amp;IF($J56="Bloqueante"," El equipo no se libera hasta resolver este hallazgo.",IF($J56="Cobrable"," Se incluye en la cotización de repuestos y consumibles."," Se deja registrado como observación.")))</f>
        <v/>
      </c>
    </row>
    <row r="57" ht="48" customHeight="1">
      <c r="A57" s="10" t="inlineStr">
        <is>
          <t>6.2.3</t>
        </is>
      </c>
      <c r="B57" s="10" t="inlineStr">
        <is>
          <t>6. Banco de medición y óptica</t>
        </is>
      </c>
      <c r="C57" s="10" t="inlineStr">
        <is>
          <t>6.2 Bloque óptico y detección</t>
        </is>
      </c>
      <c r="D57" s="11" t="inlineStr">
        <is>
          <t>Filtro óptico UV U-330 (lente de excitación)</t>
        </is>
      </c>
      <c r="E57" s="11" t="inlineStr">
        <is>
          <t>Presencia e integridad del filtro óptico UV de banda de excitación (215 nm)</t>
        </is>
      </c>
      <c r="F57" s="12" t="inlineStr">
        <is>
          <t>Con el equipo apagado, extraer el filtro de excitación y examinarlo contra la luz. Manipularlo solo por el canto, con guantes limpios, y limpiarlo únicamente con los materiales indicados.</t>
        </is>
      </c>
      <c r="G57" s="10" t="inlineStr">
        <is>
          <t>OK / No OK</t>
        </is>
      </c>
      <c r="H57" s="10" t="inlineStr"/>
      <c r="I57" s="11" t="inlineStr">
        <is>
          <t>El filtro HOYA U-330 de 24 mm debe estar limpio y en excelente estado óptico</t>
        </is>
      </c>
      <c r="J57" s="13" t="inlineStr">
        <is>
          <t>Cobrable</t>
        </is>
      </c>
      <c r="K57" s="14" t="inlineStr">
        <is>
          <t>Filtro opaco o degradado por la radiación UV</t>
        </is>
      </c>
      <c r="L57" s="15" t="inlineStr">
        <is>
          <t>6.1.1</t>
        </is>
      </c>
      <c r="M57" s="14" t="inlineStr">
        <is>
          <t>Reemplazar el filtro U-330 y recalibrar cero y span</t>
        </is>
      </c>
      <c r="N57" s="16" t="inlineStr">
        <is>
          <t>El filtro óptico de excitación presenta opacidad o degradación por la radiación ultravioleta.</t>
        </is>
      </c>
      <c r="O57" s="10" t="n"/>
      <c r="P57" s="10" t="n"/>
      <c r="Q57" s="10" t="inlineStr">
        <is>
          <t>Sí</t>
        </is>
      </c>
      <c r="R57" s="10" t="inlineStr">
        <is>
          <t>Sí</t>
        </is>
      </c>
      <c r="S57" s="11" t="inlineStr">
        <is>
          <t>Color Glass Filter HOYA U-330 D=24 For APSA-360 (3014062371)</t>
        </is>
      </c>
      <c r="T57" s="11" t="inlineStr">
        <is>
          <t>MT_B45H0D2F_APSA370_251028</t>
        </is>
      </c>
      <c r="U57" s="17" t="inlineStr">
        <is>
          <t>Pendiente</t>
        </is>
      </c>
      <c r="V57" s="17" t="n"/>
      <c r="W57" s="10">
        <f>IF($G57&lt;&gt;"Numérico","",IF($V57="","Sin dato",IF(AND(OR(NOT(ISNUMBER($O57)),$V57&gt;=$O57),OR(NOT(ISNUMBER($P57)),$V57&lt;=$P57)),"Dentro de rango","Fuera de rango")))</f>
        <v/>
      </c>
      <c r="X57" s="17" t="n"/>
      <c r="Y57" s="18" t="n"/>
      <c r="Z57" s="16">
        <f>IF(OR($U57="",$U57="Conforme",$U57="No aplica",$U57="Pendiente"),"",$N57&amp;IF($W57="Fuera de rango"," Valor medido: "&amp;TEXT($V57,"0.####")&amp;IF($H57="",""," "&amp;$H57)&amp;IF(AND(ISNUMBER($O57),$V57&lt;$O57),", por debajo del límite inferior de "&amp;TEXT($O57,"0.####")&amp;IF($H57="",""," "&amp;$H57),"")&amp;IF(AND(ISNUMBER($P57),$V57&gt;$P57),", por encima del límite superior de "&amp;TEXT($P57,"0.####")&amp;IF($H57="",""," "&amp;$H57),"")&amp;".","")&amp;IF($Y57="",""," "&amp;$Y57&amp;IF(RIGHT($Y57,1)=".","","."))&amp;" Acción recomendada: "&amp;$M57&amp;IF(RIGHT($M57,1)=".","",".")&amp;IF($J57="Bloqueante"," El equipo no se libera hasta resolver este hallazgo.",IF($J57="Cobrable"," Se incluye en la cotización de repuestos y consumibles."," Se deja registrado como observación.")))</f>
        <v/>
      </c>
    </row>
    <row r="58" ht="48" customHeight="1">
      <c r="A58" s="10" t="inlineStr">
        <is>
          <t>6.2.4</t>
        </is>
      </c>
      <c r="B58" s="10" t="inlineStr">
        <is>
          <t>6. Banco de medición y óptica</t>
        </is>
      </c>
      <c r="C58" s="10" t="inlineStr">
        <is>
          <t>6.2 Bloque óptico y detección</t>
        </is>
      </c>
      <c r="D58" s="11" t="inlineStr">
        <is>
          <t>Estado de los lentes de la cámara de medición</t>
        </is>
      </c>
      <c r="E58" s="11" t="inlineStr">
        <is>
          <t>Opacidad, condensación o manchas en el compartimento de los lentes del PMT</t>
        </is>
      </c>
      <c r="F58" s="12" t="inlineStr">
        <is>
          <t>Con el equipo apagado, acceder al compartimento bajo el fotomultiplicador y examinar los dos lentes con linterna, buscando opacidad, condensación o depósitos de polvo.</t>
        </is>
      </c>
      <c r="G58" s="10" t="inlineStr">
        <is>
          <t>OK / No OK</t>
        </is>
      </c>
      <c r="H58" s="10" t="inlineStr"/>
      <c r="I58" s="11" t="inlineStr">
        <is>
          <t>Los dos lentes bajo el fotomultiplicador deben estar transparentes y limpios</t>
        </is>
      </c>
      <c r="J58" s="13" t="inlineStr">
        <is>
          <t>Cobrable</t>
        </is>
      </c>
      <c r="K58" s="14" t="inlineStr">
        <is>
          <t>Condensación o depósitos por humedad en la línea de muestra</t>
        </is>
      </c>
      <c r="L58" s="15" t="inlineStr">
        <is>
          <t>4.1.3 ; 9.1.1 ; 6.1.1</t>
        </is>
      </c>
      <c r="M58" s="14" t="inlineStr">
        <is>
          <t>Secar y limpiar los lentes, y eliminar el origen de la humedad antes de recalibrar</t>
        </is>
      </c>
      <c r="N58" s="16" t="inlineStr">
        <is>
          <t>Los lentes de la cámara de medición presentan condensación o depósitos que atenúan la señal.</t>
        </is>
      </c>
      <c r="O58" s="10" t="n"/>
      <c r="P58" s="10" t="n"/>
      <c r="Q58" s="10" t="inlineStr">
        <is>
          <t>Sí</t>
        </is>
      </c>
      <c r="R58" s="10" t="inlineStr">
        <is>
          <t>Sí</t>
        </is>
      </c>
      <c r="S58" s="11" t="inlineStr">
        <is>
          <t>Lens 160C 12 Vaccum H0544442003 (3014038776)</t>
        </is>
      </c>
      <c r="T58" s="11" t="inlineStr">
        <is>
          <t>Repuestos APSA-370 Nivel de Lámpara Bajo</t>
        </is>
      </c>
      <c r="U58" s="17" t="inlineStr">
        <is>
          <t>Pendiente</t>
        </is>
      </c>
      <c r="V58" s="17" t="n"/>
      <c r="W58" s="10">
        <f>IF($G58&lt;&gt;"Numérico","",IF($V58="","Sin dato",IF(AND(OR(NOT(ISNUMBER($O58)),$V58&gt;=$O58),OR(NOT(ISNUMBER($P58)),$V58&lt;=$P58)),"Dentro de rango","Fuera de rango")))</f>
        <v/>
      </c>
      <c r="X58" s="17" t="n"/>
      <c r="Y58" s="18" t="n"/>
      <c r="Z58" s="16">
        <f>IF(OR($U58="",$U58="Conforme",$U58="No aplica",$U58="Pendiente"),"",$N58&amp;IF($W58="Fuera de rango"," Valor medido: "&amp;TEXT($V58,"0.####")&amp;IF($H58="",""," "&amp;$H58)&amp;IF(AND(ISNUMBER($O58),$V58&lt;$O58),", por debajo del límite inferior de "&amp;TEXT($O58,"0.####")&amp;IF($H58="",""," "&amp;$H58),"")&amp;IF(AND(ISNUMBER($P58),$V58&gt;$P58),", por encima del límite superior de "&amp;TEXT($P58,"0.####")&amp;IF($H58="",""," "&amp;$H58),"")&amp;".","")&amp;IF($Y58="",""," "&amp;$Y58&amp;IF(RIGHT($Y58,1)=".","","."))&amp;" Acción recomendada: "&amp;$M58&amp;IF(RIGHT($M58,1)=".","",".")&amp;IF($J58="Bloqueante"," El equipo no se libera hasta resolver este hallazgo.",IF($J58="Cobrable"," Se incluye en la cotización de repuestos y consumibles."," Se deja registrado como observación.")))</f>
        <v/>
      </c>
    </row>
    <row r="59" ht="48" customHeight="1">
      <c r="A59" s="10" t="inlineStr">
        <is>
          <t>6.2.5</t>
        </is>
      </c>
      <c r="B59" s="10" t="inlineStr">
        <is>
          <t>6. Banco de medición y óptica</t>
        </is>
      </c>
      <c r="C59" s="10" t="inlineStr">
        <is>
          <t>6.2 Bloque óptico y detección</t>
        </is>
      </c>
      <c r="D59" s="11" t="inlineStr">
        <is>
          <t>Acumulación de polvo en la cámara de reacción</t>
        </is>
      </c>
      <c r="E59" s="11" t="inlineStr">
        <is>
          <t>Grado de polución o polvo en el compartimento óptico del detector de fluorescencia</t>
        </is>
      </c>
      <c r="F59" s="12" t="inlineStr">
        <is>
          <t>Con el equipo apagado y frío, abrir la cámara de fluorescencia e inspeccionar su interior con linterna, buscando polvo depositado sobre las paredes internas.</t>
        </is>
      </c>
      <c r="G59" s="10" t="inlineStr">
        <is>
          <t>OK / No OK</t>
        </is>
      </c>
      <c r="H59" s="10" t="inlineStr"/>
      <c r="I59" s="11" t="inlineStr">
        <is>
          <t>El interior de la celda de fluorescencia debe estar libre de polvo, para evitar luz parásita y ruido</t>
        </is>
      </c>
      <c r="J59" s="13" t="inlineStr">
        <is>
          <t>Cobrable</t>
        </is>
      </c>
      <c r="K59" s="14" t="inlineStr">
        <is>
          <t>Ingreso de partículas por filtro colmatado o ausente</t>
        </is>
      </c>
      <c r="L59" s="15" t="inlineStr">
        <is>
          <t>4.1.1 ; 6.2.4</t>
        </is>
      </c>
      <c r="M59" s="14" t="inlineStr">
        <is>
          <t>Limpiar la cámara y corregir la filtración aguas arriba</t>
        </is>
      </c>
      <c r="N59" s="16" t="inlineStr">
        <is>
          <t>La cámara de fluorescencia presenta acumulación de polvo, lo que genera luz parásita y ruido en la medición.</t>
        </is>
      </c>
      <c r="O59" s="10" t="n"/>
      <c r="P59" s="10" t="n"/>
      <c r="Q59" s="10" t="inlineStr">
        <is>
          <t>Sí</t>
        </is>
      </c>
      <c r="R59" s="10" t="inlineStr">
        <is>
          <t>Sí</t>
        </is>
      </c>
      <c r="S59" s="11" t="inlineStr">
        <is>
          <t>O-Ring P20 (3030053401)</t>
        </is>
      </c>
      <c r="T59" s="11" t="inlineStr">
        <is>
          <t>MT_4P027475_APSA370_240124</t>
        </is>
      </c>
      <c r="U59" s="17" t="inlineStr">
        <is>
          <t>Pendiente</t>
        </is>
      </c>
      <c r="V59" s="17" t="n"/>
      <c r="W59" s="10">
        <f>IF($G59&lt;&gt;"Numérico","",IF($V59="","Sin dato",IF(AND(OR(NOT(ISNUMBER($O59)),$V59&gt;=$O59),OR(NOT(ISNUMBER($P59)),$V59&lt;=$P59)),"Dentro de rango","Fuera de rango")))</f>
        <v/>
      </c>
      <c r="X59" s="17" t="n"/>
      <c r="Y59" s="18" t="n"/>
      <c r="Z59" s="16">
        <f>IF(OR($U59="",$U59="Conforme",$U59="No aplica",$U59="Pendiente"),"",$N59&amp;IF($W59="Fuera de rango"," Valor medido: "&amp;TEXT($V59,"0.####")&amp;IF($H59="",""," "&amp;$H59)&amp;IF(AND(ISNUMBER($O59),$V59&lt;$O59),", por debajo del límite inferior de "&amp;TEXT($O59,"0.####")&amp;IF($H59="",""," "&amp;$H59),"")&amp;IF(AND(ISNUMBER($P59),$V59&gt;$P59),", por encima del límite superior de "&amp;TEXT($P59,"0.####")&amp;IF($H59="",""," "&amp;$H59),"")&amp;".","")&amp;IF($Y59="",""," "&amp;$Y59&amp;IF(RIGHT($Y59,1)=".","","."))&amp;" Acción recomendada: "&amp;$M59&amp;IF(RIGHT($M59,1)=".","",".")&amp;IF($J59="Bloqueante"," El equipo no se libera hasta resolver este hallazgo.",IF($J59="Cobrable"," Se incluye en la cotización de repuestos y consumibles."," Se deja registrado como observación.")))</f>
        <v/>
      </c>
    </row>
    <row r="60" ht="48" customHeight="1">
      <c r="A60" s="10" t="inlineStr">
        <is>
          <t>6.2.6</t>
        </is>
      </c>
      <c r="B60" s="10" t="inlineStr">
        <is>
          <t>6. Banco de medición y óptica</t>
        </is>
      </c>
      <c r="C60" s="10" t="inlineStr">
        <is>
          <t>6.2 Bloque óptico y detección</t>
        </is>
      </c>
      <c r="D60" s="11" t="inlineStr">
        <is>
          <t>Tubo fotomultiplicador (PMT)</t>
        </is>
      </c>
      <c r="E60" s="11" t="inlineStr">
        <is>
          <t>Respuesta y ganancia de amplificación del fotodetector principal</t>
        </is>
      </c>
      <c r="F60" s="12" t="inlineStr">
        <is>
          <t>Con el equipo estabilizado, introducir gas patrón y verificar en pantalla que la respuesta sea proporcional y estable. Comprobar en ANALOG INPUT que la señal no derive con la temperatura.</t>
        </is>
      </c>
      <c r="G60" s="10" t="inlineStr">
        <is>
          <t>OK / No OK</t>
        </is>
      </c>
      <c r="H60" s="10" t="inlineStr"/>
      <c r="I60" s="11" t="inlineStr">
        <is>
          <t>El PMT debe reaccionar de forma estable a la fluorescencia del SO2, sin deriva térmica anormal</t>
        </is>
      </c>
      <c r="J60" s="13" t="inlineStr">
        <is>
          <t>Bloqueante</t>
        </is>
      </c>
      <c r="K60" s="14" t="inlineStr">
        <is>
          <t>Ganancia degradada o deriva térmica anormal del detector</t>
        </is>
      </c>
      <c r="L60" s="15" t="inlineStr">
        <is>
          <t>9.1.1 ; 7.1.1 ; 6.1.1</t>
        </is>
      </c>
      <c r="M60" s="14" t="inlineStr">
        <is>
          <t>Prueba cruzada con PMT y AP-PRE-13 de servicio antes de decidir el reemplazo</t>
        </is>
      </c>
      <c r="N60" s="16" t="inlineStr">
        <is>
          <t>El tubo fotomultiplicador presenta pérdida de ganancia o deriva térmica anormal.</t>
        </is>
      </c>
      <c r="O60" s="10" t="n"/>
      <c r="P60" s="10" t="n"/>
      <c r="Q60" s="10" t="inlineStr">
        <is>
          <t>Sí</t>
        </is>
      </c>
      <c r="R60" s="10" t="inlineStr">
        <is>
          <t>Sí</t>
        </is>
      </c>
      <c r="S60" s="11" t="inlineStr">
        <is>
          <t>Detector PMT GZ9100236244 — sin artículo en el catálogo</t>
        </is>
      </c>
      <c r="T60" s="11" t="inlineStr">
        <is>
          <t>MT_829WE09R_APSA370_21041205</t>
        </is>
      </c>
      <c r="U60" s="17" t="inlineStr">
        <is>
          <t>Pendiente</t>
        </is>
      </c>
      <c r="V60" s="17" t="n"/>
      <c r="W60" s="10">
        <f>IF($G60&lt;&gt;"Numérico","",IF($V60="","Sin dato",IF(AND(OR(NOT(ISNUMBER($O60)),$V60&gt;=$O60),OR(NOT(ISNUMBER($P60)),$V60&lt;=$P60)),"Dentro de rango","Fuera de rango")))</f>
        <v/>
      </c>
      <c r="X60" s="17" t="n"/>
      <c r="Y60" s="18" t="n"/>
      <c r="Z60" s="16">
        <f>IF(OR($U60="",$U60="Conforme",$U60="No aplica",$U60="Pendiente"),"",$N60&amp;IF($W60="Fuera de rango"," Valor medido: "&amp;TEXT($V60,"0.####")&amp;IF($H60="",""," "&amp;$H60)&amp;IF(AND(ISNUMBER($O60),$V60&lt;$O60),", por debajo del límite inferior de "&amp;TEXT($O60,"0.####")&amp;IF($H60="",""," "&amp;$H60),"")&amp;IF(AND(ISNUMBER($P60),$V60&gt;$P60),", por encima del límite superior de "&amp;TEXT($P60,"0.####")&amp;IF($H60="",""," "&amp;$H60),"")&amp;".","")&amp;IF($Y60="",""," "&amp;$Y60&amp;IF(RIGHT($Y60,1)=".","","."))&amp;" Acción recomendada: "&amp;$M60&amp;IF(RIGHT($M60,1)=".","",".")&amp;IF($J60="Bloqueante"," El equipo no se libera hasta resolver este hallazgo.",IF($J60="Cobrable"," Se incluye en la cotización de repuestos y consumibles."," Se deja registrado como observación.")))</f>
        <v/>
      </c>
    </row>
    <row r="61" ht="48" customHeight="1">
      <c r="A61" s="10" t="inlineStr">
        <is>
          <t>6.2.7</t>
        </is>
      </c>
      <c r="B61" s="10" t="inlineStr">
        <is>
          <t>6. Banco de medición y óptica</t>
        </is>
      </c>
      <c r="C61" s="10" t="inlineStr">
        <is>
          <t>6.2 Bloque óptico y detección</t>
        </is>
      </c>
      <c r="D61" s="11" t="inlineStr">
        <is>
          <t>Fotodiodo de monitoreo de la lámpara UV</t>
        </is>
      </c>
      <c r="E61" s="11" t="inlineStr">
        <is>
          <t>Sello hermético y señal del fotodiodo S12698-01 de monitoreo de la lámpara</t>
        </is>
      </c>
      <c r="F61" s="12" t="inlineStr">
        <is>
          <t>Con el equipo apagado, verificar el sellado del alojamiento del fotodiodo y comprobar en ANALOG INPUT que la señal de lámpara se registre y varíe de forma coherente.</t>
        </is>
      </c>
      <c r="G61" s="10" t="inlineStr">
        <is>
          <t>OK / No OK</t>
        </is>
      </c>
      <c r="H61" s="10" t="inlineStr"/>
      <c r="I61" s="11" t="inlineStr">
        <is>
          <t>Debe operar de forma continua, registrando la emisión UV para corregir derivas de lámpara</t>
        </is>
      </c>
      <c r="J61" s="13" t="inlineStr">
        <is>
          <t>Bloqueante</t>
        </is>
      </c>
      <c r="K61" s="14" t="inlineStr">
        <is>
          <t>Fotodiodo sin señal o con sello comprometido</t>
        </is>
      </c>
      <c r="L61" s="15" t="inlineStr">
        <is>
          <t>6.1.1 ; 7.1.1</t>
        </is>
      </c>
      <c r="M61" s="14" t="inlineStr">
        <is>
          <t>Reemplazar el fotodiodo S12698-01; sin él, el firmware no corrige la deriva de lámpara</t>
        </is>
      </c>
      <c r="N61" s="16" t="inlineStr">
        <is>
          <t>El fotodiodo de monitoreo de la lámpara no entrega señal, por lo que el analizador no corrige la deriva de intensidad.</t>
        </is>
      </c>
      <c r="O61" s="10" t="n"/>
      <c r="P61" s="10" t="n"/>
      <c r="Q61" s="10" t="inlineStr">
        <is>
          <t>Sí</t>
        </is>
      </c>
      <c r="R61" s="10" t="inlineStr">
        <is>
          <t>Sí</t>
        </is>
      </c>
      <c r="S61" s="11" t="inlineStr">
        <is>
          <t>Photo Diode S12698-01 (3200546511) — sin artículo en el catálogo</t>
        </is>
      </c>
      <c r="T61" s="11" t="inlineStr">
        <is>
          <t>Procedimiento Cambio Foto Diodo Horiba APSA-370</t>
        </is>
      </c>
      <c r="U61" s="17" t="inlineStr">
        <is>
          <t>Pendiente</t>
        </is>
      </c>
      <c r="V61" s="17" t="n"/>
      <c r="W61" s="10">
        <f>IF($G61&lt;&gt;"Numérico","",IF($V61="","Sin dato",IF(AND(OR(NOT(ISNUMBER($O61)),$V61&gt;=$O61),OR(NOT(ISNUMBER($P61)),$V61&lt;=$P61)),"Dentro de rango","Fuera de rango")))</f>
        <v/>
      </c>
      <c r="X61" s="17" t="n"/>
      <c r="Y61" s="18" t="n"/>
      <c r="Z61" s="16">
        <f>IF(OR($U61="",$U61="Conforme",$U61="No aplica",$U61="Pendiente"),"",$N61&amp;IF($W61="Fuera de rango"," Valor medido: "&amp;TEXT($V61,"0.####")&amp;IF($H61="",""," "&amp;$H61)&amp;IF(AND(ISNUMBER($O61),$V61&lt;$O61),", por debajo del límite inferior de "&amp;TEXT($O61,"0.####")&amp;IF($H61="",""," "&amp;$H61),"")&amp;IF(AND(ISNUMBER($P61),$V61&gt;$P61),", por encima del límite superior de "&amp;TEXT($P61,"0.####")&amp;IF($H61="",""," "&amp;$H61),"")&amp;".","")&amp;IF($Y61="",""," "&amp;$Y61&amp;IF(RIGHT($Y61,1)=".","","."))&amp;" Acción recomendada: "&amp;$M61&amp;IF(RIGHT($M61,1)=".","",".")&amp;IF($J61="Bloqueante"," El equipo no se libera hasta resolver este hallazgo.",IF($J61="Cobrable"," Se incluye en la cotización de repuestos y consumibles."," Se deja registrado como observación.")))</f>
        <v/>
      </c>
    </row>
    <row r="62" ht="48" customHeight="1">
      <c r="A62" s="10" t="inlineStr">
        <is>
          <t>6.3.1</t>
        </is>
      </c>
      <c r="B62" s="10" t="inlineStr">
        <is>
          <t>6. Banco de medición y óptica</t>
        </is>
      </c>
      <c r="C62" s="10" t="inlineStr">
        <is>
          <t>6.3 Eliminación de interferentes</t>
        </is>
      </c>
      <c r="D62" s="11" t="inlineStr">
        <is>
          <t>Estado del eliminador de hidrocarburos (HC Cutter)</t>
        </is>
      </c>
      <c r="E62" s="11" t="inlineStr">
        <is>
          <t>Integridad del eliminador catalítico de hidrocarburos que previene falsas lecturas de SO2</t>
        </is>
      </c>
      <c r="F62" s="12" t="inlineStr">
        <is>
          <t>Verificar en ANALOG INPUT que la temperatura del HC Cutter sea estable. Para evaluar eficiencia, introducir gas de interferencia según el procedimiento de fábrica y observar la respuesta.</t>
        </is>
      </c>
      <c r="G62" s="10" t="inlineStr">
        <is>
          <t>OK / No OK</t>
        </is>
      </c>
      <c r="H62" s="10" t="inlineStr"/>
      <c r="I62" s="11" t="inlineStr">
        <is>
          <t>El HC Cutter (CUT-1) debe mantener temperatura y eficiencia de remoción de aromáticos (m-xileno)</t>
        </is>
      </c>
      <c r="J62" s="13" t="inlineStr">
        <is>
          <t>Bloqueante</t>
        </is>
      </c>
      <c r="K62" s="14" t="inlineStr">
        <is>
          <t>Catalizador agotado, o lazo calefactor del cutter en falla</t>
        </is>
      </c>
      <c r="L62" s="15" t="inlineStr">
        <is>
          <t>8.1.3 ; 5.2.1 ; 10.4.2</t>
        </is>
      </c>
      <c r="M62" s="14" t="inlineStr">
        <is>
          <t>Reemplazar la unidad HC Cutter y estabilizar térmicamente entre medio día y un día antes de calibrar</t>
        </is>
      </c>
      <c r="N62" s="16" t="inlineStr">
        <is>
          <t>El eliminador de hidrocarburos ha perdido eficiencia, lo que puede producir lecturas de SO₂ falsamente altas por interferencia.</t>
        </is>
      </c>
      <c r="O62" s="10" t="n"/>
      <c r="P62" s="10" t="n"/>
      <c r="Q62" s="10" t="inlineStr">
        <is>
          <t>Sí</t>
        </is>
      </c>
      <c r="R62" s="10" t="inlineStr">
        <is>
          <t>Sí</t>
        </is>
      </c>
      <c r="S62" s="11" t="inlineStr">
        <is>
          <t>HC Cutter (3014059458)</t>
        </is>
      </c>
      <c r="T62" s="11" t="inlineStr">
        <is>
          <t>P-ST-029-MAN MTTO APSA370 V2</t>
        </is>
      </c>
      <c r="U62" s="17" t="inlineStr">
        <is>
          <t>Pendiente</t>
        </is>
      </c>
      <c r="V62" s="17" t="n"/>
      <c r="W62" s="10">
        <f>IF($G62&lt;&gt;"Numérico","",IF($V62="","Sin dato",IF(AND(OR(NOT(ISNUMBER($O62)),$V62&gt;=$O62),OR(NOT(ISNUMBER($P62)),$V62&lt;=$P62)),"Dentro de rango","Fuera de rango")))</f>
        <v/>
      </c>
      <c r="X62" s="17" t="n"/>
      <c r="Y62" s="18" t="n"/>
      <c r="Z62" s="16">
        <f>IF(OR($U62="",$U62="Conforme",$U62="No aplica",$U62="Pendiente"),"",$N62&amp;IF($W62="Fuera de rango"," Valor medido: "&amp;TEXT($V62,"0.####")&amp;IF($H62="",""," "&amp;$H62)&amp;IF(AND(ISNUMBER($O62),$V62&lt;$O62),", por debajo del límite inferior de "&amp;TEXT($O62,"0.####")&amp;IF($H62="",""," "&amp;$H62),"")&amp;IF(AND(ISNUMBER($P62),$V62&gt;$P62),", por encima del límite superior de "&amp;TEXT($P62,"0.####")&amp;IF($H62="",""," "&amp;$H62),"")&amp;".","")&amp;IF($Y62="",""," "&amp;$Y62&amp;IF(RIGHT($Y62,1)=".","","."))&amp;" Acción recomendada: "&amp;$M62&amp;IF(RIGHT($M62,1)=".","",".")&amp;IF($J62="Bloqueante"," El equipo no se libera hasta resolver este hallazgo.",IF($J62="Cobrable"," Se incluye en la cotización de repuestos y consumibles."," Se deja registrado como observación.")))</f>
        <v/>
      </c>
    </row>
    <row r="63" ht="48" customHeight="1">
      <c r="A63" s="10" t="inlineStr">
        <is>
          <t>6.3.2</t>
        </is>
      </c>
      <c r="B63" s="10" t="inlineStr">
        <is>
          <t>6. Banco de medición y óptica</t>
        </is>
      </c>
      <c r="C63" s="10" t="inlineStr">
        <is>
          <t>6.3 Eliminación de interferentes</t>
        </is>
      </c>
      <c r="D63" s="11" t="inlineStr">
        <is>
          <t>Filtro depurador scrubber de entrada (ESU-050A)</t>
        </is>
      </c>
      <c r="E63" s="11" t="inlineStr">
        <is>
          <t>Desgaste y coloración del carbón del cartucho scrubber de entrada SCR-1</t>
        </is>
      </c>
      <c r="F63" s="12" t="inlineStr">
        <is>
          <t>Con el equipo apagado, desmontar el cartucho scrubber SCR-1 y examinar el carbón buscando apelmazamiento, cambio de color o canalización. Verificar que no haya fugas en sus racores.</t>
        </is>
      </c>
      <c r="G63" s="10" t="inlineStr">
        <is>
          <t>OK / No OK</t>
        </is>
      </c>
      <c r="H63" s="10" t="inlineStr"/>
      <c r="I63" s="11" t="inlineStr">
        <is>
          <t>Debe estar libre de apelmazamiento o fugas, asegurando aire libre de SO2 para la línea de referencia</t>
        </is>
      </c>
      <c r="J63" s="13" t="inlineStr">
        <is>
          <t>Cobrable</t>
        </is>
      </c>
      <c r="K63" s="14" t="inlineStr">
        <is>
          <t>Carbón apelmazado, canalizado o saturado: deja pasar SO2 a la referencia</t>
        </is>
      </c>
      <c r="L63" s="15" t="inlineStr">
        <is>
          <t>8.1.2 ; 3.1.1</t>
        </is>
      </c>
      <c r="M63" s="14" t="inlineStr">
        <is>
          <t>Reemplazar el cartucho ESU-050A y recalibrar el cero</t>
        </is>
      </c>
      <c r="N63" s="16" t="inlineStr">
        <is>
          <t>El depurador de la línea de referencia se encuentra saturado y ya no garantiza un aire libre de SO₂.</t>
        </is>
      </c>
      <c r="O63" s="10" t="n"/>
      <c r="P63" s="10" t="n"/>
      <c r="Q63" s="10" t="inlineStr">
        <is>
          <t>Sí</t>
        </is>
      </c>
      <c r="R63" s="10" t="inlineStr">
        <is>
          <t>Sí</t>
        </is>
      </c>
      <c r="S63" s="11" t="inlineStr">
        <is>
          <t>Scrubber ESU-050A (3014059487)</t>
        </is>
      </c>
      <c r="T63" s="11" t="inlineStr">
        <is>
          <t>P-ST-029-MAN MTTO APSA370 V2</t>
        </is>
      </c>
      <c r="U63" s="17" t="inlineStr">
        <is>
          <t>Pendiente</t>
        </is>
      </c>
      <c r="V63" s="17" t="n"/>
      <c r="W63" s="10">
        <f>IF($G63&lt;&gt;"Numérico","",IF($V63="","Sin dato",IF(AND(OR(NOT(ISNUMBER($O63)),$V63&gt;=$O63),OR(NOT(ISNUMBER($P63)),$V63&lt;=$P63)),"Dentro de rango","Fuera de rango")))</f>
        <v/>
      </c>
      <c r="X63" s="17" t="n"/>
      <c r="Y63" s="18" t="n"/>
      <c r="Z63" s="16">
        <f>IF(OR($U63="",$U63="Conforme",$U63="No aplica",$U63="Pendiente"),"",$N63&amp;IF($W63="Fuera de rango"," Valor medido: "&amp;TEXT($V63,"0.####")&amp;IF($H63="",""," "&amp;$H63)&amp;IF(AND(ISNUMBER($O63),$V63&lt;$O63),", por debajo del límite inferior de "&amp;TEXT($O63,"0.####")&amp;IF($H63="",""," "&amp;$H63),"")&amp;IF(AND(ISNUMBER($P63),$V63&gt;$P63),", por encima del límite superior de "&amp;TEXT($P63,"0.####")&amp;IF($H63="",""," "&amp;$H63),"")&amp;".","")&amp;IF($Y63="",""," "&amp;$Y63&amp;IF(RIGHT($Y63,1)=".","","."))&amp;" Acción recomendada: "&amp;$M63&amp;IF(RIGHT($M63,1)=".","",".")&amp;IF($J63="Bloqueante"," El equipo no se libera hasta resolver este hallazgo.",IF($J63="Cobrable"," Se incluye en la cotización de repuestos y consumibles."," Se deja registrado como observación.")))</f>
        <v/>
      </c>
    </row>
    <row r="64" ht="48" customHeight="1">
      <c r="A64" s="10" t="inlineStr">
        <is>
          <t>7.1.1</t>
        </is>
      </c>
      <c r="B64" s="10" t="inlineStr">
        <is>
          <t>7. Electrónica y control</t>
        </is>
      </c>
      <c r="C64" s="10" t="inlineStr">
        <is>
          <t>7.1 Tarjetas electrónicas</t>
        </is>
      </c>
      <c r="D64" s="11" t="inlineStr">
        <is>
          <t>Tarjeta amplificadora AP-PRE-13</t>
        </is>
      </c>
      <c r="E64" s="11" t="inlineStr">
        <is>
          <t>Acoplamiento físico e integridad de soldaduras de la placa preamplificadora de la señal del PMT</t>
        </is>
      </c>
      <c r="F64" s="12" t="inlineStr">
        <is>
          <t>Con el equipo apagado, retirar la cubierta y examinar la tarjeta AP-PRE-13 con lupa, buscando soldaduras agrietadas, componentes decolorados por calor u oxidación en los conectores.</t>
        </is>
      </c>
      <c r="G64" s="10" t="inlineStr">
        <is>
          <t>OK / No OK</t>
        </is>
      </c>
      <c r="H64" s="10" t="inlineStr"/>
      <c r="I64" s="11" t="inlineStr">
        <is>
          <t>Libre de sobrecalentamientos u oxidación de componentes; debe procesar adecuadamente la señal</t>
        </is>
      </c>
      <c r="J64" s="13" t="inlineStr">
        <is>
          <t>Bloqueante</t>
        </is>
      </c>
      <c r="K64" s="14" t="inlineStr">
        <is>
          <t>Soldadura agrietada, componente recalentado, o conector oxidado</t>
        </is>
      </c>
      <c r="L64" s="15" t="inlineStr">
        <is>
          <t>6.2.6 ; 9.4.1</t>
        </is>
      </c>
      <c r="M64" s="14" t="inlineStr">
        <is>
          <t>Prueba cruzada en otro chasis antes de reemplazar la tarjeta</t>
        </is>
      </c>
      <c r="N64" s="16" t="inlineStr">
        <is>
          <t>La tarjeta preamplificadora de señal presenta daño en sus componentes o en sus soldaduras.</t>
        </is>
      </c>
      <c r="O64" s="10" t="n"/>
      <c r="P64" s="10" t="n"/>
      <c r="Q64" s="10" t="inlineStr">
        <is>
          <t>Sí</t>
        </is>
      </c>
      <c r="R64" s="10" t="inlineStr">
        <is>
          <t>Sí</t>
        </is>
      </c>
      <c r="S64" s="11" t="inlineStr">
        <is>
          <t>Printed Board Assy AP-PRE-13 (3014038440)</t>
        </is>
      </c>
      <c r="T64" s="11" t="inlineStr">
        <is>
          <t>Repuestos APSA-370 Nivel de Lámpara Bajo</t>
        </is>
      </c>
      <c r="U64" s="17" t="inlineStr">
        <is>
          <t>Pendiente</t>
        </is>
      </c>
      <c r="V64" s="17" t="n"/>
      <c r="W64" s="10">
        <f>IF($G64&lt;&gt;"Numérico","",IF($V64="","Sin dato",IF(AND(OR(NOT(ISNUMBER($O64)),$V64&gt;=$O64),OR(NOT(ISNUMBER($P64)),$V64&lt;=$P64)),"Dentro de rango","Fuera de rango")))</f>
        <v/>
      </c>
      <c r="X64" s="17" t="n"/>
      <c r="Y64" s="18" t="n"/>
      <c r="Z64" s="16">
        <f>IF(OR($U64="",$U64="Conforme",$U64="No aplica",$U64="Pendiente"),"",$N64&amp;IF($W64="Fuera de rango"," Valor medido: "&amp;TEXT($V64,"0.####")&amp;IF($H64="",""," "&amp;$H64)&amp;IF(AND(ISNUMBER($O64),$V64&lt;$O64),", por debajo del límite inferior de "&amp;TEXT($O64,"0.####")&amp;IF($H64="",""," "&amp;$H64),"")&amp;IF(AND(ISNUMBER($P64),$V64&gt;$P64),", por encima del límite superior de "&amp;TEXT($P64,"0.####")&amp;IF($H64="",""," "&amp;$H64),"")&amp;".","")&amp;IF($Y64="",""," "&amp;$Y64&amp;IF(RIGHT($Y64,1)=".","","."))&amp;" Acción recomendada: "&amp;$M64&amp;IF(RIGHT($M64,1)=".","",".")&amp;IF($J64="Bloqueante"," El equipo no se libera hasta resolver este hallazgo.",IF($J64="Cobrable"," Se incluye en la cotización de repuestos y consumibles."," Se deja registrado como observación.")))</f>
        <v/>
      </c>
    </row>
    <row r="65" ht="48" customHeight="1">
      <c r="A65" s="10" t="inlineStr">
        <is>
          <t>7.1.2</t>
        </is>
      </c>
      <c r="B65" s="10" t="inlineStr">
        <is>
          <t>7. Electrónica y control</t>
        </is>
      </c>
      <c r="C65" s="10" t="inlineStr">
        <is>
          <t>7.1 Tarjetas electrónicas</t>
        </is>
      </c>
      <c r="D65" s="11" t="inlineStr">
        <is>
          <t>Tarjeta controladora de bomba AP-PMP-01</t>
        </is>
      </c>
      <c r="E65" s="11" t="inlineStr">
        <is>
          <t>Estado eléctrico de la tarjeta controladora de potencia de motores y bombas</t>
        </is>
      </c>
      <c r="F65" s="12" t="inlineStr">
        <is>
          <t>Con el equipo apagado, verificar que la tarjeta AP-PMP-01 esté firmemente asentada en su conector y examinarla buscando marcas de sobrecalentamiento o pistas dañadas.</t>
        </is>
      </c>
      <c r="G65" s="10" t="inlineStr">
        <is>
          <t>OK / No OK</t>
        </is>
      </c>
      <c r="H65" s="10" t="inlineStr"/>
      <c r="I65" s="11" t="inlineStr">
        <is>
          <t>Debe estar conectada firmemente y alimentar los actuadores y bombas de forma continua</t>
        </is>
      </c>
      <c r="J65" s="13" t="inlineStr">
        <is>
          <t>Bloqueante</t>
        </is>
      </c>
      <c r="K65" s="14" t="inlineStr">
        <is>
          <t>Tarjeta suelta en su conector o etapa de potencia dañada</t>
        </is>
      </c>
      <c r="L65" s="15" t="inlineStr">
        <is>
          <t>5.1.2 ; 9.4.1</t>
        </is>
      </c>
      <c r="M65" s="14" t="inlineStr">
        <is>
          <t>Reasentar la tarjeta; si la bomba sigue sin alimentación estable, reemplazarla</t>
        </is>
      </c>
      <c r="N65" s="16" t="inlineStr">
        <is>
          <t>La tarjeta de control de la bomba no está correctamente asentada o presenta daño en su etapa de potencia.</t>
        </is>
      </c>
      <c r="O65" s="10" t="n"/>
      <c r="P65" s="10" t="n"/>
      <c r="Q65" s="10" t="inlineStr">
        <is>
          <t>Sí</t>
        </is>
      </c>
      <c r="R65" s="10" t="inlineStr">
        <is>
          <t>Sí</t>
        </is>
      </c>
      <c r="S65" s="11" t="inlineStr">
        <is>
          <t>Printed Board Assy AP-PMP-01 (3014038441)</t>
        </is>
      </c>
      <c r="T65" s="11" t="inlineStr">
        <is>
          <t>Repuestos APSA-370 Nivel de Lámpara Bajo</t>
        </is>
      </c>
      <c r="U65" s="17" t="inlineStr">
        <is>
          <t>Pendiente</t>
        </is>
      </c>
      <c r="V65" s="17" t="n"/>
      <c r="W65" s="10">
        <f>IF($G65&lt;&gt;"Numérico","",IF($V65="","Sin dato",IF(AND(OR(NOT(ISNUMBER($O65)),$V65&gt;=$O65),OR(NOT(ISNUMBER($P65)),$V65&lt;=$P65)),"Dentro de rango","Fuera de rango")))</f>
        <v/>
      </c>
      <c r="X65" s="17" t="n"/>
      <c r="Y65" s="18" t="n"/>
      <c r="Z65" s="16">
        <f>IF(OR($U65="",$U65="Conforme",$U65="No aplica",$U65="Pendiente"),"",$N65&amp;IF($W65="Fuera de rango"," Valor medido: "&amp;TEXT($V65,"0.####")&amp;IF($H65="",""," "&amp;$H65)&amp;IF(AND(ISNUMBER($O65),$V65&lt;$O65),", por debajo del límite inferior de "&amp;TEXT($O65,"0.####")&amp;IF($H65="",""," "&amp;$H65),"")&amp;IF(AND(ISNUMBER($P65),$V65&gt;$P65),", por encima del límite superior de "&amp;TEXT($P65,"0.####")&amp;IF($H65="",""," "&amp;$H65),"")&amp;".","")&amp;IF($Y65="",""," "&amp;$Y65&amp;IF(RIGHT($Y65,1)=".","","."))&amp;" Acción recomendada: "&amp;$M65&amp;IF(RIGHT($M65,1)=".","",".")&amp;IF($J65="Bloqueante"," El equipo no se libera hasta resolver este hallazgo.",IF($J65="Cobrable"," Se incluye en la cotización de repuestos y consumibles."," Se deja registrado como observación.")))</f>
        <v/>
      </c>
    </row>
    <row r="66" ht="48" customHeight="1">
      <c r="A66" s="10" t="inlineStr">
        <is>
          <t>7.1.3</t>
        </is>
      </c>
      <c r="B66" s="10" t="inlineStr">
        <is>
          <t>7. Electrónica y control</t>
        </is>
      </c>
      <c r="C66" s="10" t="inlineStr">
        <is>
          <t>7.1 Tarjetas electrónicas</t>
        </is>
      </c>
      <c r="D66" s="11" t="inlineStr">
        <is>
          <t>LED ST0 en tarjeta de relés AP-RPL-02A</t>
        </is>
      </c>
      <c r="E66" s="11" t="inlineStr">
        <is>
          <t>Indicación del LED verde ST0 de comunicación por bus I2C local</t>
        </is>
      </c>
      <c r="F66" s="12" t="inlineStr">
        <is>
          <t>Con el equipo energizado y la cubierta retirada, observar durante al menos 30 segundos el LED ST0 de la tarjeta RPL y registrar si parpadea, queda fijo o apagado.</t>
        </is>
      </c>
      <c r="G66" s="10" t="inlineStr">
        <is>
          <t>OK / No OK</t>
        </is>
      </c>
      <c r="H66" s="10" t="inlineStr"/>
      <c r="I66" s="11" t="inlineStr">
        <is>
          <t>Debe parpadear continuamente, indicando comunicación I2C activa con la tarjeta CPU</t>
        </is>
      </c>
      <c r="J66" s="13" t="inlineStr">
        <is>
          <t>Bloqueante</t>
        </is>
      </c>
      <c r="K66" s="14" t="inlineStr">
        <is>
          <t>Cinta plana I2C floja o comunicación con la CPU interrumpida</t>
        </is>
      </c>
      <c r="L66" s="15" t="inlineStr">
        <is>
          <t>7.1.4 ; 7.1.9</t>
        </is>
      </c>
      <c r="M66" s="14" t="inlineStr">
        <is>
          <t>Reasentar la cinta I2C entre CPU y RPL, y ejecutar el memory scan si no se restablece</t>
        </is>
      </c>
      <c r="N66" s="16" t="inlineStr">
        <is>
          <t>La comunicación interna entre la tarjeta de control y la tarjeta de relés se encuentra interrumpida.</t>
        </is>
      </c>
      <c r="O66" s="10" t="n"/>
      <c r="P66" s="10" t="n"/>
      <c r="Q66" s="10" t="inlineStr">
        <is>
          <t>Sí</t>
        </is>
      </c>
      <c r="R66" s="10" t="inlineStr">
        <is>
          <t>Sí</t>
        </is>
      </c>
      <c r="S66" s="11" t="inlineStr"/>
      <c r="T66" s="11" t="inlineStr">
        <is>
          <t>GZ0000117746B SM E APXX-370 (Service Manual)</t>
        </is>
      </c>
      <c r="U66" s="17" t="inlineStr">
        <is>
          <t>Pendiente</t>
        </is>
      </c>
      <c r="V66" s="17" t="n"/>
      <c r="W66" s="10">
        <f>IF($G66&lt;&gt;"Numérico","",IF($V66="","Sin dato",IF(AND(OR(NOT(ISNUMBER($O66)),$V66&gt;=$O66),OR(NOT(ISNUMBER($P66)),$V66&lt;=$P66)),"Dentro de rango","Fuera de rango")))</f>
        <v/>
      </c>
      <c r="X66" s="17" t="n"/>
      <c r="Y66" s="18" t="n"/>
      <c r="Z66" s="16">
        <f>IF(OR($U66="",$U66="Conforme",$U66="No aplica",$U66="Pendiente"),"",$N66&amp;IF($W66="Fuera de rango"," Valor medido: "&amp;TEXT($V66,"0.####")&amp;IF($H66="",""," "&amp;$H66)&amp;IF(AND(ISNUMBER($O66),$V66&lt;$O66),", por debajo del límite inferior de "&amp;TEXT($O66,"0.####")&amp;IF($H66="",""," "&amp;$H66),"")&amp;IF(AND(ISNUMBER($P66),$V66&gt;$P66),", por encima del límite superior de "&amp;TEXT($P66,"0.####")&amp;IF($H66="",""," "&amp;$H66),"")&amp;".","")&amp;IF($Y66="",""," "&amp;$Y66&amp;IF(RIGHT($Y66,1)=".","","."))&amp;" Acción recomendada: "&amp;$M66&amp;IF(RIGHT($M66,1)=".","",".")&amp;IF($J66="Bloqueante"," El equipo no se libera hasta resolver este hallazgo.",IF($J66="Cobrable"," Se incluye en la cotización de repuestos y consumibles."," Se deja registrado como observación.")))</f>
        <v/>
      </c>
    </row>
    <row r="67" ht="48" customHeight="1">
      <c r="A67" s="10" t="inlineStr">
        <is>
          <t>7.1.4</t>
        </is>
      </c>
      <c r="B67" s="10" t="inlineStr">
        <is>
          <t>7. Electrónica y control</t>
        </is>
      </c>
      <c r="C67" s="10" t="inlineStr">
        <is>
          <t>7.1 Tarjetas electrónicas</t>
        </is>
      </c>
      <c r="D67" s="11" t="inlineStr">
        <is>
          <t>LED ST1 en tarjeta de relés AP-RPL-02A</t>
        </is>
      </c>
      <c r="E67" s="11" t="inlineStr">
        <is>
          <t>Indicación del LED verde ST1 de operación (heartbeat) del microprocesador local H8</t>
        </is>
      </c>
      <c r="F67" s="12" t="inlineStr">
        <is>
          <t>Con el equipo energizado, observar durante al menos 30 segundos el LED ST1 de la tarjeta RPL y registrar si parpadea, queda fijo o apagado.</t>
        </is>
      </c>
      <c r="G67" s="10" t="inlineStr">
        <is>
          <t>OK / No OK</t>
        </is>
      </c>
      <c r="H67" s="10" t="inlineStr"/>
      <c r="I67" s="11" t="inlineStr">
        <is>
          <t>Debe parpadear constantemente; encendido o apagado fijo indica bloqueo lógico de la tarjeta</t>
        </is>
      </c>
      <c r="J67" s="13" t="inlineStr">
        <is>
          <t>Bloqueante</t>
        </is>
      </c>
      <c r="K67" s="14" t="inlineStr">
        <is>
          <t>Microprocesador H8 de la tarjeta de relés bloqueado</t>
        </is>
      </c>
      <c r="L67" s="15" t="inlineStr">
        <is>
          <t>7.1.3</t>
        </is>
      </c>
      <c r="M67" s="14" t="inlineStr">
        <is>
          <t>Si ST1 queda fijo o apagado tras reasentar la cinta, reemplazar la tarjeta AP-RPL-02A</t>
        </is>
      </c>
      <c r="N67" s="16" t="inlineStr">
        <is>
          <t>El procesador de la tarjeta de relés se encuentra bloqueado.</t>
        </is>
      </c>
      <c r="O67" s="10" t="n"/>
      <c r="P67" s="10" t="n"/>
      <c r="Q67" s="10" t="inlineStr">
        <is>
          <t>Sí</t>
        </is>
      </c>
      <c r="R67" s="10" t="inlineStr">
        <is>
          <t>Sí</t>
        </is>
      </c>
      <c r="S67" s="11" t="inlineStr"/>
      <c r="T67" s="11" t="inlineStr">
        <is>
          <t>GZ0000117746B SM E APXX-370 (Service Manual)</t>
        </is>
      </c>
      <c r="U67" s="17" t="inlineStr">
        <is>
          <t>Pendiente</t>
        </is>
      </c>
      <c r="V67" s="17" t="n"/>
      <c r="W67" s="10">
        <f>IF($G67&lt;&gt;"Numérico","",IF($V67="","Sin dato",IF(AND(OR(NOT(ISNUMBER($O67)),$V67&gt;=$O67),OR(NOT(ISNUMBER($P67)),$V67&lt;=$P67)),"Dentro de rango","Fuera de rango")))</f>
        <v/>
      </c>
      <c r="X67" s="17" t="n"/>
      <c r="Y67" s="18" t="n"/>
      <c r="Z67" s="16">
        <f>IF(OR($U67="",$U67="Conforme",$U67="No aplica",$U67="Pendiente"),"",$N67&amp;IF($W67="Fuera de rango"," Valor medido: "&amp;TEXT($V67,"0.####")&amp;IF($H67="",""," "&amp;$H67)&amp;IF(AND(ISNUMBER($O67),$V67&lt;$O67),", por debajo del límite inferior de "&amp;TEXT($O67,"0.####")&amp;IF($H67="",""," "&amp;$H67),"")&amp;IF(AND(ISNUMBER($P67),$V67&gt;$P67),", por encima del límite superior de "&amp;TEXT($P67,"0.####")&amp;IF($H67="",""," "&amp;$H67),"")&amp;".","")&amp;IF($Y67="",""," "&amp;$Y67&amp;IF(RIGHT($Y67,1)=".","","."))&amp;" Acción recomendada: "&amp;$M67&amp;IF(RIGHT($M67,1)=".","",".")&amp;IF($J67="Bloqueante"," El equipo no se libera hasta resolver este hallazgo.",IF($J67="Cobrable"," Se incluye en la cotización de repuestos y consumibles."," Se deja registrado como observación.")))</f>
        <v/>
      </c>
    </row>
    <row r="68" ht="48" customHeight="1">
      <c r="A68" s="10" t="inlineStr">
        <is>
          <t>7.1.5</t>
        </is>
      </c>
      <c r="B68" s="10" t="inlineStr">
        <is>
          <t>7. Electrónica y control</t>
        </is>
      </c>
      <c r="C68" s="10" t="inlineStr">
        <is>
          <t>7.1 Tarjetas electrónicas</t>
        </is>
      </c>
      <c r="D68" s="11" t="inlineStr">
        <is>
          <t>LED de tensión +24 V en tarjeta ADC (AP-ADC-05)</t>
        </is>
      </c>
      <c r="E68" s="11" t="inlineStr">
        <is>
          <t>Estado del LED de alimentación de +24 V CC en la placa conversora analógica-digital</t>
        </is>
      </c>
      <c r="F68" s="12" t="inlineStr">
        <is>
          <t>Con el equipo energizado, observar el LED de +24 V en la tarjeta AP-ADC-05 y confirmar que esté encendido de forma fija.</t>
        </is>
      </c>
      <c r="G68" s="10" t="inlineStr">
        <is>
          <t>OK / No OK</t>
        </is>
      </c>
      <c r="H68" s="10" t="inlineStr"/>
      <c r="I68" s="11" t="inlineStr">
        <is>
          <t>Debe estar encendido de forma fija al estar suministrada la línea de 24 V CC</t>
        </is>
      </c>
      <c r="J68" s="13" t="inlineStr">
        <is>
          <t>Bloqueante</t>
        </is>
      </c>
      <c r="K68" s="14" t="inlineStr">
        <is>
          <t>Falta la alimentación de 24 V en la tarjeta</t>
        </is>
      </c>
      <c r="L68" s="15" t="inlineStr">
        <is>
          <t>9.4.1</t>
        </is>
      </c>
      <c r="M68" s="14" t="inlineStr">
        <is>
          <t>Seguir la rama de alimentación hasta la fuente antes de sospechar de la tarjeta</t>
        </is>
      </c>
      <c r="N68" s="16" t="inlineStr">
        <is>
          <t>La tarjeta de conversión analógica no recibe su tensión de alimentación de 24 V.</t>
        </is>
      </c>
      <c r="O68" s="10" t="n"/>
      <c r="P68" s="10" t="n"/>
      <c r="Q68" s="10" t="inlineStr">
        <is>
          <t>Sí</t>
        </is>
      </c>
      <c r="R68" s="10" t="inlineStr">
        <is>
          <t>Sí</t>
        </is>
      </c>
      <c r="S68" s="11" t="inlineStr"/>
      <c r="T68" s="11" t="inlineStr">
        <is>
          <t>GZ0000117746B SM E APXX-370 (Service Manual)</t>
        </is>
      </c>
      <c r="U68" s="17" t="inlineStr">
        <is>
          <t>Pendiente</t>
        </is>
      </c>
      <c r="V68" s="17" t="n"/>
      <c r="W68" s="10">
        <f>IF($G68&lt;&gt;"Numérico","",IF($V68="","Sin dato",IF(AND(OR(NOT(ISNUMBER($O68)),$V68&gt;=$O68),OR(NOT(ISNUMBER($P68)),$V68&lt;=$P68)),"Dentro de rango","Fuera de rango")))</f>
        <v/>
      </c>
      <c r="X68" s="17" t="n"/>
      <c r="Y68" s="18" t="n"/>
      <c r="Z68" s="16">
        <f>IF(OR($U68="",$U68="Conforme",$U68="No aplica",$U68="Pendiente"),"",$N68&amp;IF($W68="Fuera de rango"," Valor medido: "&amp;TEXT($V68,"0.####")&amp;IF($H68="",""," "&amp;$H68)&amp;IF(AND(ISNUMBER($O68),$V68&lt;$O68),", por debajo del límite inferior de "&amp;TEXT($O68,"0.####")&amp;IF($H68="",""," "&amp;$H68),"")&amp;IF(AND(ISNUMBER($P68),$V68&gt;$P68),", por encima del límite superior de "&amp;TEXT($P68,"0.####")&amp;IF($H68="",""," "&amp;$H68),"")&amp;".","")&amp;IF($Y68="",""," "&amp;$Y68&amp;IF(RIGHT($Y68,1)=".","","."))&amp;" Acción recomendada: "&amp;$M68&amp;IF(RIGHT($M68,1)=".","",".")&amp;IF($J68="Bloqueante"," El equipo no se libera hasta resolver este hallazgo.",IF($J68="Cobrable"," Se incluye en la cotización de repuestos y consumibles."," Se deja registrado como observación.")))</f>
        <v/>
      </c>
    </row>
    <row r="69" ht="48" customHeight="1">
      <c r="A69" s="10" t="inlineStr">
        <is>
          <t>7.1.6</t>
        </is>
      </c>
      <c r="B69" s="10" t="inlineStr">
        <is>
          <t>7. Electrónica y control</t>
        </is>
      </c>
      <c r="C69" s="10" t="inlineStr">
        <is>
          <t>7.1 Tarjetas electrónicas</t>
        </is>
      </c>
      <c r="D69" s="11" t="inlineStr">
        <is>
          <t>LED de tensión +5 V en tarjeta ADC (AP-ADC-05)</t>
        </is>
      </c>
      <c r="E69" s="11" t="inlineStr">
        <is>
          <t>Estado del LED de alimentación lógica de +5 V CC en la placa de conversión</t>
        </is>
      </c>
      <c r="F69" s="12" t="inlineStr">
        <is>
          <t>Con el equipo energizado, observar el LED de +5 V en la tarjeta AP-ADC-05 y confirmar que esté encendido de forma fija.</t>
        </is>
      </c>
      <c r="G69" s="10" t="inlineStr">
        <is>
          <t>OK / No OK</t>
        </is>
      </c>
      <c r="H69" s="10" t="inlineStr"/>
      <c r="I69" s="11" t="inlineStr">
        <is>
          <t>Debe permanecer encendido de forma fija si los circuitos lógicos de la placa ADC están alimentados</t>
        </is>
      </c>
      <c r="J69" s="13" t="inlineStr">
        <is>
          <t>Bloqueante</t>
        </is>
      </c>
      <c r="K69" s="14" t="inlineStr">
        <is>
          <t>Falta la alimentación lógica de 5 V en la tarjeta</t>
        </is>
      </c>
      <c r="L69" s="15" t="inlineStr">
        <is>
          <t>9.4.2</t>
        </is>
      </c>
      <c r="M69" s="14" t="inlineStr">
        <is>
          <t>Seguir la rama de alimentación hasta la fuente antes de sospechar de la tarjeta</t>
        </is>
      </c>
      <c r="N69" s="16" t="inlineStr">
        <is>
          <t>La tarjeta de conversión analógica no recibe su tensión de alimentación lógica de 5 V.</t>
        </is>
      </c>
      <c r="O69" s="10" t="n"/>
      <c r="P69" s="10" t="n"/>
      <c r="Q69" s="10" t="inlineStr">
        <is>
          <t>Sí</t>
        </is>
      </c>
      <c r="R69" s="10" t="inlineStr">
        <is>
          <t>Sí</t>
        </is>
      </c>
      <c r="S69" s="11" t="inlineStr"/>
      <c r="T69" s="11" t="inlineStr">
        <is>
          <t>GZ0000117746B SM E APXX-370 (Service Manual)</t>
        </is>
      </c>
      <c r="U69" s="17" t="inlineStr">
        <is>
          <t>Pendiente</t>
        </is>
      </c>
      <c r="V69" s="17" t="n"/>
      <c r="W69" s="10">
        <f>IF($G69&lt;&gt;"Numérico","",IF($V69="","Sin dato",IF(AND(OR(NOT(ISNUMBER($O69)),$V69&gt;=$O69),OR(NOT(ISNUMBER($P69)),$V69&lt;=$P69)),"Dentro de rango","Fuera de rango")))</f>
        <v/>
      </c>
      <c r="X69" s="17" t="n"/>
      <c r="Y69" s="18" t="n"/>
      <c r="Z69" s="16">
        <f>IF(OR($U69="",$U69="Conforme",$U69="No aplica",$U69="Pendiente"),"",$N69&amp;IF($W69="Fuera de rango"," Valor medido: "&amp;TEXT($V69,"0.####")&amp;IF($H69="",""," "&amp;$H69)&amp;IF(AND(ISNUMBER($O69),$V69&lt;$O69),", por debajo del límite inferior de "&amp;TEXT($O69,"0.####")&amp;IF($H69="",""," "&amp;$H69),"")&amp;IF(AND(ISNUMBER($P69),$V69&gt;$P69),", por encima del límite superior de "&amp;TEXT($P69,"0.####")&amp;IF($H69="",""," "&amp;$H69),"")&amp;".","")&amp;IF($Y69="",""," "&amp;$Y69&amp;IF(RIGHT($Y69,1)=".","","."))&amp;" Acción recomendada: "&amp;$M69&amp;IF(RIGHT($M69,1)=".","",".")&amp;IF($J69="Bloqueante"," El equipo no se libera hasta resolver este hallazgo.",IF($J69="Cobrable"," Se incluye en la cotización de repuestos y consumibles."," Se deja registrado como observación.")))</f>
        <v/>
      </c>
    </row>
    <row r="70" ht="48" customHeight="1">
      <c r="A70" s="10" t="inlineStr">
        <is>
          <t>7.1.7</t>
        </is>
      </c>
      <c r="B70" s="10" t="inlineStr">
        <is>
          <t>7. Electrónica y control</t>
        </is>
      </c>
      <c r="C70" s="10" t="inlineStr">
        <is>
          <t>7.1 Tarjetas electrónicas</t>
        </is>
      </c>
      <c r="D70" s="11" t="inlineStr">
        <is>
          <t>LED de tensión +3,3 V en tarjeta CPU</t>
        </is>
      </c>
      <c r="E70" s="11" t="inlineStr">
        <is>
          <t>Estado del LED indicador de alimentación interna de 3,3 V CC en la tarjeta principal</t>
        </is>
      </c>
      <c r="F70" s="12" t="inlineStr">
        <is>
          <t>Con el equipo energizado, observar el LED de +3,3 V en la tarjeta CPU y confirmar que esté encendido de forma fija.</t>
        </is>
      </c>
      <c r="G70" s="10" t="inlineStr">
        <is>
          <t>OK / No OK</t>
        </is>
      </c>
      <c r="H70" s="10" t="inlineStr"/>
      <c r="I70" s="11" t="inlineStr">
        <is>
          <t>El LED verde de 3,3 V debe estar encendido de forma fija</t>
        </is>
      </c>
      <c r="J70" s="13" t="inlineStr">
        <is>
          <t>Bloqueante</t>
        </is>
      </c>
      <c r="K70" s="14" t="inlineStr">
        <is>
          <t>Regulador de 3,3 V de la CPU sin salida</t>
        </is>
      </c>
      <c r="L70" s="15" t="inlineStr">
        <is>
          <t>9.4.2 ; 7.1.9</t>
        </is>
      </c>
      <c r="M70" s="14" t="inlineStr">
        <is>
          <t>Verificar la alimentación de entrada antes de reemplazar la CPU</t>
        </is>
      </c>
      <c r="N70" s="16" t="inlineStr">
        <is>
          <t>La tarjeta principal de control no recibe su tensión interna de 3,3 V.</t>
        </is>
      </c>
      <c r="O70" s="10" t="n"/>
      <c r="P70" s="10" t="n"/>
      <c r="Q70" s="10" t="inlineStr">
        <is>
          <t>Sí</t>
        </is>
      </c>
      <c r="R70" s="10" t="inlineStr">
        <is>
          <t>Sí</t>
        </is>
      </c>
      <c r="S70" s="11" t="inlineStr"/>
      <c r="T70" s="11" t="inlineStr">
        <is>
          <t>GZ0000117746B SM E APXX-370 (Service Manual)</t>
        </is>
      </c>
      <c r="U70" s="17" t="inlineStr">
        <is>
          <t>Pendiente</t>
        </is>
      </c>
      <c r="V70" s="17" t="n"/>
      <c r="W70" s="10">
        <f>IF($G70&lt;&gt;"Numérico","",IF($V70="","Sin dato",IF(AND(OR(NOT(ISNUMBER($O70)),$V70&gt;=$O70),OR(NOT(ISNUMBER($P70)),$V70&lt;=$P70)),"Dentro de rango","Fuera de rango")))</f>
        <v/>
      </c>
      <c r="X70" s="17" t="n"/>
      <c r="Y70" s="18" t="n"/>
      <c r="Z70" s="16">
        <f>IF(OR($U70="",$U70="Conforme",$U70="No aplica",$U70="Pendiente"),"",$N70&amp;IF($W70="Fuera de rango"," Valor medido: "&amp;TEXT($V70,"0.####")&amp;IF($H70="",""," "&amp;$H70)&amp;IF(AND(ISNUMBER($O70),$V70&lt;$O70),", por debajo del límite inferior de "&amp;TEXT($O70,"0.####")&amp;IF($H70="",""," "&amp;$H70),"")&amp;IF(AND(ISNUMBER($P70),$V70&gt;$P70),", por encima del límite superior de "&amp;TEXT($P70,"0.####")&amp;IF($H70="",""," "&amp;$H70),"")&amp;".","")&amp;IF($Y70="",""," "&amp;$Y70&amp;IF(RIGHT($Y70,1)=".","","."))&amp;" Acción recomendada: "&amp;$M70&amp;IF(RIGHT($M70,1)=".","",".")&amp;IF($J70="Bloqueante"," El equipo no se libera hasta resolver este hallazgo.",IF($J70="Cobrable"," Se incluye en la cotización de repuestos y consumibles."," Se deja registrado como observación.")))</f>
        <v/>
      </c>
    </row>
    <row r="71" ht="48" customHeight="1">
      <c r="A71" s="10" t="inlineStr">
        <is>
          <t>7.1.8</t>
        </is>
      </c>
      <c r="B71" s="10" t="inlineStr">
        <is>
          <t>7. Electrónica y control</t>
        </is>
      </c>
      <c r="C71" s="10" t="inlineStr">
        <is>
          <t>7.1 Tarjetas electrónicas</t>
        </is>
      </c>
      <c r="D71" s="11" t="inlineStr">
        <is>
          <t>LED de tensión +5 V en tarjeta CPU</t>
        </is>
      </c>
      <c r="E71" s="11" t="inlineStr">
        <is>
          <t>Estado del LED indicador de alimentación interna de 5 V CC en la tarjeta principal</t>
        </is>
      </c>
      <c r="F71" s="12" t="inlineStr">
        <is>
          <t>Con el equipo energizado, observar el LED de +5 V en la tarjeta CPU y confirmar que esté encendido de forma fija.</t>
        </is>
      </c>
      <c r="G71" s="10" t="inlineStr">
        <is>
          <t>OK / No OK</t>
        </is>
      </c>
      <c r="H71" s="10" t="inlineStr"/>
      <c r="I71" s="11" t="inlineStr">
        <is>
          <t>El LED verde de 5 V debe estar encendido de forma fija, indicando presencia de tensión digital</t>
        </is>
      </c>
      <c r="J71" s="13" t="inlineStr">
        <is>
          <t>Bloqueante</t>
        </is>
      </c>
      <c r="K71" s="14" t="inlineStr">
        <is>
          <t>Falta la alimentación digital de 5 V en la CPU</t>
        </is>
      </c>
      <c r="L71" s="15" t="inlineStr">
        <is>
          <t>9.4.2</t>
        </is>
      </c>
      <c r="M71" s="14" t="inlineStr">
        <is>
          <t>Verificar la llegada de 5 V a la tarjeta antes de reemplazarla</t>
        </is>
      </c>
      <c r="N71" s="16" t="inlineStr">
        <is>
          <t>La tarjeta principal de control no recibe su tensión de alimentación digital de 5 V.</t>
        </is>
      </c>
      <c r="O71" s="10" t="n"/>
      <c r="P71" s="10" t="n"/>
      <c r="Q71" s="10" t="inlineStr">
        <is>
          <t>Sí</t>
        </is>
      </c>
      <c r="R71" s="10" t="inlineStr">
        <is>
          <t>Sí</t>
        </is>
      </c>
      <c r="S71" s="11" t="inlineStr"/>
      <c r="T71" s="11" t="inlineStr">
        <is>
          <t>GZ0000117746B SM E APXX-370 (Service Manual)</t>
        </is>
      </c>
      <c r="U71" s="17" t="inlineStr">
        <is>
          <t>Pendiente</t>
        </is>
      </c>
      <c r="V71" s="17" t="n"/>
      <c r="W71" s="10">
        <f>IF($G71&lt;&gt;"Numérico","",IF($V71="","Sin dato",IF(AND(OR(NOT(ISNUMBER($O71)),$V71&gt;=$O71),OR(NOT(ISNUMBER($P71)),$V71&lt;=$P71)),"Dentro de rango","Fuera de rango")))</f>
        <v/>
      </c>
      <c r="X71" s="17" t="n"/>
      <c r="Y71" s="18" t="n"/>
      <c r="Z71" s="16">
        <f>IF(OR($U71="",$U71="Conforme",$U71="No aplica",$U71="Pendiente"),"",$N71&amp;IF($W71="Fuera de rango"," Valor medido: "&amp;TEXT($V71,"0.####")&amp;IF($H71="",""," "&amp;$H71)&amp;IF(AND(ISNUMBER($O71),$V71&lt;$O71),", por debajo del límite inferior de "&amp;TEXT($O71,"0.####")&amp;IF($H71="",""," "&amp;$H71),"")&amp;IF(AND(ISNUMBER($P71),$V71&gt;$P71),", por encima del límite superior de "&amp;TEXT($P71,"0.####")&amp;IF($H71="",""," "&amp;$H71),"")&amp;".","")&amp;IF($Y71="",""," "&amp;$Y71&amp;IF(RIGHT($Y71,1)=".","","."))&amp;" Acción recomendada: "&amp;$M71&amp;IF(RIGHT($M71,1)=".","",".")&amp;IF($J71="Bloqueante"," El equipo no se libera hasta resolver este hallazgo.",IF($J71="Cobrable"," Se incluye en la cotización de repuestos y consumibles."," Se deja registrado como observación.")))</f>
        <v/>
      </c>
    </row>
    <row r="72" ht="48" customHeight="1">
      <c r="A72" s="10" t="inlineStr">
        <is>
          <t>7.1.9</t>
        </is>
      </c>
      <c r="B72" s="10" t="inlineStr">
        <is>
          <t>7. Electrónica y control</t>
        </is>
      </c>
      <c r="C72" s="10" t="inlineStr">
        <is>
          <t>7.1 Tarjetas electrónicas</t>
        </is>
      </c>
      <c r="D72" s="11" t="inlineStr">
        <is>
          <t>LED de operación de la CPU (heartbeat)</t>
        </is>
      </c>
      <c r="E72" s="11" t="inlineStr">
        <is>
          <t>Parpadeo del LED de actividad de ejecución de tareas lógicas de la CPU</t>
        </is>
      </c>
      <c r="F72" s="12" t="inlineStr">
        <is>
          <t>Con el equipo energizado, observar durante al menos 30 segundos el LED de actividad de la CPU y confirmar que parpadee de forma continua.</t>
        </is>
      </c>
      <c r="G72" s="10" t="inlineStr">
        <is>
          <t>OK / No OK</t>
        </is>
      </c>
      <c r="H72" s="10" t="inlineStr"/>
      <c r="I72" s="11" t="inlineStr">
        <is>
          <t>Debe parpadear de forma continua; si se detiene indica congelamiento del firmware</t>
        </is>
      </c>
      <c r="J72" s="13" t="inlineStr">
        <is>
          <t>Bloqueante</t>
        </is>
      </c>
      <c r="K72" s="14" t="inlineStr">
        <is>
          <t>Firmware congelado, o CPU sin inicializar tras una sustitución</t>
        </is>
      </c>
      <c r="L72" s="15" t="inlineStr">
        <is>
          <t>7.3.4 ; 7.3.3 ; 7.2.1</t>
        </is>
      </c>
      <c r="M72" s="14" t="inlineStr">
        <is>
          <t>Verificar SW1 en NORM; si sigue sin destellar, inicializar la CPU y ejecutar el memory scan</t>
        </is>
      </c>
      <c r="N72" s="16" t="inlineStr">
        <is>
          <t>El procesador principal del analizador no muestra actividad: el firmware se encuentra detenido.</t>
        </is>
      </c>
      <c r="O72" s="10" t="n"/>
      <c r="P72" s="10" t="n"/>
      <c r="Q72" s="10" t="inlineStr">
        <is>
          <t>Sí</t>
        </is>
      </c>
      <c r="R72" s="10" t="inlineStr">
        <is>
          <t>Sí</t>
        </is>
      </c>
      <c r="S72" s="11" t="inlineStr"/>
      <c r="T72" s="11" t="inlineStr">
        <is>
          <t>GZ0000117746B SM E APXX-370 (Service Manual)</t>
        </is>
      </c>
      <c r="U72" s="17" t="inlineStr">
        <is>
          <t>Pendiente</t>
        </is>
      </c>
      <c r="V72" s="17" t="n"/>
      <c r="W72" s="10">
        <f>IF($G72&lt;&gt;"Numérico","",IF($V72="","Sin dato",IF(AND(OR(NOT(ISNUMBER($O72)),$V72&gt;=$O72),OR(NOT(ISNUMBER($P72)),$V72&lt;=$P72)),"Dentro de rango","Fuera de rango")))</f>
        <v/>
      </c>
      <c r="X72" s="17" t="n"/>
      <c r="Y72" s="18" t="n"/>
      <c r="Z72" s="16">
        <f>IF(OR($U72="",$U72="Conforme",$U72="No aplica",$U72="Pendiente"),"",$N72&amp;IF($W72="Fuera de rango"," Valor medido: "&amp;TEXT($V72,"0.####")&amp;IF($H72="",""," "&amp;$H72)&amp;IF(AND(ISNUMBER($O72),$V72&lt;$O72),", por debajo del límite inferior de "&amp;TEXT($O72,"0.####")&amp;IF($H72="",""," "&amp;$H72),"")&amp;IF(AND(ISNUMBER($P72),$V72&gt;$P72),", por encima del límite superior de "&amp;TEXT($P72,"0.####")&amp;IF($H72="",""," "&amp;$H72),"")&amp;".","")&amp;IF($Y72="",""," "&amp;$Y72&amp;IF(RIGHT($Y72,1)=".","","."))&amp;" Acción recomendada: "&amp;$M72&amp;IF(RIGHT($M72,1)=".","",".")&amp;IF($J72="Bloqueante"," El equipo no se libera hasta resolver este hallazgo.",IF($J72="Cobrable"," Se incluye en la cotización de repuestos y consumibles."," Se deja registrado como observación.")))</f>
        <v/>
      </c>
    </row>
    <row r="73" ht="48" customHeight="1">
      <c r="A73" s="10" t="inlineStr">
        <is>
          <t>7.2.1</t>
        </is>
      </c>
      <c r="B73" s="10" t="inlineStr">
        <is>
          <t>7. Electrónica y control</t>
        </is>
      </c>
      <c r="C73" s="10" t="inlineStr">
        <is>
          <t>7.2 Respaldo de reloj y memoria</t>
        </is>
      </c>
      <c r="D73" s="11" t="inlineStr">
        <is>
          <t>Voltaje de la batería de respaldo de SRAM y reloj</t>
        </is>
      </c>
      <c r="E73" s="11" t="inlineStr">
        <is>
          <t>Voltaje de la pila botón de litio CR2032 instalada en la tarjeta CPU</t>
        </is>
      </c>
      <c r="F73" s="12" t="inlineStr">
        <is>
          <t>Con el equipo apagado, extraer la pila del portapilas de la CPU y medir su tensión en vacío con multímetro. Anotar el valor y reinstalarla o reemplazarla según corresponda.</t>
        </is>
      </c>
      <c r="G73" s="10" t="inlineStr">
        <is>
          <t>Numérico</t>
        </is>
      </c>
      <c r="H73" s="10" t="inlineStr">
        <is>
          <t>V</t>
        </is>
      </c>
      <c r="I73" s="11" t="inlineStr">
        <is>
          <t>Debe mantener los parámetros de configuración y el calendario al apagar el equipo (vida aprox. 3 años)</t>
        </is>
      </c>
      <c r="J73" s="13" t="inlineStr">
        <is>
          <t>Cobrable</t>
        </is>
      </c>
      <c r="K73" s="14" t="inlineStr">
        <is>
          <t>Pila al final de su vida útil (unos 3 años de servicio)</t>
        </is>
      </c>
      <c r="L73" s="15" t="inlineStr">
        <is>
          <t>1.2.1</t>
        </is>
      </c>
      <c r="M73" s="14" t="inlineStr">
        <is>
          <t>Reemplazar la CR2032 y reprogramar fecha, hora y secuencia AIC</t>
        </is>
      </c>
      <c r="N73" s="16" t="inlineStr">
        <is>
          <t>La batería de respaldo del reloj está agotada: el analizador pierde fecha, hora y configuración al desconectarse.</t>
        </is>
      </c>
      <c r="O73" s="10" t="n">
        <v>2.5</v>
      </c>
      <c r="P73" s="10" t="n">
        <v>3.3</v>
      </c>
      <c r="Q73" s="10" t="inlineStr">
        <is>
          <t>Sí</t>
        </is>
      </c>
      <c r="R73" s="10" t="inlineStr">
        <is>
          <t>No</t>
        </is>
      </c>
      <c r="S73" s="11" t="inlineStr">
        <is>
          <t>Batería CR2032 para Horiba AP Series (3200043671)</t>
        </is>
      </c>
      <c r="T73" s="11" t="inlineStr">
        <is>
          <t>P-ST-030-MAN OPER APSA 370 V2</t>
        </is>
      </c>
      <c r="U73" s="17" t="inlineStr">
        <is>
          <t>Pendiente</t>
        </is>
      </c>
      <c r="V73" s="17" t="n"/>
      <c r="W73" s="10">
        <f>IF($G73&lt;&gt;"Numérico","",IF($V73="","Sin dato",IF(AND(OR(NOT(ISNUMBER($O73)),$V73&gt;=$O73),OR(NOT(ISNUMBER($P73)),$V73&lt;=$P73)),"Dentro de rango","Fuera de rango")))</f>
        <v/>
      </c>
      <c r="X73" s="17" t="n"/>
      <c r="Y73" s="18" t="n"/>
      <c r="Z73" s="16">
        <f>IF(OR($U73="",$U73="Conforme",$U73="No aplica",$U73="Pendiente"),"",$N73&amp;IF($W73="Fuera de rango"," Valor medido: "&amp;TEXT($V73,"0.####")&amp;IF($H73="",""," "&amp;$H73)&amp;IF(AND(ISNUMBER($O73),$V73&lt;$O73),", por debajo del límite inferior de "&amp;TEXT($O73,"0.####")&amp;IF($H73="",""," "&amp;$H73),"")&amp;IF(AND(ISNUMBER($P73),$V73&gt;$P73),", por encima del límite superior de "&amp;TEXT($P73,"0.####")&amp;IF($H73="",""," "&amp;$H73),"")&amp;".","")&amp;IF($Y73="",""," "&amp;$Y73&amp;IF(RIGHT($Y73,1)=".","","."))&amp;" Acción recomendada: "&amp;$M73&amp;IF(RIGHT($M73,1)=".","",".")&amp;IF($J73="Bloqueante"," El equipo no se libera hasta resolver este hallazgo.",IF($J73="Cobrable"," Se incluye en la cotización de repuestos y consumibles."," Se deja registrado como observación.")))</f>
        <v/>
      </c>
    </row>
    <row r="74" ht="48" customHeight="1">
      <c r="A74" s="10" t="inlineStr">
        <is>
          <t>7.3.1</t>
        </is>
      </c>
      <c r="B74" s="10" t="inlineStr">
        <is>
          <t>7. Electrónica y control</t>
        </is>
      </c>
      <c r="C74" s="10" t="inlineStr">
        <is>
          <t>7.3 Configuración de hardware</t>
        </is>
      </c>
      <c r="D74" s="11" t="inlineStr">
        <is>
          <t>DIP switch SW2 de AP-ADC-05 (modelo)</t>
        </is>
      </c>
      <c r="E74" s="11" t="inlineStr">
        <is>
          <t>Posición de los microinterruptores BIT0 a BIT3 que identifican el modelo APSA-370</t>
        </is>
      </c>
      <c r="F74" s="12" t="inlineStr">
        <is>
          <t>Con el equipo apagado, ubicar el DIP switch SW2 en la tarjeta AP-ADC-05 y leer la posición de los bits 0 a 3. Fotografiar la configuración antes de modificar nada.</t>
        </is>
      </c>
      <c r="G74" s="10" t="inlineStr">
        <is>
          <t>OK / No OK</t>
        </is>
      </c>
      <c r="H74" s="10" t="inlineStr"/>
      <c r="I74" s="11" t="inlineStr">
        <is>
          <t>Para APSA-370 estándar: BIT3=OFF, BIT2=ON, BIT1=OFF, BIT0=OFF (código 0100)</t>
        </is>
      </c>
      <c r="J74" s="13" t="inlineStr">
        <is>
          <t>Bloqueante</t>
        </is>
      </c>
      <c r="K74" s="14" t="inlineStr">
        <is>
          <t>Configuración de modelo alterada tras cambiar la tarjeta</t>
        </is>
      </c>
      <c r="L74" s="15" t="inlineStr">
        <is>
          <t>7.1.5 ; 3.1.2</t>
        </is>
      </c>
      <c r="M74" s="14" t="inlineStr">
        <is>
          <t>Restituir el código de modelo del APSA-370 y verificar que las lecturas vuelvan a ser coherentes</t>
        </is>
      </c>
      <c r="N74" s="16" t="inlineStr">
        <is>
          <t>La configuración de la tarjeta de conversión analógica no corresponde a este modelo de analizador.</t>
        </is>
      </c>
      <c r="O74" s="10" t="n"/>
      <c r="P74" s="10" t="n"/>
      <c r="Q74" s="10" t="inlineStr">
        <is>
          <t>Sí</t>
        </is>
      </c>
      <c r="R74" s="10" t="inlineStr">
        <is>
          <t>Sí</t>
        </is>
      </c>
      <c r="S74" s="11" t="inlineStr"/>
      <c r="T74" s="11" t="inlineStr">
        <is>
          <t>GZ0000117746B SM E APXX-370 (Service Manual)</t>
        </is>
      </c>
      <c r="U74" s="17" t="inlineStr">
        <is>
          <t>Pendiente</t>
        </is>
      </c>
      <c r="V74" s="17" t="n"/>
      <c r="W74" s="10">
        <f>IF($G74&lt;&gt;"Numérico","",IF($V74="","Sin dato",IF(AND(OR(NOT(ISNUMBER($O74)),$V74&gt;=$O74),OR(NOT(ISNUMBER($P74)),$V74&lt;=$P74)),"Dentro de rango","Fuera de rango")))</f>
        <v/>
      </c>
      <c r="X74" s="17" t="n"/>
      <c r="Y74" s="18" t="n"/>
      <c r="Z74" s="16">
        <f>IF(OR($U74="",$U74="Conforme",$U74="No aplica",$U74="Pendiente"),"",$N74&amp;IF($W74="Fuera de rango"," Valor medido: "&amp;TEXT($V74,"0.####")&amp;IF($H74="",""," "&amp;$H74)&amp;IF(AND(ISNUMBER($O74),$V74&lt;$O74),", por debajo del límite inferior de "&amp;TEXT($O74,"0.####")&amp;IF($H74="",""," "&amp;$H74),"")&amp;IF(AND(ISNUMBER($P74),$V74&gt;$P74),", por encima del límite superior de "&amp;TEXT($P74,"0.####")&amp;IF($H74="",""," "&amp;$H74),"")&amp;".","")&amp;IF($Y74="",""," "&amp;$Y74&amp;IF(RIGHT($Y74,1)=".","","."))&amp;" Acción recomendada: "&amp;$M74&amp;IF(RIGHT($M74,1)=".","",".")&amp;IF($J74="Bloqueante"," El equipo no se libera hasta resolver este hallazgo.",IF($J74="Cobrable"," Se incluye en la cotización de repuestos y consumibles."," Se deja registrado como observación.")))</f>
        <v/>
      </c>
    </row>
    <row r="75" ht="48" customHeight="1">
      <c r="A75" s="10" t="inlineStr">
        <is>
          <t>7.3.2</t>
        </is>
      </c>
      <c r="B75" s="10" t="inlineStr">
        <is>
          <t>7. Electrónica y control</t>
        </is>
      </c>
      <c r="C75" s="10" t="inlineStr">
        <is>
          <t>7.3 Configuración de hardware</t>
        </is>
      </c>
      <c r="D75" s="11" t="inlineStr">
        <is>
          <t>DIP switch SW2 de AP-ADC-05 (especificación internacional)</t>
        </is>
      </c>
      <c r="E75" s="11" t="inlineStr">
        <is>
          <t>Posición del microinterruptor BIT4 para mercados fuera de Japón</t>
        </is>
      </c>
      <c r="F75" s="12" t="inlineStr">
        <is>
          <t>Con el equipo apagado, leer la posición del bit 4 del DIP switch SW2 en la tarjeta AP-ADC-05 y verificar que corresponda a la especificación internacional.</t>
        </is>
      </c>
      <c r="G75" s="10" t="inlineStr">
        <is>
          <t>OK / No OK</t>
        </is>
      </c>
      <c r="H75" s="10" t="inlineStr"/>
      <c r="I75" s="11" t="inlineStr">
        <is>
          <t>El BIT4 debe estar en ON para configurar la especificación internacional (Overseas spec)</t>
        </is>
      </c>
      <c r="J75" s="13" t="inlineStr">
        <is>
          <t>Alerta</t>
        </is>
      </c>
      <c r="K75" s="14" t="inlineStr">
        <is>
          <t>Bit de especificación en posición japonesa</t>
        </is>
      </c>
      <c r="L75" s="15" t="inlineStr">
        <is>
          <t>Nodo terminal — actuar directamente</t>
        </is>
      </c>
      <c r="M75" s="14" t="inlineStr">
        <is>
          <t>Poner el BIT4 en ON y verificar unidades y formatos en pantalla</t>
        </is>
      </c>
      <c r="N75" s="16" t="inlineStr">
        <is>
          <t>La tarjeta de conversión analógica está configurada con la especificación de mercado incorrecta.</t>
        </is>
      </c>
      <c r="O75" s="10" t="n"/>
      <c r="P75" s="10" t="n"/>
      <c r="Q75" s="10" t="inlineStr">
        <is>
          <t>Sí</t>
        </is>
      </c>
      <c r="R75" s="10" t="inlineStr">
        <is>
          <t>Sí</t>
        </is>
      </c>
      <c r="S75" s="11" t="inlineStr"/>
      <c r="T75" s="11" t="inlineStr">
        <is>
          <t>GZ0000117746B SM E APXX-370 (Service Manual)</t>
        </is>
      </c>
      <c r="U75" s="17" t="inlineStr">
        <is>
          <t>Pendiente</t>
        </is>
      </c>
      <c r="V75" s="17" t="n"/>
      <c r="W75" s="10">
        <f>IF($G75&lt;&gt;"Numérico","",IF($V75="","Sin dato",IF(AND(OR(NOT(ISNUMBER($O75)),$V75&gt;=$O75),OR(NOT(ISNUMBER($P75)),$V75&lt;=$P75)),"Dentro de rango","Fuera de rango")))</f>
        <v/>
      </c>
      <c r="X75" s="17" t="n"/>
      <c r="Y75" s="18" t="n"/>
      <c r="Z75" s="16">
        <f>IF(OR($U75="",$U75="Conforme",$U75="No aplica",$U75="Pendiente"),"",$N75&amp;IF($W75="Fuera de rango"," Valor medido: "&amp;TEXT($V75,"0.####")&amp;IF($H75="",""," "&amp;$H75)&amp;IF(AND(ISNUMBER($O75),$V75&lt;$O75),", por debajo del límite inferior de "&amp;TEXT($O75,"0.####")&amp;IF($H75="",""," "&amp;$H75),"")&amp;IF(AND(ISNUMBER($P75),$V75&gt;$P75),", por encima del límite superior de "&amp;TEXT($P75,"0.####")&amp;IF($H75="",""," "&amp;$H75),"")&amp;".","")&amp;IF($Y75="",""," "&amp;$Y75&amp;IF(RIGHT($Y75,1)=".","","."))&amp;" Acción recomendada: "&amp;$M75&amp;IF(RIGHT($M75,1)=".","",".")&amp;IF($J75="Bloqueante"," El equipo no se libera hasta resolver este hallazgo.",IF($J75="Cobrable"," Se incluye en la cotización de repuestos y consumibles."," Se deja registrado como observación.")))</f>
        <v/>
      </c>
    </row>
    <row r="76" ht="48" customHeight="1">
      <c r="A76" s="10" t="inlineStr">
        <is>
          <t>7.3.3</t>
        </is>
      </c>
      <c r="B76" s="10" t="inlineStr">
        <is>
          <t>7. Electrónica y control</t>
        </is>
      </c>
      <c r="C76" s="10" t="inlineStr">
        <is>
          <t>7.3 Configuración de hardware</t>
        </is>
      </c>
      <c r="D76" s="11" t="inlineStr">
        <is>
          <t>DIP switch SW5 en CPU para comunicaciones RS-232C</t>
        </is>
      </c>
      <c r="E76" s="11" t="inlineStr">
        <is>
          <t>Posición de los interruptores del bloque SW5 en la CPU para habilitar RS-232C con AP-SIO-04</t>
        </is>
      </c>
      <c r="F76" s="12" t="inlineStr">
        <is>
          <t>Con el equipo apagado, ubicar el bloque SW5 en la tarjeta CPU y leer la posición de los ocho interruptores. Fotografiar la configuración antes de modificar nada.</t>
        </is>
      </c>
      <c r="G76" s="10" t="inlineStr">
        <is>
          <t>OK / No OK</t>
        </is>
      </c>
      <c r="H76" s="10" t="inlineStr"/>
      <c r="I76" s="11" t="inlineStr">
        <is>
          <t>Interruptores 1 a 5 de SW5 en ON, e interruptores 6, 7 y 8 en OFF</t>
        </is>
      </c>
      <c r="J76" s="13" t="inlineStr">
        <is>
          <t>Alerta</t>
        </is>
      </c>
      <c r="K76" s="14" t="inlineStr">
        <is>
          <t>Configuración de baudios o de canal serial alterada</t>
        </is>
      </c>
      <c r="L76" s="15" t="inlineStr">
        <is>
          <t>7.6.1 ; 7.1.9</t>
        </is>
      </c>
      <c r="M76" s="14" t="inlineStr">
        <is>
          <t>Restituir la configuración de SW5 y verificar el enlace a 19200 bps</t>
        </is>
      </c>
      <c r="N76" s="16" t="inlineStr">
        <is>
          <t>La configuración de comunicaciones de la tarjeta principal no corresponde a la requerida para la descarga de datos.</t>
        </is>
      </c>
      <c r="O76" s="10" t="n"/>
      <c r="P76" s="10" t="n"/>
      <c r="Q76" s="10" t="inlineStr">
        <is>
          <t>Sí</t>
        </is>
      </c>
      <c r="R76" s="10" t="inlineStr">
        <is>
          <t>Sí</t>
        </is>
      </c>
      <c r="S76" s="11" t="inlineStr"/>
      <c r="T76" s="11" t="inlineStr">
        <is>
          <t>Procedimiento Integración Tarjeta RS232</t>
        </is>
      </c>
      <c r="U76" s="17" t="inlineStr">
        <is>
          <t>Pendiente</t>
        </is>
      </c>
      <c r="V76" s="17" t="n"/>
      <c r="W76" s="10">
        <f>IF($G76&lt;&gt;"Numérico","",IF($V76="","Sin dato",IF(AND(OR(NOT(ISNUMBER($O76)),$V76&gt;=$O76),OR(NOT(ISNUMBER($P76)),$V76&lt;=$P76)),"Dentro de rango","Fuera de rango")))</f>
        <v/>
      </c>
      <c r="X76" s="17" t="n"/>
      <c r="Y76" s="18" t="n"/>
      <c r="Z76" s="16">
        <f>IF(OR($U76="",$U76="Conforme",$U76="No aplica",$U76="Pendiente"),"",$N76&amp;IF($W76="Fuera de rango"," Valor medido: "&amp;TEXT($V76,"0.####")&amp;IF($H76="",""," "&amp;$H76)&amp;IF(AND(ISNUMBER($O76),$V76&lt;$O76),", por debajo del límite inferior de "&amp;TEXT($O76,"0.####")&amp;IF($H76="",""," "&amp;$H76),"")&amp;IF(AND(ISNUMBER($P76),$V76&gt;$P76),", por encima del límite superior de "&amp;TEXT($P76,"0.####")&amp;IF($H76="",""," "&amp;$H76),"")&amp;".","")&amp;IF($Y76="",""," "&amp;$Y76&amp;IF(RIGHT($Y76,1)=".","","."))&amp;" Acción recomendada: "&amp;$M76&amp;IF(RIGHT($M76,1)=".","",".")&amp;IF($J76="Bloqueante"," El equipo no se libera hasta resolver este hallazgo.",IF($J76="Cobrable"," Se incluye en la cotización de repuestos y consumibles."," Se deja registrado como observación.")))</f>
        <v/>
      </c>
    </row>
    <row r="77" ht="36" customHeight="1">
      <c r="A77" s="10" t="inlineStr">
        <is>
          <t>7.3.4</t>
        </is>
      </c>
      <c r="B77" s="10" t="inlineStr">
        <is>
          <t>7. Electrónica y control</t>
        </is>
      </c>
      <c r="C77" s="10" t="inlineStr">
        <is>
          <t>7.3 Configuración de hardware</t>
        </is>
      </c>
      <c r="D77" s="11" t="inlineStr">
        <is>
          <t>Interruptor SW1 en la tarjeta CPU</t>
        </is>
      </c>
      <c r="E77" s="11" t="inlineStr">
        <is>
          <t>Posición del switch principal de inicialización u operación en la CPU</t>
        </is>
      </c>
      <c r="F77" s="12" t="inlineStr">
        <is>
          <t>Con el equipo apagado, ubicar el switch SW1 en la tarjeta CPU y verificar que esté en la posición NORM.</t>
        </is>
      </c>
      <c r="G77" s="10" t="inlineStr">
        <is>
          <t>OK / No OK</t>
        </is>
      </c>
      <c r="H77" s="10" t="inlineStr"/>
      <c r="I77" s="11" t="inlineStr">
        <is>
          <t>Debe estar en NORM para operación normal; INIT solo se usa para reset de CPU</t>
        </is>
      </c>
      <c r="J77" s="13" t="inlineStr">
        <is>
          <t>Alerta</t>
        </is>
      </c>
      <c r="K77" s="14" t="inlineStr">
        <is>
          <t>Switch dejado en INIT tras una intervención de servicio</t>
        </is>
      </c>
      <c r="L77" s="15" t="inlineStr">
        <is>
          <t>7.1.9</t>
        </is>
      </c>
      <c r="M77" s="14" t="inlineStr">
        <is>
          <t>Devolver SW1 a NORM y reiniciar el equipo</t>
        </is>
      </c>
      <c r="N77" s="16" t="inlineStr">
        <is>
          <t>El selector de arranque de la tarjeta principal quedó en posición de inicialización y no en operación normal.</t>
        </is>
      </c>
      <c r="O77" s="10" t="n"/>
      <c r="P77" s="10" t="n"/>
      <c r="Q77" s="10" t="inlineStr">
        <is>
          <t>Sí</t>
        </is>
      </c>
      <c r="R77" s="10" t="inlineStr">
        <is>
          <t>Sí</t>
        </is>
      </c>
      <c r="S77" s="11" t="inlineStr"/>
      <c r="T77" s="11" t="inlineStr">
        <is>
          <t>Procedimiento Integración Tarjeta RS232</t>
        </is>
      </c>
      <c r="U77" s="17" t="inlineStr">
        <is>
          <t>Pendiente</t>
        </is>
      </c>
      <c r="V77" s="17" t="n"/>
      <c r="W77" s="10">
        <f>IF($G77&lt;&gt;"Numérico","",IF($V77="","Sin dato",IF(AND(OR(NOT(ISNUMBER($O77)),$V77&gt;=$O77),OR(NOT(ISNUMBER($P77)),$V77&lt;=$P77)),"Dentro de rango","Fuera de rango")))</f>
        <v/>
      </c>
      <c r="X77" s="17" t="n"/>
      <c r="Y77" s="18" t="n"/>
      <c r="Z77" s="16">
        <f>IF(OR($U77="",$U77="Conforme",$U77="No aplica",$U77="Pendiente"),"",$N77&amp;IF($W77="Fuera de rango"," Valor medido: "&amp;TEXT($V77,"0.####")&amp;IF($H77="",""," "&amp;$H77)&amp;IF(AND(ISNUMBER($O77),$V77&lt;$O77),", por debajo del límite inferior de "&amp;TEXT($O77,"0.####")&amp;IF($H77="",""," "&amp;$H77),"")&amp;IF(AND(ISNUMBER($P77),$V77&gt;$P77),", por encima del límite superior de "&amp;TEXT($P77,"0.####")&amp;IF($H77="",""," "&amp;$H77),"")&amp;".","")&amp;IF($Y77="",""," "&amp;$Y77&amp;IF(RIGHT($Y77,1)=".","","."))&amp;" Acción recomendada: "&amp;$M77&amp;IF(RIGHT($M77,1)=".","",".")&amp;IF($J77="Bloqueante"," El equipo no se libera hasta resolver este hallazgo.",IF($J77="Cobrable"," Se incluye en la cotización de repuestos y consumibles."," Se deja registrado como observación.")))</f>
        <v/>
      </c>
    </row>
    <row r="78" ht="48" customHeight="1">
      <c r="A78" s="10" t="inlineStr">
        <is>
          <t>7.4.1</t>
        </is>
      </c>
      <c r="B78" s="10" t="inlineStr">
        <is>
          <t>7. Electrónica y control</t>
        </is>
      </c>
      <c r="C78" s="10" t="inlineStr">
        <is>
          <t>7.4 Interfaz de usuario</t>
        </is>
      </c>
      <c r="D78" s="11" t="inlineStr">
        <is>
          <t>Respuesta táctil de la pantalla LCD (Touch Panel)</t>
        </is>
      </c>
      <c r="E78" s="11" t="inlineStr">
        <is>
          <t>Precisión y respuesta al tacto del recubrimiento resistivo del panel táctil frontal</t>
        </is>
      </c>
      <c r="F78" s="12" t="inlineStr">
        <is>
          <t>Recorrer los menús presionando botones en las cuatro esquinas y en el centro de la pantalla, verificando que la selección responda en el punto exacto donde se presiona.</t>
        </is>
      </c>
      <c r="G78" s="10" t="inlineStr">
        <is>
          <t>OK / No OK</t>
        </is>
      </c>
      <c r="H78" s="10" t="inlineStr"/>
      <c r="I78" s="11" t="inlineStr">
        <is>
          <t>La navegación táctil debe ser fluida, sin descalibraciones al presionar los botones lógicos</t>
        </is>
      </c>
      <c r="J78" s="13" t="inlineStr">
        <is>
          <t>Cobrable</t>
        </is>
      </c>
      <c r="K78" s="14" t="inlineStr">
        <is>
          <t>Delaminación del panel por humedad, o desgaste por objetos punzantes</t>
        </is>
      </c>
      <c r="L78" s="15" t="inlineStr">
        <is>
          <t>10.1.2 ; 10.3.1</t>
        </is>
      </c>
      <c r="M78" s="14" t="inlineStr">
        <is>
          <t>Recalibrar el panel; si no responde, reemplazarlo y controlar la humedad de la cabina</t>
        </is>
      </c>
      <c r="N78" s="16" t="inlineStr">
        <is>
          <t>El panel táctil no responde con precisión al tacto o presenta zonas inoperantes.</t>
        </is>
      </c>
      <c r="O78" s="10" t="n"/>
      <c r="P78" s="10" t="n"/>
      <c r="Q78" s="10" t="inlineStr">
        <is>
          <t>Sí</t>
        </is>
      </c>
      <c r="R78" s="10" t="inlineStr">
        <is>
          <t>Sí</t>
        </is>
      </c>
      <c r="S78" s="11" t="inlineStr">
        <is>
          <t>LCD Unit (Apen LCD + Touch Panel) (3014035613) · Touch Panel // TP3214S1F0 (AST-057 With Tape) (3010040585)</t>
        </is>
      </c>
      <c r="T78" s="11" t="inlineStr">
        <is>
          <t>MT_RW2P5JMH_APSA370_240805</t>
        </is>
      </c>
      <c r="U78" s="17" t="inlineStr">
        <is>
          <t>Pendiente</t>
        </is>
      </c>
      <c r="V78" s="17" t="n"/>
      <c r="W78" s="10">
        <f>IF($G78&lt;&gt;"Numérico","",IF($V78="","Sin dato",IF(AND(OR(NOT(ISNUMBER($O78)),$V78&gt;=$O78),OR(NOT(ISNUMBER($P78)),$V78&lt;=$P78)),"Dentro de rango","Fuera de rango")))</f>
        <v/>
      </c>
      <c r="X78" s="17" t="n"/>
      <c r="Y78" s="18" t="n"/>
      <c r="Z78" s="16">
        <f>IF(OR($U78="",$U78="Conforme",$U78="No aplica",$U78="Pendiente"),"",$N78&amp;IF($W78="Fuera de rango"," Valor medido: "&amp;TEXT($V78,"0.####")&amp;IF($H78="",""," "&amp;$H78)&amp;IF(AND(ISNUMBER($O78),$V78&lt;$O78),", por debajo del límite inferior de "&amp;TEXT($O78,"0.####")&amp;IF($H78="",""," "&amp;$H78),"")&amp;IF(AND(ISNUMBER($P78),$V78&gt;$P78),", por encima del límite superior de "&amp;TEXT($P78,"0.####")&amp;IF($H78="",""," "&amp;$H78),"")&amp;".","")&amp;IF($Y78="",""," "&amp;$Y78&amp;IF(RIGHT($Y78,1)=".","","."))&amp;" Acción recomendada: "&amp;$M78&amp;IF(RIGHT($M78,1)=".","",".")&amp;IF($J78="Bloqueante"," El equipo no se libera hasta resolver este hallazgo.",IF($J78="Cobrable"," Se incluye en la cotización de repuestos y consumibles."," Se deja registrado como observación.")))</f>
        <v/>
      </c>
    </row>
    <row r="79" ht="48" customHeight="1">
      <c r="A79" s="10" t="inlineStr">
        <is>
          <t>7.5.1</t>
        </is>
      </c>
      <c r="B79" s="10" t="inlineStr">
        <is>
          <t>7. Electrónica y control</t>
        </is>
      </c>
      <c r="C79" s="10" t="inlineStr">
        <is>
          <t>7.5 Salidas analógicas</t>
        </is>
      </c>
      <c r="D79" s="11" t="inlineStr">
        <is>
          <t>Ajuste de cero analógico (DA ADJUST / ZERO)</t>
        </is>
      </c>
      <c r="E79" s="11" t="inlineStr">
        <is>
          <t>Voltaje en la salida analógica CH-1 configurada al 0 % de su escala</t>
        </is>
      </c>
      <c r="F79" s="12" t="inlineStr">
        <is>
          <t>Poner la salida analógica en 0 % desde MENU / MAINTENANCE / DA ADJUST y medir con multímetro en las terminales traseras del canal CH-1.</t>
        </is>
      </c>
      <c r="G79" s="10" t="inlineStr">
        <is>
          <t>Numérico</t>
        </is>
      </c>
      <c r="H79" s="10" t="inlineStr">
        <is>
          <t>V</t>
        </is>
      </c>
      <c r="I79" s="11" t="inlineStr">
        <is>
          <t>Ajuste por software para corregir desviaciones del cero eléctrico de la salida de 0 a 1 V</t>
        </is>
      </c>
      <c r="J79" s="13" t="inlineStr">
        <is>
          <t>Bloqueante</t>
        </is>
      </c>
      <c r="K79" s="14" t="inlineStr">
        <is>
          <t>Salida analógica descalibrada: el datalogger recibe un valor sesgado</t>
        </is>
      </c>
      <c r="L79" s="15" t="inlineStr">
        <is>
          <t>7.5.3 ; 7.5.2</t>
        </is>
      </c>
      <c r="M79" s="14" t="inlineStr">
        <is>
          <t>Reajustar el cero de la salida y verificar la lectura en el datalogger</t>
        </is>
      </c>
      <c r="N79" s="16" t="inlineStr">
        <is>
          <t>La salida analógica del analizador está descalibrada en su punto cero: el dato que recibe la estación está sesgado.</t>
        </is>
      </c>
      <c r="O79" s="10" t="n">
        <v>0</v>
      </c>
      <c r="P79" s="10" t="n">
        <v>0.1</v>
      </c>
      <c r="Q79" s="10" t="inlineStr">
        <is>
          <t>Sí</t>
        </is>
      </c>
      <c r="R79" s="10" t="inlineStr">
        <is>
          <t>No</t>
        </is>
      </c>
      <c r="S79" s="11" t="inlineStr"/>
      <c r="T79" s="11" t="inlineStr">
        <is>
          <t>P-ST-030-MAN OPER APSA 370 V2</t>
        </is>
      </c>
      <c r="U79" s="17" t="inlineStr">
        <is>
          <t>Pendiente</t>
        </is>
      </c>
      <c r="V79" s="17" t="n"/>
      <c r="W79" s="10">
        <f>IF($G79&lt;&gt;"Numérico","",IF($V79="","Sin dato",IF(AND(OR(NOT(ISNUMBER($O79)),$V79&gt;=$O79),OR(NOT(ISNUMBER($P79)),$V79&lt;=$P79)),"Dentro de rango","Fuera de rango")))</f>
        <v/>
      </c>
      <c r="X79" s="17" t="n"/>
      <c r="Y79" s="18" t="n"/>
      <c r="Z79" s="16">
        <f>IF(OR($U79="",$U79="Conforme",$U79="No aplica",$U79="Pendiente"),"",$N79&amp;IF($W79="Fuera de rango"," Valor medido: "&amp;TEXT($V79,"0.####")&amp;IF($H79="",""," "&amp;$H79)&amp;IF(AND(ISNUMBER($O79),$V79&lt;$O79),", por debajo del límite inferior de "&amp;TEXT($O79,"0.####")&amp;IF($H79="",""," "&amp;$H79),"")&amp;IF(AND(ISNUMBER($P79),$V79&gt;$P79),", por encima del límite superior de "&amp;TEXT($P79,"0.####")&amp;IF($H79="",""," "&amp;$H79),"")&amp;".","")&amp;IF($Y79="",""," "&amp;$Y79&amp;IF(RIGHT($Y79,1)=".","","."))&amp;" Acción recomendada: "&amp;$M79&amp;IF(RIGHT($M79,1)=".","",".")&amp;IF($J79="Bloqueante"," El equipo no se libera hasta resolver este hallazgo.",IF($J79="Cobrable"," Se incluye en la cotización de repuestos y consumibles."," Se deja registrado como observación.")))</f>
        <v/>
      </c>
    </row>
    <row r="80" ht="48" customHeight="1">
      <c r="A80" s="10" t="inlineStr">
        <is>
          <t>7.5.2</t>
        </is>
      </c>
      <c r="B80" s="10" t="inlineStr">
        <is>
          <t>7. Electrónica y control</t>
        </is>
      </c>
      <c r="C80" s="10" t="inlineStr">
        <is>
          <t>7.5 Salidas analógicas</t>
        </is>
      </c>
      <c r="D80" s="11" t="inlineStr">
        <is>
          <t>Ajuste de span analógico (DA ADJUST / SPAN)</t>
        </is>
      </c>
      <c r="E80" s="11" t="inlineStr">
        <is>
          <t>Voltaje en la salida analógica CH-1 configurada al 100 % de su escala</t>
        </is>
      </c>
      <c r="F80" s="12" t="inlineStr">
        <is>
          <t>Poner la salida analógica en 100 % desde MENU / MAINTENANCE / DA ADJUST y medir con multímetro en las terminales traseras del canal CH-1.</t>
        </is>
      </c>
      <c r="G80" s="10" t="inlineStr">
        <is>
          <t>Numérico</t>
        </is>
      </c>
      <c r="H80" s="10" t="inlineStr">
        <is>
          <t>V</t>
        </is>
      </c>
      <c r="I80" s="11" t="inlineStr">
        <is>
          <t>Tensión medida en las terminales traseras al forzar la salida al 100 % del fondo de escala</t>
        </is>
      </c>
      <c r="J80" s="13" t="inlineStr">
        <is>
          <t>Bloqueante</t>
        </is>
      </c>
      <c r="K80" s="14" t="inlineStr">
        <is>
          <t>Salida analógica descalibrada en fondo de escala</t>
        </is>
      </c>
      <c r="L80" s="15" t="inlineStr">
        <is>
          <t>7.5.1 ; 7.5.3</t>
        </is>
      </c>
      <c r="M80" s="14" t="inlineStr">
        <is>
          <t>Reajustar el span de la salida y verificar la lectura en el datalogger</t>
        </is>
      </c>
      <c r="N80" s="16" t="inlineStr">
        <is>
          <t>La salida analógica del analizador está descalibrada en fondo de escala: el dato que recibe la estación está sesgado.</t>
        </is>
      </c>
      <c r="O80" s="10" t="n">
        <v>0.99</v>
      </c>
      <c r="P80" s="10" t="n">
        <v>1.01</v>
      </c>
      <c r="Q80" s="10" t="inlineStr">
        <is>
          <t>Sí</t>
        </is>
      </c>
      <c r="R80" s="10" t="inlineStr">
        <is>
          <t>No</t>
        </is>
      </c>
      <c r="S80" s="11" t="inlineStr"/>
      <c r="T80" s="11" t="inlineStr">
        <is>
          <t>P-ST-030-MAN OPER APSA 370 V2</t>
        </is>
      </c>
      <c r="U80" s="17" t="inlineStr">
        <is>
          <t>Pendiente</t>
        </is>
      </c>
      <c r="V80" s="17" t="n"/>
      <c r="W80" s="10">
        <f>IF($G80&lt;&gt;"Numérico","",IF($V80="","Sin dato",IF(AND(OR(NOT(ISNUMBER($O80)),$V80&gt;=$O80),OR(NOT(ISNUMBER($P80)),$V80&lt;=$P80)),"Dentro de rango","Fuera de rango")))</f>
        <v/>
      </c>
      <c r="X80" s="17" t="n"/>
      <c r="Y80" s="18" t="n"/>
      <c r="Z80" s="16">
        <f>IF(OR($U80="",$U80="Conforme",$U80="No aplica",$U80="Pendiente"),"",$N80&amp;IF($W80="Fuera de rango"," Valor medido: "&amp;TEXT($V80,"0.####")&amp;IF($H80="",""," "&amp;$H80)&amp;IF(AND(ISNUMBER($O80),$V80&lt;$O80),", por debajo del límite inferior de "&amp;TEXT($O80,"0.####")&amp;IF($H80="",""," "&amp;$H80),"")&amp;IF(AND(ISNUMBER($P80),$V80&gt;$P80),", por encima del límite superior de "&amp;TEXT($P80,"0.####")&amp;IF($H80="",""," "&amp;$H80),"")&amp;".","")&amp;IF($Y80="",""," "&amp;$Y80&amp;IF(RIGHT($Y80,1)=".","","."))&amp;" Acción recomendada: "&amp;$M80&amp;IF(RIGHT($M80,1)=".","",".")&amp;IF($J80="Bloqueante"," El equipo no se libera hasta resolver este hallazgo.",IF($J80="Cobrable"," Se incluye en la cotización de repuestos y consumibles."," Se deja registrado como observación.")))</f>
        <v/>
      </c>
    </row>
    <row r="81" ht="48" customHeight="1">
      <c r="A81" s="10" t="inlineStr">
        <is>
          <t>7.5.3</t>
        </is>
      </c>
      <c r="B81" s="10" t="inlineStr">
        <is>
          <t>7. Electrónica y control</t>
        </is>
      </c>
      <c r="C81" s="10" t="inlineStr">
        <is>
          <t>7.5 Salidas analógicas</t>
        </is>
      </c>
      <c r="D81" s="11" t="inlineStr">
        <is>
          <t>Asignación de la salida analógica CH-1</t>
        </is>
      </c>
      <c r="E81" s="11" t="inlineStr">
        <is>
          <t>Señal analógica de 0 a 1 V asignada por hardware para la concentración de SO2</t>
        </is>
      </c>
      <c r="F81" s="12" t="inlineStr">
        <is>
          <t>Consultar en MENU / SYSTEM la asignación del canal CH-1 y contrastarla con el cableado real hacia el datalogger de la estación.</t>
        </is>
      </c>
      <c r="G81" s="10" t="inlineStr">
        <is>
          <t>OK / No OK</t>
        </is>
      </c>
      <c r="H81" s="10" t="inlineStr"/>
      <c r="I81" s="11" t="inlineStr">
        <is>
          <t>Salida no aislada CH-1 configurada por defecto para transmitir el valor instantáneo de concentración</t>
        </is>
      </c>
      <c r="J81" s="13" t="inlineStr">
        <is>
          <t>Alerta</t>
        </is>
      </c>
      <c r="K81" s="14" t="inlineStr">
        <is>
          <t>Canal asignado a una variable distinta a la esperada por la estación</t>
        </is>
      </c>
      <c r="L81" s="15" t="inlineStr">
        <is>
          <t>7.5.1</t>
        </is>
      </c>
      <c r="M81" s="14" t="inlineStr">
        <is>
          <t>Corregir la asignación en el menú y confirmarla con el operador de la red</t>
        </is>
      </c>
      <c r="N81" s="16" t="inlineStr">
        <is>
          <t>El canal de salida analógica está asignado a una variable distinta a la esperada por el sistema de adquisición.</t>
        </is>
      </c>
      <c r="O81" s="10" t="n"/>
      <c r="P81" s="10" t="n"/>
      <c r="Q81" s="10" t="inlineStr">
        <is>
          <t>Sí</t>
        </is>
      </c>
      <c r="R81" s="10" t="inlineStr">
        <is>
          <t>Sí</t>
        </is>
      </c>
      <c r="S81" s="11" t="inlineStr"/>
      <c r="T81" s="11" t="inlineStr">
        <is>
          <t>P-ST-030-MAN OPER APSA 370 V2</t>
        </is>
      </c>
      <c r="U81" s="17" t="inlineStr">
        <is>
          <t>Pendiente</t>
        </is>
      </c>
      <c r="V81" s="17" t="n"/>
      <c r="W81" s="10">
        <f>IF($G81&lt;&gt;"Numérico","",IF($V81="","Sin dato",IF(AND(OR(NOT(ISNUMBER($O81)),$V81&gt;=$O81),OR(NOT(ISNUMBER($P81)),$V81&lt;=$P81)),"Dentro de rango","Fuera de rango")))</f>
        <v/>
      </c>
      <c r="X81" s="17" t="n"/>
      <c r="Y81" s="18" t="n"/>
      <c r="Z81" s="16">
        <f>IF(OR($U81="",$U81="Conforme",$U81="No aplica",$U81="Pendiente"),"",$N81&amp;IF($W81="Fuera de rango"," Valor medido: "&amp;TEXT($V81,"0.####")&amp;IF($H81="",""," "&amp;$H81)&amp;IF(AND(ISNUMBER($O81),$V81&lt;$O81),", por debajo del límite inferior de "&amp;TEXT($O81,"0.####")&amp;IF($H81="",""," "&amp;$H81),"")&amp;IF(AND(ISNUMBER($P81),$V81&gt;$P81),", por encima del límite superior de "&amp;TEXT($P81,"0.####")&amp;IF($H81="",""," "&amp;$H81),"")&amp;".","")&amp;IF($Y81="",""," "&amp;$Y81&amp;IF(RIGHT($Y81,1)=".","","."))&amp;" Acción recomendada: "&amp;$M81&amp;IF(RIGHT($M81,1)=".","",".")&amp;IF($J81="Bloqueante"," El equipo no se libera hasta resolver este hallazgo.",IF($J81="Cobrable"," Se incluye en la cotización de repuestos y consumibles."," Se deja registrado como observación.")))</f>
        <v/>
      </c>
    </row>
    <row r="82" ht="48" customHeight="1">
      <c r="A82" s="10" t="inlineStr">
        <is>
          <t>7.6.1</t>
        </is>
      </c>
      <c r="B82" s="10" t="inlineStr">
        <is>
          <t>7. Electrónica y control</t>
        </is>
      </c>
      <c r="C82" s="10" t="inlineStr">
        <is>
          <t>7.6 Comunicaciones</t>
        </is>
      </c>
      <c r="D82" s="11" t="inlineStr">
        <is>
          <t>Tarjeta posterior e interfaz serie RS-232C</t>
        </is>
      </c>
      <c r="E82" s="11" t="inlineStr">
        <is>
          <t>Integridad física del puerto serie DB-9 en la tarjeta de comunicaciones posterior AP-SIO-04</t>
        </is>
      </c>
      <c r="F82" s="12" t="inlineStr">
        <is>
          <t>Inspeccionar el conector DB9 de la tarjeta AP-SIO-04 buscando pines doblados y verificar la comunicación estableciendo enlace con el software de descarga de datos.</t>
        </is>
      </c>
      <c r="G82" s="10" t="inlineStr">
        <is>
          <t>OK / No OK</t>
        </is>
      </c>
      <c r="H82" s="10" t="inlineStr"/>
      <c r="I82" s="11" t="inlineStr">
        <is>
          <t>El puerto posterior debe permitir la conexión para el envío de tramas de datos</t>
        </is>
      </c>
      <c r="J82" s="13" t="inlineStr">
        <is>
          <t>Alerta</t>
        </is>
      </c>
      <c r="K82" s="14" t="inlineStr">
        <is>
          <t>Puerto dañado, o cable serial recto en lugar de cruzado</t>
        </is>
      </c>
      <c r="L82" s="15" t="inlineStr">
        <is>
          <t>7.3.3</t>
        </is>
      </c>
      <c r="M82" s="14" t="inlineStr">
        <is>
          <t>Usar cable cruzado y verificar la descarga de datos a 19200 bps</t>
        </is>
      </c>
      <c r="N82" s="16" t="inlineStr">
        <is>
          <t>El puerto de comunicación serial presenta daño o no permite establecer el enlace de descarga de datos.</t>
        </is>
      </c>
      <c r="O82" s="10" t="n"/>
      <c r="P82" s="10" t="n"/>
      <c r="Q82" s="10" t="inlineStr">
        <is>
          <t>Sí</t>
        </is>
      </c>
      <c r="R82" s="10" t="inlineStr">
        <is>
          <t>Sí</t>
        </is>
      </c>
      <c r="S82" s="11" t="inlineStr">
        <is>
          <t>Cable assembly RS-232C (3200216747) · RS-232C (For Horiba AP Series) (3014036951)</t>
        </is>
      </c>
      <c r="T82" s="11" t="inlineStr">
        <is>
          <t>Procedimiento Integración Tarjeta RS232</t>
        </is>
      </c>
      <c r="U82" s="17" t="inlineStr">
        <is>
          <t>Pendiente</t>
        </is>
      </c>
      <c r="V82" s="17" t="n"/>
      <c r="W82" s="10">
        <f>IF($G82&lt;&gt;"Numérico","",IF($V82="","Sin dato",IF(AND(OR(NOT(ISNUMBER($O82)),$V82&gt;=$O82),OR(NOT(ISNUMBER($P82)),$V82&lt;=$P82)),"Dentro de rango","Fuera de rango")))</f>
        <v/>
      </c>
      <c r="X82" s="17" t="n"/>
      <c r="Y82" s="18" t="n"/>
      <c r="Z82" s="16">
        <f>IF(OR($U82="",$U82="Conforme",$U82="No aplica",$U82="Pendiente"),"",$N82&amp;IF($W82="Fuera de rango"," Valor medido: "&amp;TEXT($V82,"0.####")&amp;IF($H82="",""," "&amp;$H82)&amp;IF(AND(ISNUMBER($O82),$V82&lt;$O82),", por debajo del límite inferior de "&amp;TEXT($O82,"0.####")&amp;IF($H82="",""," "&amp;$H82),"")&amp;IF(AND(ISNUMBER($P82),$V82&gt;$P82),", por encima del límite superior de "&amp;TEXT($P82,"0.####")&amp;IF($H82="",""," "&amp;$H82),"")&amp;".","")&amp;IF($Y82="",""," "&amp;$Y82&amp;IF(RIGHT($Y82,1)=".","","."))&amp;" Acción recomendada: "&amp;$M82&amp;IF(RIGHT($M82,1)=".","",".")&amp;IF($J82="Bloqueante"," El equipo no se libera hasta resolver este hallazgo.",IF($J82="Cobrable"," Se incluye en la cotización de repuestos y consumibles."," Se deja registrado como observación.")))</f>
        <v/>
      </c>
    </row>
    <row r="83" ht="48" customHeight="1">
      <c r="A83" s="10" t="inlineStr">
        <is>
          <t>7.6.2</t>
        </is>
      </c>
      <c r="B83" s="10" t="inlineStr">
        <is>
          <t>7. Electrónica y control</t>
        </is>
      </c>
      <c r="C83" s="10" t="inlineStr">
        <is>
          <t>7.6 Comunicaciones</t>
        </is>
      </c>
      <c r="D83" s="11" t="inlineStr">
        <is>
          <t>Identificación de la tarjeta CompactFlash (CF card)</t>
        </is>
      </c>
      <c r="E83" s="11" t="inlineStr">
        <is>
          <t>Estado del LED de inserción y detección de la CF card en la tarjeta CPU</t>
        </is>
      </c>
      <c r="F83" s="12" t="inlineStr">
        <is>
          <t>Con el equipo energizado, observar el LED de identificación de la CF card en la tarjeta CPU y confirmar que esté encendido con la tarjeta insertada.</t>
        </is>
      </c>
      <c r="G83" s="10" t="inlineStr">
        <is>
          <t>OK / No OK</t>
        </is>
      </c>
      <c r="H83" s="10" t="inlineStr"/>
      <c r="I83" s="11" t="inlineStr">
        <is>
          <t>Debe estar encendido al introducir y reconocer la tarjeta de almacenamiento de datos</t>
        </is>
      </c>
      <c r="J83" s="13" t="inlineStr">
        <is>
          <t>Alerta</t>
        </is>
      </c>
      <c r="K83" s="14" t="inlineStr">
        <is>
          <t>Tarjeta ausente, sin espacio, o no homologada por el fabricante</t>
        </is>
      </c>
      <c r="L83" s="15" t="inlineStr">
        <is>
          <t>7.1.9</t>
        </is>
      </c>
      <c r="M83" s="14" t="inlineStr">
        <is>
          <t>Insertar una CF homologada con espacio libre; sin ella no se guardan promedios ni calibraciones</t>
        </is>
      </c>
      <c r="N83" s="16" t="inlineStr">
        <is>
          <t>La tarjeta de memoria no está presente o no es reconocida, por lo que el analizador no almacena promedios ni calibraciones.</t>
        </is>
      </c>
      <c r="O83" s="10" t="n"/>
      <c r="P83" s="10" t="n"/>
      <c r="Q83" s="10" t="inlineStr">
        <is>
          <t>Sí</t>
        </is>
      </c>
      <c r="R83" s="10" t="inlineStr">
        <is>
          <t>Sí</t>
        </is>
      </c>
      <c r="S83" s="11" t="inlineStr"/>
      <c r="T83" s="11" t="inlineStr">
        <is>
          <t>GZ0000117746B SM E APXX-370 (Service Manual)</t>
        </is>
      </c>
      <c r="U83" s="17" t="inlineStr">
        <is>
          <t>Pendiente</t>
        </is>
      </c>
      <c r="V83" s="17" t="n"/>
      <c r="W83" s="10">
        <f>IF($G83&lt;&gt;"Numérico","",IF($V83="","Sin dato",IF(AND(OR(NOT(ISNUMBER($O83)),$V83&gt;=$O83),OR(NOT(ISNUMBER($P83)),$V83&lt;=$P83)),"Dentro de rango","Fuera de rango")))</f>
        <v/>
      </c>
      <c r="X83" s="17" t="n"/>
      <c r="Y83" s="18" t="n"/>
      <c r="Z83" s="16">
        <f>IF(OR($U83="",$U83="Conforme",$U83="No aplica",$U83="Pendiente"),"",$N83&amp;IF($W83="Fuera de rango"," Valor medido: "&amp;TEXT($V83,"0.####")&amp;IF($H83="",""," "&amp;$H83)&amp;IF(AND(ISNUMBER($O83),$V83&lt;$O83),", por debajo del límite inferior de "&amp;TEXT($O83,"0.####")&amp;IF($H83="",""," "&amp;$H83),"")&amp;IF(AND(ISNUMBER($P83),$V83&gt;$P83),", por encima del límite superior de "&amp;TEXT($P83,"0.####")&amp;IF($H83="",""," "&amp;$H83),"")&amp;".","")&amp;IF($Y83="",""," "&amp;$Y83&amp;IF(RIGHT($Y83,1)=".","","."))&amp;" Acción recomendada: "&amp;$M83&amp;IF(RIGHT($M83,1)=".","",".")&amp;IF($J83="Bloqueante"," El equipo no se libera hasta resolver este hallazgo.",IF($J83="Cobrable"," Se incluye en la cotización de repuestos y consumibles."," Se deja registrado como observación.")))</f>
        <v/>
      </c>
    </row>
    <row r="84" ht="48" customHeight="1">
      <c r="A84" s="10" t="inlineStr">
        <is>
          <t>7.7.1</t>
        </is>
      </c>
      <c r="B84" s="10" t="inlineStr">
        <is>
          <t>7. Electrónica y control</t>
        </is>
      </c>
      <c r="C84" s="10" t="inlineStr">
        <is>
          <t>7.7 Protección eléctrica</t>
        </is>
      </c>
      <c r="D84" s="11" t="inlineStr">
        <is>
          <t>Fusible de alimentación posterior de CA</t>
        </is>
      </c>
      <c r="E84" s="11" t="inlineStr">
        <is>
          <t>Integridad del filamento del fusible en el portafusible de entrada de CA trasero</t>
        </is>
      </c>
      <c r="F84" s="12" t="inlineStr">
        <is>
          <t>Con el equipo apagado y desconectado, extraer el fusible del portafusible del AC Inlet trasero, verificar su continuidad con multímetro y leer el tipo y amperaje impresos.</t>
        </is>
      </c>
      <c r="G84" s="10" t="inlineStr">
        <is>
          <t>OK / No OK</t>
        </is>
      </c>
      <c r="H84" s="10" t="inlineStr">
        <is>
          <t>A</t>
        </is>
      </c>
      <c r="I84" s="11" t="inlineStr">
        <is>
          <t>Debe ser del tipo retardado (T) con la capacidad especificada en la placa posterior</t>
        </is>
      </c>
      <c r="J84" s="13" t="inlineStr">
        <is>
          <t>Bloqueante</t>
        </is>
      </c>
      <c r="K84" s="14" t="inlineStr">
        <is>
          <t>Fusible abierto por sobrecorriente o por falla de la fuente</t>
        </is>
      </c>
      <c r="L84" s="15" t="inlineStr">
        <is>
          <t>9.4.1 ; 9.4.2</t>
        </is>
      </c>
      <c r="M84" s="14" t="inlineStr">
        <is>
          <t>Reponer el fusible del tipo y amperaje correctos; si vuelve a abrir, buscar el cortocircuito antes de insistir</t>
        </is>
      </c>
      <c r="N84" s="16" t="inlineStr">
        <is>
          <t>El fusible de protección de la entrada de alimentación se encuentra abierto.</t>
        </is>
      </c>
      <c r="O84" s="10" t="n"/>
      <c r="P84" s="10" t="n"/>
      <c r="Q84" s="10" t="inlineStr">
        <is>
          <t>Sí</t>
        </is>
      </c>
      <c r="R84" s="10" t="inlineStr">
        <is>
          <t>Sí</t>
        </is>
      </c>
      <c r="S84" s="11" t="inlineStr">
        <is>
          <t>Fusible 6,3 A (T) para AC115V — sin artículo en el catálogo</t>
        </is>
      </c>
      <c r="T84" s="11" t="inlineStr">
        <is>
          <t>Cables ports</t>
        </is>
      </c>
      <c r="U84" s="17" t="inlineStr">
        <is>
          <t>Pendiente</t>
        </is>
      </c>
      <c r="V84" s="17" t="n"/>
      <c r="W84" s="10">
        <f>IF($G84&lt;&gt;"Numérico","",IF($V84="","Sin dato",IF(AND(OR(NOT(ISNUMBER($O84)),$V84&gt;=$O84),OR(NOT(ISNUMBER($P84)),$V84&lt;=$P84)),"Dentro de rango","Fuera de rango")))</f>
        <v/>
      </c>
      <c r="X84" s="17" t="n"/>
      <c r="Y84" s="18" t="n"/>
      <c r="Z84" s="16">
        <f>IF(OR($U84="",$U84="Conforme",$U84="No aplica",$U84="Pendiente"),"",$N84&amp;IF($W84="Fuera de rango"," Valor medido: "&amp;TEXT($V84,"0.####")&amp;IF($H84="",""," "&amp;$H84)&amp;IF(AND(ISNUMBER($O84),$V84&lt;$O84),", por debajo del límite inferior de "&amp;TEXT($O84,"0.####")&amp;IF($H84="",""," "&amp;$H84),"")&amp;IF(AND(ISNUMBER($P84),$V84&gt;$P84),", por encima del límite superior de "&amp;TEXT($P84,"0.####")&amp;IF($H84="",""," "&amp;$H84),"")&amp;".","")&amp;IF($Y84="",""," "&amp;$Y84&amp;IF(RIGHT($Y84,1)=".","","."))&amp;" Acción recomendada: "&amp;$M84&amp;IF(RIGHT($M84,1)=".","",".")&amp;IF($J84="Bloqueante"," El equipo no se libera hasta resolver este hallazgo.",IF($J84="Cobrable"," Se incluye en la cotización de repuestos y consumibles."," Se deja registrado como observación.")))</f>
        <v/>
      </c>
    </row>
    <row r="85" ht="48" customHeight="1">
      <c r="A85" s="10" t="inlineStr">
        <is>
          <t>8.1.1</t>
        </is>
      </c>
      <c r="B85" s="10" t="inlineStr">
        <is>
          <t>8. Filtros y consumibles</t>
        </is>
      </c>
      <c r="C85" s="10" t="inlineStr">
        <is>
          <t>8.1 Horómetros de consumibles</t>
        </is>
      </c>
      <c r="D85" s="11" t="inlineStr">
        <is>
          <t>Horas de uso del filtro de purga de aire F-2</t>
        </is>
      </c>
      <c r="E85" s="11" t="inlineStr">
        <is>
          <t>Horas acumuladas en el horómetro para el filtro de aire de 0,3 micras (F-2)</t>
        </is>
      </c>
      <c r="F85" s="12" t="inlineStr">
        <is>
          <t>Ir a MENU / MAINTENANCE / HOUR METER y leer las horas acumuladas del filtro de aire F-2. Reiniciar el contador únicamente si se reemplaza el elemento.</t>
        </is>
      </c>
      <c r="G85" s="10" t="inlineStr">
        <is>
          <t>Numérico</t>
        </is>
      </c>
      <c r="H85" s="10" t="inlineStr">
        <is>
          <t>horas</t>
        </is>
      </c>
      <c r="I85" s="11" t="inlineStr">
        <is>
          <t>Reemplazo obligatorio cada 2 años (17 520 h) para prevenir obstrucciones en la purga del HC Cutter</t>
        </is>
      </c>
      <c r="J85" s="13" t="inlineStr">
        <is>
          <t>Cobrable</t>
        </is>
      </c>
      <c r="K85" s="14" t="inlineStr">
        <is>
          <t>Horómetro por encima del intervalo de dos años</t>
        </is>
      </c>
      <c r="L85" s="15" t="inlineStr">
        <is>
          <t>5.2.1</t>
        </is>
      </c>
      <c r="M85" s="14" t="inlineStr">
        <is>
          <t>Reemplazar el filtro de 0,3 µm y reiniciar el contador</t>
        </is>
      </c>
      <c r="N85" s="16" t="inlineStr">
        <is>
          <t>El filtro de purga de aire superó el intervalo de reemplazo recomendado por el fabricante.</t>
        </is>
      </c>
      <c r="O85" s="10" t="n"/>
      <c r="P85" s="10" t="n">
        <v>17520</v>
      </c>
      <c r="Q85" s="10" t="inlineStr">
        <is>
          <t>Sí</t>
        </is>
      </c>
      <c r="R85" s="10" t="inlineStr">
        <is>
          <t>No</t>
        </is>
      </c>
      <c r="S85" s="11" t="inlineStr">
        <is>
          <t>Air Filter 0.3 micron APNA / APSA (3200082322)</t>
        </is>
      </c>
      <c r="T85" s="11" t="inlineStr">
        <is>
          <t>P-ST-029-MAN MTTO APSA370 V2</t>
        </is>
      </c>
      <c r="U85" s="17" t="inlineStr">
        <is>
          <t>Pendiente</t>
        </is>
      </c>
      <c r="V85" s="17" t="n"/>
      <c r="W85" s="10">
        <f>IF($G85&lt;&gt;"Numérico","",IF($V85="","Sin dato",IF(AND(OR(NOT(ISNUMBER($O85)),$V85&gt;=$O85),OR(NOT(ISNUMBER($P85)),$V85&lt;=$P85)),"Dentro de rango","Fuera de rango")))</f>
        <v/>
      </c>
      <c r="X85" s="17" t="n"/>
      <c r="Y85" s="18" t="n"/>
      <c r="Z85" s="16">
        <f>IF(OR($U85="",$U85="Conforme",$U85="No aplica",$U85="Pendiente"),"",$N85&amp;IF($W85="Fuera de rango"," Valor medido: "&amp;TEXT($V85,"0.####")&amp;IF($H85="",""," "&amp;$H85)&amp;IF(AND(ISNUMBER($O85),$V85&lt;$O85),", por debajo del límite inferior de "&amp;TEXT($O85,"0.####")&amp;IF($H85="",""," "&amp;$H85),"")&amp;IF(AND(ISNUMBER($P85),$V85&gt;$P85),", por encima del límite superior de "&amp;TEXT($P85,"0.####")&amp;IF($H85="",""," "&amp;$H85),"")&amp;".","")&amp;IF($Y85="",""," "&amp;$Y85&amp;IF(RIGHT($Y85,1)=".","","."))&amp;" Acción recomendada: "&amp;$M85&amp;IF(RIGHT($M85,1)=".","",".")&amp;IF($J85="Bloqueante"," El equipo no se libera hasta resolver este hallazgo.",IF($J85="Cobrable"," Se incluye en la cotización de repuestos y consumibles."," Se deja registrado como observación.")))</f>
        <v/>
      </c>
    </row>
    <row r="86" ht="48" customHeight="1">
      <c r="A86" s="10" t="inlineStr">
        <is>
          <t>8.1.2</t>
        </is>
      </c>
      <c r="B86" s="10" t="inlineStr">
        <is>
          <t>8. Filtros y consumibles</t>
        </is>
      </c>
      <c r="C86" s="10" t="inlineStr">
        <is>
          <t>8.1 Horómetros de consumibles</t>
        </is>
      </c>
      <c r="D86" s="11" t="inlineStr">
        <is>
          <t>Horas de uso del depurador (Scrubber ESU-050A)</t>
        </is>
      </c>
      <c r="E86" s="11" t="inlineStr">
        <is>
          <t>Horas acumuladas de operación del cartucho depurador de entrada de aire (SCR-1)</t>
        </is>
      </c>
      <c r="F86" s="12" t="inlineStr">
        <is>
          <t>En la pantalla HOUR METER, leer las horas acumuladas del scrubber SCR-1. Reiniciar el contador únicamente si se reemplaza el cartucho.</t>
        </is>
      </c>
      <c r="G86" s="10" t="inlineStr">
        <is>
          <t>Numérico</t>
        </is>
      </c>
      <c r="H86" s="10" t="inlineStr">
        <is>
          <t>horas</t>
        </is>
      </c>
      <c r="I86" s="11" t="inlineStr">
        <is>
          <t>Reemplazo preventivo cada 2 años (17 520 h) para asegurar retención óptima de SO2</t>
        </is>
      </c>
      <c r="J86" s="13" t="inlineStr">
        <is>
          <t>Cobrable</t>
        </is>
      </c>
      <c r="K86" s="14" t="inlineStr">
        <is>
          <t>Horómetro por encima del intervalo de dos años</t>
        </is>
      </c>
      <c r="L86" s="15" t="inlineStr">
        <is>
          <t>6.3.2</t>
        </is>
      </c>
      <c r="M86" s="14" t="inlineStr">
        <is>
          <t>Reemplazar el cartucho y reiniciar el contador</t>
        </is>
      </c>
      <c r="N86" s="16" t="inlineStr">
        <is>
          <t>El depurador de la línea de referencia superó el intervalo de reemplazo recomendado por el fabricante.</t>
        </is>
      </c>
      <c r="O86" s="10" t="n"/>
      <c r="P86" s="10" t="n">
        <v>17520</v>
      </c>
      <c r="Q86" s="10" t="inlineStr">
        <is>
          <t>Sí</t>
        </is>
      </c>
      <c r="R86" s="10" t="inlineStr">
        <is>
          <t>No</t>
        </is>
      </c>
      <c r="S86" s="11" t="inlineStr">
        <is>
          <t>Scrubber ESU-050A (3014059487)</t>
        </is>
      </c>
      <c r="T86" s="11" t="inlineStr">
        <is>
          <t>P-ST-029-MAN MTTO APSA370 V2</t>
        </is>
      </c>
      <c r="U86" s="17" t="inlineStr">
        <is>
          <t>Pendiente</t>
        </is>
      </c>
      <c r="V86" s="17" t="n"/>
      <c r="W86" s="10">
        <f>IF($G86&lt;&gt;"Numérico","",IF($V86="","Sin dato",IF(AND(OR(NOT(ISNUMBER($O86)),$V86&gt;=$O86),OR(NOT(ISNUMBER($P86)),$V86&lt;=$P86)),"Dentro de rango","Fuera de rango")))</f>
        <v/>
      </c>
      <c r="X86" s="17" t="n"/>
      <c r="Y86" s="18" t="n"/>
      <c r="Z86" s="16">
        <f>IF(OR($U86="",$U86="Conforme",$U86="No aplica",$U86="Pendiente"),"",$N86&amp;IF($W86="Fuera de rango"," Valor medido: "&amp;TEXT($V86,"0.####")&amp;IF($H86="",""," "&amp;$H86)&amp;IF(AND(ISNUMBER($O86),$V86&lt;$O86),", por debajo del límite inferior de "&amp;TEXT($O86,"0.####")&amp;IF($H86="",""," "&amp;$H86),"")&amp;IF(AND(ISNUMBER($P86),$V86&gt;$P86),", por encima del límite superior de "&amp;TEXT($P86,"0.####")&amp;IF($H86="",""," "&amp;$H86),"")&amp;".","")&amp;IF($Y86="",""," "&amp;$Y86&amp;IF(RIGHT($Y86,1)=".","","."))&amp;" Acción recomendada: "&amp;$M86&amp;IF(RIGHT($M86,1)=".","",".")&amp;IF($J86="Bloqueante"," El equipo no se libera hasta resolver este hallazgo.",IF($J86="Cobrable"," Se incluye en la cotización de repuestos y consumibles."," Se deja registrado como observación.")))</f>
        <v/>
      </c>
    </row>
    <row r="87" ht="48" customHeight="1">
      <c r="A87" s="10" t="inlineStr">
        <is>
          <t>8.1.3</t>
        </is>
      </c>
      <c r="B87" s="10" t="inlineStr">
        <is>
          <t>8. Filtros y consumibles</t>
        </is>
      </c>
      <c r="C87" s="10" t="inlineStr">
        <is>
          <t>8.1 Horómetros de consumibles</t>
        </is>
      </c>
      <c r="D87" s="11" t="inlineStr">
        <is>
          <t>Horas de uso del separador de hidrocarburos (HC Cutter)</t>
        </is>
      </c>
      <c r="E87" s="11" t="inlineStr">
        <is>
          <t>Horas acumuladas del catalizador extractor de compuestos aromáticos (CUT-1)</t>
        </is>
      </c>
      <c r="F87" s="12" t="inlineStr">
        <is>
          <t>En la pantalla HOUR METER, leer las horas acumuladas del HC Cutter. Reiniciar el contador únicamente si se reemplaza la unidad.</t>
        </is>
      </c>
      <c r="G87" s="10" t="inlineStr">
        <is>
          <t>Numérico</t>
        </is>
      </c>
      <c r="H87" s="10" t="inlineStr">
        <is>
          <t>horas</t>
        </is>
      </c>
      <c r="I87" s="11" t="inlineStr">
        <is>
          <t>Sustitución cada 2 años (17 520 h) o cuando se degrade la eficiencia de corte</t>
        </is>
      </c>
      <c r="J87" s="13" t="inlineStr">
        <is>
          <t>Cobrable</t>
        </is>
      </c>
      <c r="K87" s="14" t="inlineStr">
        <is>
          <t>Horómetro por encima del intervalo de dos años</t>
        </is>
      </c>
      <c r="L87" s="15" t="inlineStr">
        <is>
          <t>6.3.1</t>
        </is>
      </c>
      <c r="M87" s="14" t="inlineStr">
        <is>
          <t>Reemplazar la unidad y reiniciar el contador</t>
        </is>
      </c>
      <c r="N87" s="16" t="inlineStr">
        <is>
          <t>El eliminador de hidrocarburos superó el intervalo de reemplazo recomendado por el fabricante.</t>
        </is>
      </c>
      <c r="O87" s="10" t="n"/>
      <c r="P87" s="10" t="n">
        <v>17520</v>
      </c>
      <c r="Q87" s="10" t="inlineStr">
        <is>
          <t>Sí</t>
        </is>
      </c>
      <c r="R87" s="10" t="inlineStr">
        <is>
          <t>No</t>
        </is>
      </c>
      <c r="S87" s="11" t="inlineStr">
        <is>
          <t>HC Cutter (3014059458)</t>
        </is>
      </c>
      <c r="T87" s="11" t="inlineStr">
        <is>
          <t>P-ST-029-MAN MTTO APSA370 V2</t>
        </is>
      </c>
      <c r="U87" s="17" t="inlineStr">
        <is>
          <t>Pendiente</t>
        </is>
      </c>
      <c r="V87" s="17" t="n"/>
      <c r="W87" s="10">
        <f>IF($G87&lt;&gt;"Numérico","",IF($V87="","Sin dato",IF(AND(OR(NOT(ISNUMBER($O87)),$V87&gt;=$O87),OR(NOT(ISNUMBER($P87)),$V87&lt;=$P87)),"Dentro de rango","Fuera de rango")))</f>
        <v/>
      </c>
      <c r="X87" s="17" t="n"/>
      <c r="Y87" s="18" t="n"/>
      <c r="Z87" s="16">
        <f>IF(OR($U87="",$U87="Conforme",$U87="No aplica",$U87="Pendiente"),"",$N87&amp;IF($W87="Fuera de rango"," Valor medido: "&amp;TEXT($V87,"0.####")&amp;IF($H87="",""," "&amp;$H87)&amp;IF(AND(ISNUMBER($O87),$V87&lt;$O87),", por debajo del límite inferior de "&amp;TEXT($O87,"0.####")&amp;IF($H87="",""," "&amp;$H87),"")&amp;IF(AND(ISNUMBER($P87),$V87&gt;$P87),", por encima del límite superior de "&amp;TEXT($P87,"0.####")&amp;IF($H87="",""," "&amp;$H87),"")&amp;".","")&amp;IF($Y87="",""," "&amp;$Y87&amp;IF(RIGHT($Y87,1)=".","","."))&amp;" Acción recomendada: "&amp;$M87&amp;IF(RIGHT($M87,1)=".","",".")&amp;IF($J87="Bloqueante"," El equipo no se libera hasta resolver este hallazgo.",IF($J87="Cobrable"," Se incluye en la cotización de repuestos y consumibles."," Se deja registrado como observación.")))</f>
        <v/>
      </c>
    </row>
    <row r="88" ht="48" customHeight="1">
      <c r="A88" s="10" t="inlineStr">
        <is>
          <t>8.1.4</t>
        </is>
      </c>
      <c r="B88" s="10" t="inlineStr">
        <is>
          <t>8. Filtros y consumibles</t>
        </is>
      </c>
      <c r="C88" s="10" t="inlineStr">
        <is>
          <t>8.1 Horómetros de consumibles</t>
        </is>
      </c>
      <c r="D88" s="11" t="inlineStr">
        <is>
          <t>Horas de uso del diafragma de la bomba (P-1-D)</t>
        </is>
      </c>
      <c r="E88" s="11" t="inlineStr">
        <is>
          <t>Horas de funcionamiento de las membranas elásticas de succión de la bomba</t>
        </is>
      </c>
      <c r="F88" s="12" t="inlineStr">
        <is>
          <t>En la pantalla HOUR METER, leer las horas acumuladas del diafragma de bomba (P-1-D). Reiniciar el contador únicamente si se reemplazan los diafragmas.</t>
        </is>
      </c>
      <c r="G88" s="10" t="inlineStr">
        <is>
          <t>Numérico</t>
        </is>
      </c>
      <c r="H88" s="10" t="inlineStr">
        <is>
          <t>horas</t>
        </is>
      </c>
      <c r="I88" s="11" t="inlineStr">
        <is>
          <t>Reemplazo preventivo cada 2 años (17 520 h) para evitar caídas de vacío y de flujo</t>
        </is>
      </c>
      <c r="J88" s="13" t="inlineStr">
        <is>
          <t>Cobrable</t>
        </is>
      </c>
      <c r="K88" s="14" t="inlineStr">
        <is>
          <t>Horómetro por encima del intervalo de dos años</t>
        </is>
      </c>
      <c r="L88" s="15" t="inlineStr">
        <is>
          <t>5.1.3</t>
        </is>
      </c>
      <c r="M88" s="14" t="inlineStr">
        <is>
          <t>Reemplazar los diafragmas y reiniciar el contador</t>
        </is>
      </c>
      <c r="N88" s="16" t="inlineStr">
        <is>
          <t>Los diafragmas de la bomba superaron el intervalo de reemplazo recomendado por el fabricante.</t>
        </is>
      </c>
      <c r="O88" s="10" t="n"/>
      <c r="P88" s="10" t="n">
        <v>17520</v>
      </c>
      <c r="Q88" s="10" t="inlineStr">
        <is>
          <t>Sí</t>
        </is>
      </c>
      <c r="R88" s="10" t="inlineStr">
        <is>
          <t>No</t>
        </is>
      </c>
      <c r="S88" s="11" t="inlineStr">
        <is>
          <t>Diaphragm Assy GS,Gdseries EPDM (3011026485)</t>
        </is>
      </c>
      <c r="T88" s="11" t="inlineStr">
        <is>
          <t>P-ST-029-MAN MTTO APSA370 V2</t>
        </is>
      </c>
      <c r="U88" s="17" t="inlineStr">
        <is>
          <t>Pendiente</t>
        </is>
      </c>
      <c r="V88" s="17" t="n"/>
      <c r="W88" s="10">
        <f>IF($G88&lt;&gt;"Numérico","",IF($V88="","Sin dato",IF(AND(OR(NOT(ISNUMBER($O88)),$V88&gt;=$O88),OR(NOT(ISNUMBER($P88)),$V88&lt;=$P88)),"Dentro de rango","Fuera de rango")))</f>
        <v/>
      </c>
      <c r="X88" s="17" t="n"/>
      <c r="Y88" s="18" t="n"/>
      <c r="Z88" s="16">
        <f>IF(OR($U88="",$U88="Conforme",$U88="No aplica",$U88="Pendiente"),"",$N88&amp;IF($W88="Fuera de rango"," Valor medido: "&amp;TEXT($V88,"0.####")&amp;IF($H88="",""," "&amp;$H88)&amp;IF(AND(ISNUMBER($O88),$V88&lt;$O88),", por debajo del límite inferior de "&amp;TEXT($O88,"0.####")&amp;IF($H88="",""," "&amp;$H88),"")&amp;IF(AND(ISNUMBER($P88),$V88&gt;$P88),", por encima del límite superior de "&amp;TEXT($P88,"0.####")&amp;IF($H88="",""," "&amp;$H88),"")&amp;".","")&amp;IF($Y88="",""," "&amp;$Y88&amp;IF(RIGHT($Y88,1)=".","","."))&amp;" Acción recomendada: "&amp;$M88&amp;IF(RIGHT($M88,1)=".","",".")&amp;IF($J88="Bloqueante"," El equipo no se libera hasta resolver este hallazgo.",IF($J88="Cobrable"," Se incluye en la cotización de repuestos y consumibles."," Se deja registrado como observación.")))</f>
        <v/>
      </c>
    </row>
    <row r="89" ht="48" customHeight="1">
      <c r="A89" s="10" t="inlineStr">
        <is>
          <t>8.1.5</t>
        </is>
      </c>
      <c r="B89" s="10" t="inlineStr">
        <is>
          <t>8. Filtros y consumibles</t>
        </is>
      </c>
      <c r="C89" s="10" t="inlineStr">
        <is>
          <t>8.1 Horómetros de consumibles</t>
        </is>
      </c>
      <c r="D89" s="11" t="inlineStr">
        <is>
          <t>Horas de uso de la lámpara de xenón (LAMP)</t>
        </is>
      </c>
      <c r="E89" s="11" t="inlineStr">
        <is>
          <t>Horas acumuladas de destello del tubo de xenón en el horómetro del analizador</t>
        </is>
      </c>
      <c r="F89" s="12" t="inlineStr">
        <is>
          <t>En la pantalla HOUR METER, leer las horas acumuladas de la lámpara y contrastarlas con el voltaje LAMP leído en ANALOG INPUT, que es el criterio real de reemplazo.</t>
        </is>
      </c>
      <c r="G89" s="10" t="inlineStr">
        <is>
          <t>Numérico</t>
        </is>
      </c>
      <c r="H89" s="10" t="inlineStr">
        <is>
          <t>horas</t>
        </is>
      </c>
      <c r="I89" s="11" t="inlineStr">
        <is>
          <t>Reemplazar cuando el voltaje cae por debajo de 200 mV o la lámpara muestra inestabilidad. Límites PENDIENTE DE VALIDAR</t>
        </is>
      </c>
      <c r="J89" s="13" t="inlineStr">
        <is>
          <t>Cobrable</t>
        </is>
      </c>
      <c r="K89" s="14" t="inlineStr">
        <is>
          <t>Horas acumuladas altas: la lámpara pierde intensidad de forma progresiva</t>
        </is>
      </c>
      <c r="L89" s="15" t="inlineStr">
        <is>
          <t>6.1.1</t>
        </is>
      </c>
      <c r="M89" s="14" t="inlineStr">
        <is>
          <t>El criterio real de cambio es el voltaje, no las horas: decidir por la lectura de LAMP</t>
        </is>
      </c>
      <c r="N89" s="16" t="inlineStr">
        <is>
          <t>La lámpara de xenón acumula un número de horas de servicio que anticipa la pérdida de intensidad.</t>
        </is>
      </c>
      <c r="O89" s="10" t="n"/>
      <c r="P89" s="10" t="n"/>
      <c r="Q89" s="10" t="inlineStr">
        <is>
          <t>Sí</t>
        </is>
      </c>
      <c r="R89" s="10" t="inlineStr">
        <is>
          <t>No</t>
        </is>
      </c>
      <c r="S89" s="11" t="inlineStr">
        <is>
          <t>Xenon Lamp L4646 (3030020915; alt. 3030020915-TCA)</t>
        </is>
      </c>
      <c r="T89" s="11" t="inlineStr">
        <is>
          <t>P-ST-029-MAN MTTO APSA370 V2</t>
        </is>
      </c>
      <c r="U89" s="17" t="inlineStr">
        <is>
          <t>Pendiente</t>
        </is>
      </c>
      <c r="V89" s="17" t="n"/>
      <c r="W89" s="10">
        <f>IF($G89&lt;&gt;"Numérico","",IF($V89="","Sin dato",IF(AND(OR(NOT(ISNUMBER($O89)),$V89&gt;=$O89),OR(NOT(ISNUMBER($P89)),$V89&lt;=$P89)),"Dentro de rango","Fuera de rango")))</f>
        <v/>
      </c>
      <c r="X89" s="17" t="n"/>
      <c r="Y89" s="18" t="n"/>
      <c r="Z89" s="16">
        <f>IF(OR($U89="",$U89="Conforme",$U89="No aplica",$U89="Pendiente"),"",$N89&amp;IF($W89="Fuera de rango"," Valor medido: "&amp;TEXT($V89,"0.####")&amp;IF($H89="",""," "&amp;$H89)&amp;IF(AND(ISNUMBER($O89),$V89&lt;$O89),", por debajo del límite inferior de "&amp;TEXT($O89,"0.####")&amp;IF($H89="",""," "&amp;$H89),"")&amp;IF(AND(ISNUMBER($P89),$V89&gt;$P89),", por encima del límite superior de "&amp;TEXT($P89,"0.####")&amp;IF($H89="",""," "&amp;$H89),"")&amp;".","")&amp;IF($Y89="",""," "&amp;$Y89&amp;IF(RIGHT($Y89,1)=".","","."))&amp;" Acción recomendada: "&amp;$M89&amp;IF(RIGHT($M89,1)=".","",".")&amp;IF($J89="Bloqueante"," El equipo no se libera hasta resolver este hallazgo.",IF($J89="Cobrable"," Se incluye en la cotización de repuestos y consumibles."," Se deja registrado como observación.")))</f>
        <v/>
      </c>
    </row>
    <row r="90" ht="48" customHeight="1">
      <c r="A90" s="10" t="inlineStr">
        <is>
          <t>9.1.1</t>
        </is>
      </c>
      <c r="B90" s="10" t="inlineStr">
        <is>
          <t>9. Sensores auxiliares</t>
        </is>
      </c>
      <c r="C90" s="10" t="inlineStr">
        <is>
          <t>9.1 Temperatura</t>
        </is>
      </c>
      <c r="D90" s="11" t="inlineStr">
        <is>
          <t>Temperatura de la celda (CELL)</t>
        </is>
      </c>
      <c r="E90" s="11" t="inlineStr">
        <is>
          <t>Temperatura del compartimento de la celda de detección óptica medida por termistor</t>
        </is>
      </c>
      <c r="F90" s="12" t="inlineStr">
        <is>
          <t>Leer el valor CELL en MENU / MAINTENANCE / ANALOG INPUT y, en paralelo, medir la temperatura ambiente de la sala. Verificar que la diferencia esté dentro de lo especificado.</t>
        </is>
      </c>
      <c r="G90" s="10" t="inlineStr">
        <is>
          <t>Numérico</t>
        </is>
      </c>
      <c r="H90" s="10" t="inlineStr">
        <is>
          <t>°C</t>
        </is>
      </c>
      <c r="I90" s="11" t="inlineStr">
        <is>
          <t>Debe mantenerse estabilizada en el valor estándar: temperatura ambiente + 5 a 15 °C</t>
        </is>
      </c>
      <c r="J90" s="13" t="inlineStr">
        <is>
          <t>Bloqueante</t>
        </is>
      </c>
      <c r="K90" s="14" t="inlineStr">
        <is>
          <t>Temperatura de sala fuera de rango, termistor dañado, o lazo de calentamiento inoperante</t>
        </is>
      </c>
      <c r="L90" s="15" t="inlineStr">
        <is>
          <t>10.1.1 ; 7.1.5 ; 10.4.1</t>
        </is>
      </c>
      <c r="M90" s="14" t="inlineStr">
        <is>
          <t>Descartar primero la sala; una lectura absurda apunta al termistor de la celda</t>
        </is>
      </c>
      <c r="N90" s="16" t="inlineStr">
        <is>
          <t>La temperatura de la celda de medida se encuentra fuera del rango de operación especificado.</t>
        </is>
      </c>
      <c r="O90" s="10" t="n">
        <v>26</v>
      </c>
      <c r="P90" s="10" t="n">
        <v>34</v>
      </c>
      <c r="Q90" s="10" t="inlineStr">
        <is>
          <t>Sí</t>
        </is>
      </c>
      <c r="R90" s="10" t="inlineStr">
        <is>
          <t>No</t>
        </is>
      </c>
      <c r="S90" s="11" t="inlineStr"/>
      <c r="T90" s="11" t="inlineStr">
        <is>
          <t>P-ST-030-MAN OPER APSA 370 V2</t>
        </is>
      </c>
      <c r="U90" s="17" t="inlineStr">
        <is>
          <t>Pendiente</t>
        </is>
      </c>
      <c r="V90" s="17" t="n"/>
      <c r="W90" s="10">
        <f>IF($G90&lt;&gt;"Numérico","",IF($V90="","Sin dato",IF(AND(OR(NOT(ISNUMBER($O90)),$V90&gt;=$O90),OR(NOT(ISNUMBER($P90)),$V90&lt;=$P90)),"Dentro de rango","Fuera de rango")))</f>
        <v/>
      </c>
      <c r="X90" s="17" t="n"/>
      <c r="Y90" s="18" t="n"/>
      <c r="Z90" s="16">
        <f>IF(OR($U90="",$U90="Conforme",$U90="No aplica",$U90="Pendiente"),"",$N90&amp;IF($W90="Fuera de rango"," Valor medido: "&amp;TEXT($V90,"0.####")&amp;IF($H90="",""," "&amp;$H90)&amp;IF(AND(ISNUMBER($O90),$V90&lt;$O90),", por debajo del límite inferior de "&amp;TEXT($O90,"0.####")&amp;IF($H90="",""," "&amp;$H90),"")&amp;IF(AND(ISNUMBER($P90),$V90&gt;$P90),", por encima del límite superior de "&amp;TEXT($P90,"0.####")&amp;IF($H90="",""," "&amp;$H90),"")&amp;".","")&amp;IF($Y90="",""," "&amp;$Y90&amp;IF(RIGHT($Y90,1)=".","","."))&amp;" Acción recomendada: "&amp;$M90&amp;IF(RIGHT($M90,1)=".","",".")&amp;IF($J90="Bloqueante"," El equipo no se libera hasta resolver este hallazgo.",IF($J90="Cobrable"," Se incluye en la cotización de repuestos y consumibles."," Se deja registrado como observación.")))</f>
        <v/>
      </c>
    </row>
    <row r="91" ht="36" customHeight="1">
      <c r="A91" s="10" t="inlineStr">
        <is>
          <t>9.2.1</t>
        </is>
      </c>
      <c r="B91" s="10" t="inlineStr">
        <is>
          <t>9. Sensores auxiliares</t>
        </is>
      </c>
      <c r="C91" s="10" t="inlineStr">
        <is>
          <t>9.2 Presión</t>
        </is>
      </c>
      <c r="D91" s="11" t="inlineStr">
        <is>
          <t>Sensor de presión atmosférica (AMBIENT)</t>
        </is>
      </c>
      <c r="E91" s="11" t="inlineStr">
        <is>
          <t>Lectura de la presión barométrica o ambiente que sensa el analizador</t>
        </is>
      </c>
      <c r="F91" s="12" t="inlineStr">
        <is>
          <t>Leer el valor AMBIENT en ANALOG INPUT y compararlo con un barómetro patrón calibrado ubicado junto al equipo.</t>
        </is>
      </c>
      <c r="G91" s="10" t="inlineStr">
        <is>
          <t>Numérico</t>
        </is>
      </c>
      <c r="H91" s="10" t="inlineStr">
        <is>
          <t>kPa</t>
        </is>
      </c>
      <c r="I91" s="11" t="inlineStr">
        <is>
          <t>Debe registrar la presión atmosférica del sitio para corrección barométrica. Límites PENDIENTE DE VALIDAR</t>
        </is>
      </c>
      <c r="J91" s="13" t="inlineStr">
        <is>
          <t>Bloqueante</t>
        </is>
      </c>
      <c r="K91" s="14" t="inlineStr">
        <is>
          <t>Transductor descalibrado por la altitud del sitio, o dañado</t>
        </is>
      </c>
      <c r="L91" s="15" t="inlineStr">
        <is>
          <t>9.2.2</t>
        </is>
      </c>
      <c r="M91" s="14" t="inlineStr">
        <is>
          <t>Comparar contra barómetro patrón y compensar el intercepto por software</t>
        </is>
      </c>
      <c r="N91" s="16" t="inlineStr">
        <is>
          <t>La lectura de presión barométrica del analizador no corresponde a la presión real del sitio.</t>
        </is>
      </c>
      <c r="O91" s="10" t="n"/>
      <c r="P91" s="10" t="n"/>
      <c r="Q91" s="10" t="inlineStr">
        <is>
          <t>Sí</t>
        </is>
      </c>
      <c r="R91" s="10" t="inlineStr">
        <is>
          <t>No</t>
        </is>
      </c>
      <c r="S91" s="11" t="inlineStr"/>
      <c r="T91" s="11" t="inlineStr">
        <is>
          <t>P-ST-030-MAN OPER APSA 370 V2</t>
        </is>
      </c>
      <c r="U91" s="17" t="inlineStr">
        <is>
          <t>Pendiente</t>
        </is>
      </c>
      <c r="V91" s="17" t="n"/>
      <c r="W91" s="10">
        <f>IF($G91&lt;&gt;"Numérico","",IF($V91="","Sin dato",IF(AND(OR(NOT(ISNUMBER($O91)),$V91&gt;=$O91),OR(NOT(ISNUMBER($P91)),$V91&lt;=$P91)),"Dentro de rango","Fuera de rango")))</f>
        <v/>
      </c>
      <c r="X91" s="17" t="n"/>
      <c r="Y91" s="18" t="n"/>
      <c r="Z91" s="16">
        <f>IF(OR($U91="",$U91="Conforme",$U91="No aplica",$U91="Pendiente"),"",$N91&amp;IF($W91="Fuera de rango"," Valor medido: "&amp;TEXT($V91,"0.####")&amp;IF($H91="",""," "&amp;$H91)&amp;IF(AND(ISNUMBER($O91),$V91&lt;$O91),", por debajo del límite inferior de "&amp;TEXT($O91,"0.####")&amp;IF($H91="",""," "&amp;$H91),"")&amp;IF(AND(ISNUMBER($P91),$V91&gt;$P91),", por encima del límite superior de "&amp;TEXT($P91,"0.####")&amp;IF($H91="",""," "&amp;$H91),"")&amp;".","")&amp;IF($Y91="",""," "&amp;$Y91&amp;IF(RIGHT($Y91,1)=".","","."))&amp;" Acción recomendada: "&amp;$M91&amp;IF(RIGHT($M91,1)=".","",".")&amp;IF($J91="Bloqueante"," El equipo no se libera hasta resolver este hallazgo.",IF($J91="Cobrable"," Se incluye en la cotización de repuestos y consumibles."," Se deja registrado como observación.")))</f>
        <v/>
      </c>
    </row>
    <row r="92" ht="48" customHeight="1">
      <c r="A92" s="10" t="inlineStr">
        <is>
          <t>9.2.2</t>
        </is>
      </c>
      <c r="B92" s="10" t="inlineStr">
        <is>
          <t>9. Sensores auxiliares</t>
        </is>
      </c>
      <c r="C92" s="10" t="inlineStr">
        <is>
          <t>9.2 Presión</t>
        </is>
      </c>
      <c r="D92" s="11" t="inlineStr">
        <is>
          <t>Sensor de presión de la bomba (PUMP)</t>
        </is>
      </c>
      <c r="E92" s="11" t="inlineStr">
        <is>
          <t>Lectura analógica del sensor de presión de vacío en la línea de la bomba de succión</t>
        </is>
      </c>
      <c r="F92" s="12" t="inlineStr">
        <is>
          <t>Leer el valor PUMP en ANALOG INPUT con el equipo en operación normal, y anotarlo junto con el caudal de muestra medido en el mismo momento.</t>
        </is>
      </c>
      <c r="G92" s="10" t="inlineStr">
        <is>
          <t>Numérico</t>
        </is>
      </c>
      <c r="H92" s="10" t="inlineStr">
        <is>
          <t>kPa</t>
        </is>
      </c>
      <c r="I92" s="11" t="inlineStr">
        <is>
          <t>Presión absoluta de succión; la alarma PRE1 se activa si supera 65 kPa</t>
        </is>
      </c>
      <c r="J92" s="13" t="inlineStr">
        <is>
          <t>Bloqueante</t>
        </is>
      </c>
      <c r="K92" s="14" t="inlineStr">
        <is>
          <t>Transductor descalibrado, o presión real fuera de rango</t>
        </is>
      </c>
      <c r="L92" s="15" t="inlineStr">
        <is>
          <t>5.1.2 ; 9.2.1</t>
        </is>
      </c>
      <c r="M92" s="14" t="inlineStr">
        <is>
          <t>Discriminar entre lectura falsa y presión real antes de intervenir el circuito neumático</t>
        </is>
      </c>
      <c r="N92" s="16" t="inlineStr">
        <is>
          <t>La lectura del sensor de presión de la bomba no corresponde a la presión real del circuito neumático.</t>
        </is>
      </c>
      <c r="O92" s="10" t="n"/>
      <c r="P92" s="10" t="n">
        <v>65</v>
      </c>
      <c r="Q92" s="10" t="inlineStr">
        <is>
          <t>Sí</t>
        </is>
      </c>
      <c r="R92" s="10" t="inlineStr">
        <is>
          <t>No</t>
        </is>
      </c>
      <c r="S92" s="11" t="inlineStr"/>
      <c r="T92" s="11" t="inlineStr">
        <is>
          <t>P-ST-030-MAN OPER APSA 370 V2</t>
        </is>
      </c>
      <c r="U92" s="17" t="inlineStr">
        <is>
          <t>Pendiente</t>
        </is>
      </c>
      <c r="V92" s="17" t="n"/>
      <c r="W92" s="10">
        <f>IF($G92&lt;&gt;"Numérico","",IF($V92="","Sin dato",IF(AND(OR(NOT(ISNUMBER($O92)),$V92&gt;=$O92),OR(NOT(ISNUMBER($P92)),$V92&lt;=$P92)),"Dentro de rango","Fuera de rango")))</f>
        <v/>
      </c>
      <c r="X92" s="17" t="n"/>
      <c r="Y92" s="18" t="n"/>
      <c r="Z92" s="16">
        <f>IF(OR($U92="",$U92="Conforme",$U92="No aplica",$U92="Pendiente"),"",$N92&amp;IF($W92="Fuera de rango"," Valor medido: "&amp;TEXT($V92,"0.####")&amp;IF($H92="",""," "&amp;$H92)&amp;IF(AND(ISNUMBER($O92),$V92&lt;$O92),", por debajo del límite inferior de "&amp;TEXT($O92,"0.####")&amp;IF($H92="",""," "&amp;$H92),"")&amp;IF(AND(ISNUMBER($P92),$V92&gt;$P92),", por encima del límite superior de "&amp;TEXT($P92,"0.####")&amp;IF($H92="",""," "&amp;$H92),"")&amp;".","")&amp;IF($Y92="",""," "&amp;$Y92&amp;IF(RIGHT($Y92,1)=".","","."))&amp;" Acción recomendada: "&amp;$M92&amp;IF(RIGHT($M92,1)=".","",".")&amp;IF($J92="Bloqueante"," El equipo no se libera hasta resolver este hallazgo.",IF($J92="Cobrable"," Se incluye en la cotización de repuestos y consumibles."," Se deja registrado como observación.")))</f>
        <v/>
      </c>
    </row>
    <row r="93" ht="48" customHeight="1">
      <c r="A93" s="10" t="inlineStr">
        <is>
          <t>9.3.1</t>
        </is>
      </c>
      <c r="B93" s="10" t="inlineStr">
        <is>
          <t>9. Sensores auxiliares</t>
        </is>
      </c>
      <c r="C93" s="10" t="inlineStr">
        <is>
          <t>9.3 Caudal</t>
        </is>
      </c>
      <c r="D93" s="11" t="inlineStr">
        <is>
          <t>Sensor de caudal de muestra (SAMPLE)</t>
        </is>
      </c>
      <c r="E93" s="11" t="inlineStr">
        <is>
          <t>Lectura analógica interna del flujo volumétrico de gas de muestra</t>
        </is>
      </c>
      <c r="F93" s="12" t="inlineStr">
        <is>
          <t>Leer el valor SAMPLE en ANALOG INPUT y, si el equipo no tiene el sensor opcional, medir el caudal con flujómetro de burbuja en el puerto de entrada.</t>
        </is>
      </c>
      <c r="G93" s="10" t="inlineStr">
        <is>
          <t>Numérico</t>
        </is>
      </c>
      <c r="H93" s="10" t="inlineStr">
        <is>
          <t>L/min</t>
        </is>
      </c>
      <c r="I93" s="11" t="inlineStr">
        <is>
          <t>La lectura debe estar dentro de la tolerancia neumática del medidor de caudal (opcional)</t>
        </is>
      </c>
      <c r="J93" s="13" t="inlineStr">
        <is>
          <t>Bloqueante</t>
        </is>
      </c>
      <c r="K93" s="14" t="inlineStr">
        <is>
          <t>Transductor de caudal opcional descalibrado o en falla</t>
        </is>
      </c>
      <c r="L93" s="15" t="inlineStr">
        <is>
          <t>5.1.1</t>
        </is>
      </c>
      <c r="M93" s="14" t="inlineStr">
        <is>
          <t>Contrastar con flujómetro de burbuja: si el caudal real es correcto, el problema es el sensor</t>
        </is>
      </c>
      <c r="N93" s="16" t="inlineStr">
        <is>
          <t>La lectura del sensor de caudal no corresponde al caudal real medido con instrumento patrón.</t>
        </is>
      </c>
      <c r="O93" s="10" t="n">
        <v>0.6</v>
      </c>
      <c r="P93" s="10" t="n">
        <v>1</v>
      </c>
      <c r="Q93" s="10" t="inlineStr">
        <is>
          <t>Sí</t>
        </is>
      </c>
      <c r="R93" s="10" t="inlineStr">
        <is>
          <t>No</t>
        </is>
      </c>
      <c r="S93" s="11" t="inlineStr"/>
      <c r="T93" s="11" t="inlineStr">
        <is>
          <t>P-ST-030-MAN OPER APSA 370 V2</t>
        </is>
      </c>
      <c r="U93" s="17" t="inlineStr">
        <is>
          <t>Pendiente</t>
        </is>
      </c>
      <c r="V93" s="17" t="n"/>
      <c r="W93" s="10">
        <f>IF($G93&lt;&gt;"Numérico","",IF($V93="","Sin dato",IF(AND(OR(NOT(ISNUMBER($O93)),$V93&gt;=$O93),OR(NOT(ISNUMBER($P93)),$V93&lt;=$P93)),"Dentro de rango","Fuera de rango")))</f>
        <v/>
      </c>
      <c r="X93" s="17" t="n"/>
      <c r="Y93" s="18" t="n"/>
      <c r="Z93" s="16">
        <f>IF(OR($U93="",$U93="Conforme",$U93="No aplica",$U93="Pendiente"),"",$N93&amp;IF($W93="Fuera de rango"," Valor medido: "&amp;TEXT($V93,"0.####")&amp;IF($H93="",""," "&amp;$H93)&amp;IF(AND(ISNUMBER($O93),$V93&lt;$O93),", por debajo del límite inferior de "&amp;TEXT($O93,"0.####")&amp;IF($H93="",""," "&amp;$H93),"")&amp;IF(AND(ISNUMBER($P93),$V93&gt;$P93),", por encima del límite superior de "&amp;TEXT($P93,"0.####")&amp;IF($H93="",""," "&amp;$H93),"")&amp;".","")&amp;IF($Y93="",""," "&amp;$Y93&amp;IF(RIGHT($Y93,1)=".","","."))&amp;" Acción recomendada: "&amp;$M93&amp;IF(RIGHT($M93,1)=".","",".")&amp;IF($J93="Bloqueante"," El equipo no se libera hasta resolver este hallazgo.",IF($J93="Cobrable"," Se incluye en la cotización de repuestos y consumibles."," Se deja registrado como observación.")))</f>
        <v/>
      </c>
    </row>
    <row r="94" ht="48" customHeight="1">
      <c r="A94" s="10" t="inlineStr">
        <is>
          <t>9.4.1</t>
        </is>
      </c>
      <c r="B94" s="10" t="inlineStr">
        <is>
          <t>9. Sensores auxiliares</t>
        </is>
      </c>
      <c r="C94" s="10" t="inlineStr">
        <is>
          <t>9.4 Tensiones internas</t>
        </is>
      </c>
      <c r="D94" s="11" t="inlineStr">
        <is>
          <t>Tensión de suministro de CC de 24 V</t>
        </is>
      </c>
      <c r="E94" s="11" t="inlineStr">
        <is>
          <t>Lectura del estado de tensión de alimentación de 24 V CC en el menú</t>
        </is>
      </c>
      <c r="F94" s="12" t="inlineStr">
        <is>
          <t>Leer el valor DC 24V en la segunda página de ANALOG INPUT. Para verificación independiente, medir con multímetro en el punto de prueba de 24 V de la tarjeta ADC.</t>
        </is>
      </c>
      <c r="G94" s="10" t="inlineStr">
        <is>
          <t>Numérico</t>
        </is>
      </c>
      <c r="H94" s="10" t="inlineStr">
        <is>
          <t>V</t>
        </is>
      </c>
      <c r="I94" s="11" t="inlineStr">
        <is>
          <t>La tensión regulada de 24 V CC debe estar dentro de la tolerancia de ± 0,5 V</t>
        </is>
      </c>
      <c r="J94" s="13" t="inlineStr">
        <is>
          <t>Bloqueante</t>
        </is>
      </c>
      <c r="K94" s="14" t="inlineStr">
        <is>
          <t>Fuente degradada o carga excesiva sobre el riel</t>
        </is>
      </c>
      <c r="L94" s="15" t="inlineStr">
        <is>
          <t>7.7.1</t>
        </is>
      </c>
      <c r="M94" s="14" t="inlineStr">
        <is>
          <t>Medir en el punto de prueba de la tarjeta; si la fuente no regula, reemplazarla</t>
        </is>
      </c>
      <c r="N94" s="16" t="inlineStr">
        <is>
          <t>La tensión interna de 24 V del analizador se encuentra fuera de tolerancia.</t>
        </is>
      </c>
      <c r="O94" s="10" t="n">
        <v>23.5</v>
      </c>
      <c r="P94" s="10" t="n">
        <v>24.5</v>
      </c>
      <c r="Q94" s="10" t="inlineStr">
        <is>
          <t>Sí</t>
        </is>
      </c>
      <c r="R94" s="10" t="inlineStr">
        <is>
          <t>No</t>
        </is>
      </c>
      <c r="S94" s="11" t="inlineStr"/>
      <c r="T94" s="11" t="inlineStr">
        <is>
          <t>P-ST-030-MAN OPER APSA 370 V2</t>
        </is>
      </c>
      <c r="U94" s="17" t="inlineStr">
        <is>
          <t>Pendiente</t>
        </is>
      </c>
      <c r="V94" s="17" t="n"/>
      <c r="W94" s="10">
        <f>IF($G94&lt;&gt;"Numérico","",IF($V94="","Sin dato",IF(AND(OR(NOT(ISNUMBER($O94)),$V94&gt;=$O94),OR(NOT(ISNUMBER($P94)),$V94&lt;=$P94)),"Dentro de rango","Fuera de rango")))</f>
        <v/>
      </c>
      <c r="X94" s="17" t="n"/>
      <c r="Y94" s="18" t="n"/>
      <c r="Z94" s="16">
        <f>IF(OR($U94="",$U94="Conforme",$U94="No aplica",$U94="Pendiente"),"",$N94&amp;IF($W94="Fuera de rango"," Valor medido: "&amp;TEXT($V94,"0.####")&amp;IF($H94="",""," "&amp;$H94)&amp;IF(AND(ISNUMBER($O94),$V94&lt;$O94),", por debajo del límite inferior de "&amp;TEXT($O94,"0.####")&amp;IF($H94="",""," "&amp;$H94),"")&amp;IF(AND(ISNUMBER($P94),$V94&gt;$P94),", por encima del límite superior de "&amp;TEXT($P94,"0.####")&amp;IF($H94="",""," "&amp;$H94),"")&amp;".","")&amp;IF($Y94="",""," "&amp;$Y94&amp;IF(RIGHT($Y94,1)=".","","."))&amp;" Acción recomendada: "&amp;$M94&amp;IF(RIGHT($M94,1)=".","",".")&amp;IF($J94="Bloqueante"," El equipo no se libera hasta resolver este hallazgo.",IF($J94="Cobrable"," Se incluye en la cotización de repuestos y consumibles."," Se deja registrado como observación.")))</f>
        <v/>
      </c>
    </row>
    <row r="95" ht="48" customHeight="1">
      <c r="A95" s="10" t="inlineStr">
        <is>
          <t>9.4.2</t>
        </is>
      </c>
      <c r="B95" s="10" t="inlineStr">
        <is>
          <t>9. Sensores auxiliares</t>
        </is>
      </c>
      <c r="C95" s="10" t="inlineStr">
        <is>
          <t>9.4 Tensiones internas</t>
        </is>
      </c>
      <c r="D95" s="11" t="inlineStr">
        <is>
          <t>Tensión de suministro de CC de 5 V</t>
        </is>
      </c>
      <c r="E95" s="11" t="inlineStr">
        <is>
          <t>Lectura de la tensión lógica de alimentación de 5 V CC en el menú</t>
        </is>
      </c>
      <c r="F95" s="12" t="inlineStr">
        <is>
          <t>Leer el valor DC 5V en la segunda página de ANALOG INPUT. Para verificación independiente, medir con multímetro en el punto de prueba de 5 V de la tarjeta ADC.</t>
        </is>
      </c>
      <c r="G95" s="10" t="inlineStr">
        <is>
          <t>Numérico</t>
        </is>
      </c>
      <c r="H95" s="10" t="inlineStr">
        <is>
          <t>V</t>
        </is>
      </c>
      <c r="I95" s="11" t="inlineStr">
        <is>
          <t>La tensión regulada interna de 5 V CC debe mantenerse dentro de la tolerancia de ± 0,5 V</t>
        </is>
      </c>
      <c r="J95" s="13" t="inlineStr">
        <is>
          <t>Bloqueante</t>
        </is>
      </c>
      <c r="K95" s="14" t="inlineStr">
        <is>
          <t>Regulador de la fuente fuera de tolerancia</t>
        </is>
      </c>
      <c r="L95" s="15" t="inlineStr">
        <is>
          <t>7.7.1</t>
        </is>
      </c>
      <c r="M95" s="14" t="inlineStr">
        <is>
          <t>Medir en el punto de prueba; si está fuera de ±0,5 V, reemplazar la fuente</t>
        </is>
      </c>
      <c r="N95" s="16" t="inlineStr">
        <is>
          <t>La tensión interna de 5 V del analizador se encuentra fuera de tolerancia.</t>
        </is>
      </c>
      <c r="O95" s="10" t="n">
        <v>4.5</v>
      </c>
      <c r="P95" s="10" t="n">
        <v>5.5</v>
      </c>
      <c r="Q95" s="10" t="inlineStr">
        <is>
          <t>Sí</t>
        </is>
      </c>
      <c r="R95" s="10" t="inlineStr">
        <is>
          <t>No</t>
        </is>
      </c>
      <c r="S95" s="11" t="inlineStr"/>
      <c r="T95" s="11" t="inlineStr">
        <is>
          <t>P-ST-030-MAN OPER APSA 370 V2</t>
        </is>
      </c>
      <c r="U95" s="17" t="inlineStr">
        <is>
          <t>Pendiente</t>
        </is>
      </c>
      <c r="V95" s="17" t="n"/>
      <c r="W95" s="10">
        <f>IF($G95&lt;&gt;"Numérico","",IF($V95="","Sin dato",IF(AND(OR(NOT(ISNUMBER($O95)),$V95&gt;=$O95),OR(NOT(ISNUMBER($P95)),$V95&lt;=$P95)),"Dentro de rango","Fuera de rango")))</f>
        <v/>
      </c>
      <c r="X95" s="17" t="n"/>
      <c r="Y95" s="18" t="n"/>
      <c r="Z95" s="16">
        <f>IF(OR($U95="",$U95="Conforme",$U95="No aplica",$U95="Pendiente"),"",$N95&amp;IF($W95="Fuera de rango"," Valor medido: "&amp;TEXT($V95,"0.####")&amp;IF($H95="",""," "&amp;$H95)&amp;IF(AND(ISNUMBER($O95),$V95&lt;$O95),", por debajo del límite inferior de "&amp;TEXT($O95,"0.####")&amp;IF($H95="",""," "&amp;$H95),"")&amp;IF(AND(ISNUMBER($P95),$V95&gt;$P95),", por encima del límite superior de "&amp;TEXT($P95,"0.####")&amp;IF($H95="",""," "&amp;$H95),"")&amp;".","")&amp;IF($Y95="",""," "&amp;$Y95&amp;IF(RIGHT($Y95,1)=".","","."))&amp;" Acción recomendada: "&amp;$M95&amp;IF(RIGHT($M95,1)=".","",".")&amp;IF($J95="Bloqueante"," El equipo no se libera hasta resolver este hallazgo.",IF($J95="Cobrable"," Se incluye en la cotización de repuestos y consumibles."," Se deja registrado como observación.")))</f>
        <v/>
      </c>
    </row>
    <row r="96" ht="48" customHeight="1">
      <c r="A96" s="10" t="inlineStr">
        <is>
          <t>10.1.1</t>
        </is>
      </c>
      <c r="B96" s="10" t="inlineStr">
        <is>
          <t>10. Gabinete, montaje e instalación</t>
        </is>
      </c>
      <c r="C96" s="10" t="inlineStr">
        <is>
          <t>10.1 Entorno de operación</t>
        </is>
      </c>
      <c r="D96" s="11" t="inlineStr">
        <is>
          <t>Temperatura ambiente de la cabina</t>
        </is>
      </c>
      <c r="E96" s="11" t="inlineStr">
        <is>
          <t>Temperatura del aire ambiente interior de la cabina o estación de monitoreo</t>
        </is>
      </c>
      <c r="F96" s="12" t="inlineStr">
        <is>
          <t>Medir la temperatura de la cabina con termohigrómetro calibrado, a la altura del equipo y alejado de la descarga del aire acondicionado. Registrar el máximo del día si hay datalogger.</t>
        </is>
      </c>
      <c r="G96" s="10" t="inlineStr">
        <is>
          <t>Numérico</t>
        </is>
      </c>
      <c r="H96" s="10" t="inlineStr">
        <is>
          <t>°C</t>
        </is>
      </c>
      <c r="I96" s="11" t="inlineStr">
        <is>
          <t>Debe mantenerse estable dentro del rango, sin cambios bruscos de 5 °C o más</t>
        </is>
      </c>
      <c r="J96" s="13" t="inlineStr">
        <is>
          <t>Alerta</t>
        </is>
      </c>
      <c r="K96" s="14" t="inlineStr">
        <is>
          <t>Aire acondicionado insuficiente o en falla</t>
        </is>
      </c>
      <c r="L96" s="15" t="inlineStr">
        <is>
          <t>9.1.1 ; 10.1.2</t>
        </is>
      </c>
      <c r="M96" s="14" t="inlineStr">
        <is>
          <t>Corregir la climatización del shelter; la deriva no se juzga hasta estabilizar la sala</t>
        </is>
      </c>
      <c r="N96" s="16" t="inlineStr">
        <is>
          <t>La temperatura de la cabina de monitoreo se encuentra fuera del rango de operación especificado para el analizador.</t>
        </is>
      </c>
      <c r="O96" s="10" t="n">
        <v>5</v>
      </c>
      <c r="P96" s="10" t="n">
        <v>40</v>
      </c>
      <c r="Q96" s="10" t="inlineStr">
        <is>
          <t>Sí</t>
        </is>
      </c>
      <c r="R96" s="10" t="inlineStr">
        <is>
          <t>No</t>
        </is>
      </c>
      <c r="S96" s="11" t="inlineStr"/>
      <c r="T96" s="11" t="inlineStr">
        <is>
          <t>P-ST-030-MAN OPER APSA 370 V2</t>
        </is>
      </c>
      <c r="U96" s="17" t="inlineStr">
        <is>
          <t>Pendiente</t>
        </is>
      </c>
      <c r="V96" s="17" t="n"/>
      <c r="W96" s="10">
        <f>IF($G96&lt;&gt;"Numérico","",IF($V96="","Sin dato",IF(AND(OR(NOT(ISNUMBER($O96)),$V96&gt;=$O96),OR(NOT(ISNUMBER($P96)),$V96&lt;=$P96)),"Dentro de rango","Fuera de rango")))</f>
        <v/>
      </c>
      <c r="X96" s="17" t="n"/>
      <c r="Y96" s="18" t="n"/>
      <c r="Z96" s="16">
        <f>IF(OR($U96="",$U96="Conforme",$U96="No aplica",$U96="Pendiente"),"",$N96&amp;IF($W96="Fuera de rango"," Valor medido: "&amp;TEXT($V96,"0.####")&amp;IF($H96="",""," "&amp;$H96)&amp;IF(AND(ISNUMBER($O96),$V96&lt;$O96),", por debajo del límite inferior de "&amp;TEXT($O96,"0.####")&amp;IF($H96="",""," "&amp;$H96),"")&amp;IF(AND(ISNUMBER($P96),$V96&gt;$P96),", por encima del límite superior de "&amp;TEXT($P96,"0.####")&amp;IF($H96="",""," "&amp;$H96),"")&amp;".","")&amp;IF($Y96="",""," "&amp;$Y96&amp;IF(RIGHT($Y96,1)=".","","."))&amp;" Acción recomendada: "&amp;$M96&amp;IF(RIGHT($M96,1)=".","",".")&amp;IF($J96="Bloqueante"," El equipo no se libera hasta resolver este hallazgo.",IF($J96="Cobrable"," Se incluye en la cotización de repuestos y consumibles."," Se deja registrado como observación.")))</f>
        <v/>
      </c>
    </row>
    <row r="97" ht="48" customHeight="1">
      <c r="A97" s="10" t="inlineStr">
        <is>
          <t>10.1.2</t>
        </is>
      </c>
      <c r="B97" s="10" t="inlineStr">
        <is>
          <t>10. Gabinete, montaje e instalación</t>
        </is>
      </c>
      <c r="C97" s="10" t="inlineStr">
        <is>
          <t>10.1 Entorno de operación</t>
        </is>
      </c>
      <c r="D97" s="11" t="inlineStr">
        <is>
          <t>Humedad relativa del sitio</t>
        </is>
      </c>
      <c r="E97" s="11" t="inlineStr">
        <is>
          <t>Porcentaje de humedad relativa en la estación de control del analizador</t>
        </is>
      </c>
      <c r="F97" s="12" t="inlineStr">
        <is>
          <t>Medir la humedad relativa con termohigrómetro calibrado junto al equipo y registrarla junto con la temperatura medida en el mismo instante.</t>
        </is>
      </c>
      <c r="G97" s="10" t="inlineStr">
        <is>
          <t>Numérico</t>
        </is>
      </c>
      <c r="H97" s="10" t="inlineStr">
        <is>
          <t>%</t>
        </is>
      </c>
      <c r="I97" s="11" t="inlineStr">
        <is>
          <t>Debe mantenerse sin condensación, para proteger componentes internos y ópticos</t>
        </is>
      </c>
      <c r="J97" s="13" t="inlineStr">
        <is>
          <t>Alerta</t>
        </is>
      </c>
      <c r="K97" s="14" t="inlineStr">
        <is>
          <t>Humedad alta: riesgo de condensación óptica y de delaminación del panel táctil</t>
        </is>
      </c>
      <c r="L97" s="15" t="inlineStr">
        <is>
          <t>4.1.3 ; 7.4.1</t>
        </is>
      </c>
      <c r="M97" s="14" t="inlineStr">
        <is>
          <t>Deshumidificar la cabina y revisar la línea de muestreo</t>
        </is>
      </c>
      <c r="N97" s="16" t="inlineStr">
        <is>
          <t>La humedad relativa de la cabina supera el límite admisible, con riesgo de condensación en el analizador.</t>
        </is>
      </c>
      <c r="O97" s="10" t="n"/>
      <c r="P97" s="10" t="n">
        <v>85</v>
      </c>
      <c r="Q97" s="10" t="inlineStr">
        <is>
          <t>Sí</t>
        </is>
      </c>
      <c r="R97" s="10" t="inlineStr">
        <is>
          <t>No</t>
        </is>
      </c>
      <c r="S97" s="11" t="inlineStr"/>
      <c r="T97" s="11" t="inlineStr">
        <is>
          <t>P-ST-030-MAN OPER APSA 370 V2</t>
        </is>
      </c>
      <c r="U97" s="17" t="inlineStr">
        <is>
          <t>Pendiente</t>
        </is>
      </c>
      <c r="V97" s="17" t="n"/>
      <c r="W97" s="10">
        <f>IF($G97&lt;&gt;"Numérico","",IF($V97="","Sin dato",IF(AND(OR(NOT(ISNUMBER($O97)),$V97&gt;=$O97),OR(NOT(ISNUMBER($P97)),$V97&lt;=$P97)),"Dentro de rango","Fuera de rango")))</f>
        <v/>
      </c>
      <c r="X97" s="17" t="n"/>
      <c r="Y97" s="18" t="n"/>
      <c r="Z97" s="16">
        <f>IF(OR($U97="",$U97="Conforme",$U97="No aplica",$U97="Pendiente"),"",$N97&amp;IF($W97="Fuera de rango"," Valor medido: "&amp;TEXT($V97,"0.####")&amp;IF($H97="",""," "&amp;$H97)&amp;IF(AND(ISNUMBER($O97),$V97&lt;$O97),", por debajo del límite inferior de "&amp;TEXT($O97,"0.####")&amp;IF($H97="",""," "&amp;$H97),"")&amp;IF(AND(ISNUMBER($P97),$V97&gt;$P97),", por encima del límite superior de "&amp;TEXT($P97,"0.####")&amp;IF($H97="",""," "&amp;$H97),"")&amp;".","")&amp;IF($Y97="",""," "&amp;$Y97&amp;IF(RIGHT($Y97,1)=".","","."))&amp;" Acción recomendada: "&amp;$M97&amp;IF(RIGHT($M97,1)=".","",".")&amp;IF($J97="Bloqueante"," El equipo no se libera hasta resolver este hallazgo.",IF($J97="Cobrable"," Se incluye en la cotización de repuestos y consumibles."," Se deja registrado como observación.")))</f>
        <v/>
      </c>
    </row>
    <row r="98" ht="48" customHeight="1">
      <c r="A98" s="10" t="inlineStr">
        <is>
          <t>10.1.3</t>
        </is>
      </c>
      <c r="B98" s="10" t="inlineStr">
        <is>
          <t>10. Gabinete, montaje e instalación</t>
        </is>
      </c>
      <c r="C98" s="10" t="inlineStr">
        <is>
          <t>10.1 Entorno de operación</t>
        </is>
      </c>
      <c r="D98" s="11" t="inlineStr">
        <is>
          <t>Nivel de polvo de la cabina</t>
        </is>
      </c>
      <c r="E98" s="11" t="inlineStr">
        <is>
          <t>Concentración de material particulado ambiental en la sala de analizadores</t>
        </is>
      </c>
      <c r="F98" s="12" t="inlineStr">
        <is>
          <t>Inspeccionar visualmente el nivel de polvo depositado sobre superficies dentro de la cabina y sobre las esponjas de ventilación del equipo. Si hay medición de MP en sitio, usar ese dato.</t>
        </is>
      </c>
      <c r="G98" s="10" t="inlineStr">
        <is>
          <t>Numérico</t>
        </is>
      </c>
      <c r="H98" s="10" t="inlineStr">
        <is>
          <t>mg/m3</t>
        </is>
      </c>
      <c r="I98" s="11" t="inlineStr">
        <is>
          <t>Debe controlarse por debajo de la especificación, para prevenir polución óptica rápida</t>
        </is>
      </c>
      <c r="J98" s="13" t="inlineStr">
        <is>
          <t>Alerta</t>
        </is>
      </c>
      <c r="K98" s="14" t="inlineStr">
        <is>
          <t>Ambiente polvoriento: colmata filtros y esponjas con rapidez</t>
        </is>
      </c>
      <c r="L98" s="15" t="inlineStr">
        <is>
          <t>4.1.1 ; 10.4.1</t>
        </is>
      </c>
      <c r="M98" s="14" t="inlineStr">
        <is>
          <t>Mejorar el sellado de la cabina y acortar el intervalo de cambio de filtro</t>
        </is>
      </c>
      <c r="N98" s="16" t="inlineStr">
        <is>
          <t>El nivel de material particulado de la cabina es elevado, lo que acorta la vida útil de filtros y de los elementos de ventilación.</t>
        </is>
      </c>
      <c r="O98" s="10" t="n"/>
      <c r="P98" s="10" t="n">
        <v>0.1</v>
      </c>
      <c r="Q98" s="10" t="inlineStr">
        <is>
          <t>Sí</t>
        </is>
      </c>
      <c r="R98" s="10" t="inlineStr">
        <is>
          <t>No</t>
        </is>
      </c>
      <c r="S98" s="11" t="inlineStr"/>
      <c r="T98" s="11" t="inlineStr">
        <is>
          <t>P-ST-030-MAN OPER APSA 370 V2</t>
        </is>
      </c>
      <c r="U98" s="17" t="inlineStr">
        <is>
          <t>Pendiente</t>
        </is>
      </c>
      <c r="V98" s="17" t="n"/>
      <c r="W98" s="10">
        <f>IF($G98&lt;&gt;"Numérico","",IF($V98="","Sin dato",IF(AND(OR(NOT(ISNUMBER($O98)),$V98&gt;=$O98),OR(NOT(ISNUMBER($P98)),$V98&lt;=$P98)),"Dentro de rango","Fuera de rango")))</f>
        <v/>
      </c>
      <c r="X98" s="17" t="n"/>
      <c r="Y98" s="18" t="n"/>
      <c r="Z98" s="16">
        <f>IF(OR($U98="",$U98="Conforme",$U98="No aplica",$U98="Pendiente"),"",$N98&amp;IF($W98="Fuera de rango"," Valor medido: "&amp;TEXT($V98,"0.####")&amp;IF($H98="",""," "&amp;$H98)&amp;IF(AND(ISNUMBER($O98),$V98&lt;$O98),", por debajo del límite inferior de "&amp;TEXT($O98,"0.####")&amp;IF($H98="",""," "&amp;$H98),"")&amp;IF(AND(ISNUMBER($P98),$V98&gt;$P98),", por encima del límite superior de "&amp;TEXT($P98,"0.####")&amp;IF($H98="",""," "&amp;$H98),"")&amp;".","")&amp;IF($Y98="",""," "&amp;$Y98&amp;IF(RIGHT($Y98,1)=".","","."))&amp;" Acción recomendada: "&amp;$M98&amp;IF(RIGHT($M98,1)=".","",".")&amp;IF($J98="Bloqueante"," El equipo no se libera hasta resolver este hallazgo.",IF($J98="Cobrable"," Se incluye en la cotización de repuestos y consumibles."," Se deja registrado como observación.")))</f>
        <v/>
      </c>
    </row>
    <row r="99" ht="48" customHeight="1">
      <c r="A99" s="10" t="inlineStr">
        <is>
          <t>10.2.1</t>
        </is>
      </c>
      <c r="B99" s="10" t="inlineStr">
        <is>
          <t>10. Gabinete, montaje e instalación</t>
        </is>
      </c>
      <c r="C99" s="10" t="inlineStr">
        <is>
          <t>10.2 Montaje físico</t>
        </is>
      </c>
      <c r="D99" s="11" t="inlineStr">
        <is>
          <t>Nivelación horizontal del instrumento</t>
        </is>
      </c>
      <c r="E99" s="11" t="inlineStr">
        <is>
          <t>Verificación con nivel de burbuja de la posición del equipo en el rack</t>
        </is>
      </c>
      <c r="F99" s="12" t="inlineStr">
        <is>
          <t>Apoyar un nivel de burbuja sobre la cubierta superior del equipo, en sentido transversal y longitudinal, y verificar el centrado de la burbuja en ambos sentidos.</t>
        </is>
      </c>
      <c r="G99" s="10" t="inlineStr">
        <is>
          <t>OK / No OK</t>
        </is>
      </c>
      <c r="H99" s="10" t="inlineStr"/>
      <c r="I99" s="11" t="inlineStr">
        <is>
          <t>La instalación física del analizador debe ser estrictamente horizontal</t>
        </is>
      </c>
      <c r="J99" s="13" t="inlineStr">
        <is>
          <t>Alerta</t>
        </is>
      </c>
      <c r="K99" s="14" t="inlineStr">
        <is>
          <t>Equipo montado inclinado sobre la bandeja</t>
        </is>
      </c>
      <c r="L99" s="15" t="inlineStr">
        <is>
          <t>Nodo terminal — actuar directamente</t>
        </is>
      </c>
      <c r="M99" s="14" t="inlineStr">
        <is>
          <t>Nivelar el equipo antes de cerrar el servicio</t>
        </is>
      </c>
      <c r="N99" s="16" t="inlineStr">
        <is>
          <t>El analizador no está instalado en posición horizontal sobre su soporte.</t>
        </is>
      </c>
      <c r="O99" s="10" t="n"/>
      <c r="P99" s="10" t="n"/>
      <c r="Q99" s="10" t="inlineStr">
        <is>
          <t>Sí</t>
        </is>
      </c>
      <c r="R99" s="10" t="inlineStr">
        <is>
          <t>Sí</t>
        </is>
      </c>
      <c r="S99" s="11" t="inlineStr"/>
      <c r="T99" s="11" t="inlineStr">
        <is>
          <t>P-ST-030-MAN OPER APSA 370 V2</t>
        </is>
      </c>
      <c r="U99" s="17" t="inlineStr">
        <is>
          <t>Pendiente</t>
        </is>
      </c>
      <c r="V99" s="17" t="n"/>
      <c r="W99" s="10">
        <f>IF($G99&lt;&gt;"Numérico","",IF($V99="","Sin dato",IF(AND(OR(NOT(ISNUMBER($O99)),$V99&gt;=$O99),OR(NOT(ISNUMBER($P99)),$V99&lt;=$P99)),"Dentro de rango","Fuera de rango")))</f>
        <v/>
      </c>
      <c r="X99" s="17" t="n"/>
      <c r="Y99" s="18" t="n"/>
      <c r="Z99" s="16">
        <f>IF(OR($U99="",$U99="Conforme",$U99="No aplica",$U99="Pendiente"),"",$N99&amp;IF($W99="Fuera de rango"," Valor medido: "&amp;TEXT($V99,"0.####")&amp;IF($H99="",""," "&amp;$H99)&amp;IF(AND(ISNUMBER($O99),$V99&lt;$O99),", por debajo del límite inferior de "&amp;TEXT($O99,"0.####")&amp;IF($H99="",""," "&amp;$H99),"")&amp;IF(AND(ISNUMBER($P99),$V99&gt;$P99),", por encima del límite superior de "&amp;TEXT($P99,"0.####")&amp;IF($H99="",""," "&amp;$H99),"")&amp;".","")&amp;IF($Y99="",""," "&amp;$Y99&amp;IF(RIGHT($Y99,1)=".","","."))&amp;" Acción recomendada: "&amp;$M99&amp;IF(RIGHT($M99,1)=".","",".")&amp;IF($J99="Bloqueante"," El equipo no se libera hasta resolver este hallazgo.",IF($J99="Cobrable"," Se incluye en la cotización de repuestos y consumibles."," Se deja registrado como observación.")))</f>
        <v/>
      </c>
    </row>
    <row r="100" ht="48" customHeight="1">
      <c r="A100" s="10" t="inlineStr">
        <is>
          <t>10.2.2</t>
        </is>
      </c>
      <c r="B100" s="10" t="inlineStr">
        <is>
          <t>10. Gabinete, montaje e instalación</t>
        </is>
      </c>
      <c r="C100" s="10" t="inlineStr">
        <is>
          <t>10.2 Montaje físico</t>
        </is>
      </c>
      <c r="D100" s="11" t="inlineStr">
        <is>
          <t>Espacio posterior para ventilación y servicio</t>
        </is>
      </c>
      <c r="E100" s="11" t="inlineStr">
        <is>
          <t>Distancia libre de obstáculos detrás del extractor posterior del analizador</t>
        </is>
      </c>
      <c r="F100" s="12" t="inlineStr">
        <is>
          <t>Medir con flexómetro la distancia entre el panel trasero del equipo y la puerta o pared posterior del rack, con las mangueras y cables ya instalados.</t>
        </is>
      </c>
      <c r="G100" s="10" t="inlineStr">
        <is>
          <t>Numérico</t>
        </is>
      </c>
      <c r="H100" s="10" t="inlineStr">
        <is>
          <t>mm</t>
        </is>
      </c>
      <c r="I100" s="11" t="inlineStr">
        <is>
          <t>Mínimo 150 mm libres detrás de la unidad para flujo de aire y manipulación de cables. Límite superior PENDIENTE DE VALIDAR</t>
        </is>
      </c>
      <c r="J100" s="13" t="inlineStr">
        <is>
          <t>Alerta</t>
        </is>
      </c>
      <c r="K100" s="14" t="inlineStr">
        <is>
          <t>Espacio insuficiente: mangueras dobladas y ventilación restringida</t>
        </is>
      </c>
      <c r="L100" s="15" t="inlineStr">
        <is>
          <t>4.2.1 ; 10.4.1</t>
        </is>
      </c>
      <c r="M100" s="14" t="inlineStr">
        <is>
          <t>Reubicar el equipo para dejar al menos 150 mm libres detrás</t>
        </is>
      </c>
      <c r="N100" s="16" t="inlineStr">
        <is>
          <t>El espacio libre detrás del analizador es insuficiente para el trazado de mangueras y para su ventilación.</t>
        </is>
      </c>
      <c r="O100" s="10" t="n">
        <v>150</v>
      </c>
      <c r="P100" s="10" t="n"/>
      <c r="Q100" s="10" t="inlineStr">
        <is>
          <t>Sí</t>
        </is>
      </c>
      <c r="R100" s="10" t="inlineStr">
        <is>
          <t>No</t>
        </is>
      </c>
      <c r="S100" s="11" t="inlineStr"/>
      <c r="T100" s="11" t="inlineStr">
        <is>
          <t>P-ST-030-MAN OPER APSA 370 V2</t>
        </is>
      </c>
      <c r="U100" s="17" t="inlineStr">
        <is>
          <t>Pendiente</t>
        </is>
      </c>
      <c r="V100" s="17" t="n"/>
      <c r="W100" s="10">
        <f>IF($G100&lt;&gt;"Numérico","",IF($V100="","Sin dato",IF(AND(OR(NOT(ISNUMBER($O100)),$V100&gt;=$O100),OR(NOT(ISNUMBER($P100)),$V100&lt;=$P100)),"Dentro de rango","Fuera de rango")))</f>
        <v/>
      </c>
      <c r="X100" s="17" t="n"/>
      <c r="Y100" s="18" t="n"/>
      <c r="Z100" s="16">
        <f>IF(OR($U100="",$U100="Conforme",$U100="No aplica",$U100="Pendiente"),"",$N100&amp;IF($W100="Fuera de rango"," Valor medido: "&amp;TEXT($V100,"0.####")&amp;IF($H100="",""," "&amp;$H100)&amp;IF(AND(ISNUMBER($O100),$V100&lt;$O100),", por debajo del límite inferior de "&amp;TEXT($O100,"0.####")&amp;IF($H100="",""," "&amp;$H100),"")&amp;IF(AND(ISNUMBER($P100),$V100&gt;$P100),", por encima del límite superior de "&amp;TEXT($P100,"0.####")&amp;IF($H100="",""," "&amp;$H100),"")&amp;".","")&amp;IF($Y100="",""," "&amp;$Y100&amp;IF(RIGHT($Y100,1)=".","","."))&amp;" Acción recomendada: "&amp;$M100&amp;IF(RIGHT($M100,1)=".","",".")&amp;IF($J100="Bloqueante"," El equipo no se libera hasta resolver este hallazgo.",IF($J100="Cobrable"," Se incluye en la cotización de repuestos y consumibles."," Se deja registrado como observación.")))</f>
        <v/>
      </c>
    </row>
    <row r="101" ht="48" customHeight="1">
      <c r="A101" s="10" t="inlineStr">
        <is>
          <t>10.2.3</t>
        </is>
      </c>
      <c r="B101" s="10" t="inlineStr">
        <is>
          <t>10. Gabinete, montaje e instalación</t>
        </is>
      </c>
      <c r="C101" s="10" t="inlineStr">
        <is>
          <t>10.2 Montaje físico</t>
        </is>
      </c>
      <c r="D101" s="11" t="inlineStr">
        <is>
          <t>Bandeja de soporte en rack de 19 pulgadas</t>
        </is>
      </c>
      <c r="E101" s="11" t="inlineStr">
        <is>
          <t>Base metálica o rieles de soporte inferior en la cabina de instrumentación</t>
        </is>
      </c>
      <c r="F101" s="12" t="inlineStr">
        <is>
          <t>Inspeccionar visualmente por debajo del equipo si está apoyado sobre bandeja o rieles, y comprobar presionando el frente del chasis que no haya flexión ni juego.</t>
        </is>
      </c>
      <c r="G101" s="10" t="inlineStr">
        <is>
          <t>Sí/No</t>
        </is>
      </c>
      <c r="H101" s="10" t="inlineStr"/>
      <c r="I101" s="11" t="inlineStr">
        <is>
          <t>Por el peso del instrumento (19 kg) es obligatorio colocar una base de soporte inferior</t>
        </is>
      </c>
      <c r="J101" s="13" t="inlineStr">
        <is>
          <t>Alerta</t>
        </is>
      </c>
      <c r="K101" s="14" t="inlineStr">
        <is>
          <t>Equipo de 19 kg apoyado solo por el frente: flexión del chasis</t>
        </is>
      </c>
      <c r="L101" s="15" t="inlineStr">
        <is>
          <t>Nodo terminal — actuar directamente</t>
        </is>
      </c>
      <c r="M101" s="14" t="inlineStr">
        <is>
          <t>Instalar bandeja o rieles de soporte antes de cerrar el servicio</t>
        </is>
      </c>
      <c r="N101" s="16" t="inlineStr">
        <is>
          <t>El analizador no cuenta con bandeja o rieles de soporte y queda apoyado únicamente por su frente.</t>
        </is>
      </c>
      <c r="O101" s="10" t="n"/>
      <c r="P101" s="10" t="n"/>
      <c r="Q101" s="10" t="inlineStr">
        <is>
          <t>Sí</t>
        </is>
      </c>
      <c r="R101" s="10" t="inlineStr">
        <is>
          <t>No</t>
        </is>
      </c>
      <c r="S101" s="11" t="inlineStr"/>
      <c r="T101" s="11" t="inlineStr">
        <is>
          <t>P-ST-030-MAN OPER APSA 370 V2</t>
        </is>
      </c>
      <c r="U101" s="17" t="inlineStr">
        <is>
          <t>Pendiente</t>
        </is>
      </c>
      <c r="V101" s="17" t="n"/>
      <c r="W101" s="10">
        <f>IF($G101&lt;&gt;"Numérico","",IF($V101="","Sin dato",IF(AND(OR(NOT(ISNUMBER($O101)),$V101&gt;=$O101),OR(NOT(ISNUMBER($P101)),$V101&lt;=$P101)),"Dentro de rango","Fuera de rango")))</f>
        <v/>
      </c>
      <c r="X101" s="17" t="n"/>
      <c r="Y101" s="18" t="n"/>
      <c r="Z101" s="16">
        <f>IF(OR($U101="",$U101="Conforme",$U101="No aplica",$U101="Pendiente"),"",$N101&amp;IF($W101="Fuera de rango"," Valor medido: "&amp;TEXT($V101,"0.####")&amp;IF($H101="",""," "&amp;$H101)&amp;IF(AND(ISNUMBER($O101),$V101&lt;$O101),", por debajo del límite inferior de "&amp;TEXT($O101,"0.####")&amp;IF($H101="",""," "&amp;$H101),"")&amp;IF(AND(ISNUMBER($P101),$V101&gt;$P101),", por encima del límite superior de "&amp;TEXT($P101,"0.####")&amp;IF($H101="",""," "&amp;$H101),"")&amp;".","")&amp;IF($Y101="",""," "&amp;$Y101&amp;IF(RIGHT($Y101,1)=".","","."))&amp;" Acción recomendada: "&amp;$M101&amp;IF(RIGHT($M101,1)=".","",".")&amp;IF($J101="Bloqueante"," El equipo no se libera hasta resolver este hallazgo.",IF($J101="Cobrable"," Se incluye en la cotización de repuestos y consumibles."," Se deja registrado como observación.")))</f>
        <v/>
      </c>
    </row>
    <row r="102" ht="48" customHeight="1">
      <c r="A102" s="10" t="inlineStr">
        <is>
          <t>10.3.1</t>
        </is>
      </c>
      <c r="B102" s="10" t="inlineStr">
        <is>
          <t>10. Gabinete, montaje e instalación</t>
        </is>
      </c>
      <c r="C102" s="10" t="inlineStr">
        <is>
          <t>10.3 Chasis y puerta frontal</t>
        </is>
      </c>
      <c r="D102" s="11" t="inlineStr">
        <is>
          <t>Casquillos de bisagra de la puerta delantera</t>
        </is>
      </c>
      <c r="E102" s="11" t="inlineStr">
        <is>
          <t>Desgaste y holgura del casquillo plástico de la bisagra de la puerta frontal</t>
        </is>
      </c>
      <c r="F102" s="12" t="inlineStr">
        <is>
          <t>Con la puerta abierta, inspeccionar los puntos de pivote y verificar la presencia y el estado de los casquillos plásticos. Comprobar que no haya holgura lateral al mover la puerta.</t>
        </is>
      </c>
      <c r="G102" s="10" t="inlineStr">
        <is>
          <t>OK / No OK</t>
        </is>
      </c>
      <c r="H102" s="10" t="inlineStr"/>
      <c r="I102" s="11" t="inlineStr">
        <is>
          <t>La puerta debe abrir y cerrar con alineamiento perfecto; sustituir casquillos desgastados</t>
        </is>
      </c>
      <c r="J102" s="13" t="inlineStr">
        <is>
          <t>Cobrable</t>
        </is>
      </c>
      <c r="K102" s="14" t="inlineStr">
        <is>
          <t>Casquillo desgastado: la puerta se descuelga y desalinea la pantalla</t>
        </is>
      </c>
      <c r="L102" s="15" t="inlineStr">
        <is>
          <t>7.4.1</t>
        </is>
      </c>
      <c r="M102" s="14" t="inlineStr">
        <is>
          <t>Reemplazar los casquillos de bisagra y realinear la puerta</t>
        </is>
      </c>
      <c r="N102" s="16" t="inlineStr">
        <is>
          <t>Los casquillos de bisagra de la puerta frontal están desgastados: la puerta se descuelga y desalinea la pantalla.</t>
        </is>
      </c>
      <c r="O102" s="10" t="n"/>
      <c r="P102" s="10" t="n"/>
      <c r="Q102" s="10" t="inlineStr">
        <is>
          <t>Sí</t>
        </is>
      </c>
      <c r="R102" s="10" t="inlineStr">
        <is>
          <t>Sí</t>
        </is>
      </c>
      <c r="S102" s="11" t="inlineStr">
        <is>
          <t>Door Hinge (3012304034) · Hinji Bush (3012304035)</t>
        </is>
      </c>
      <c r="T102" s="11" t="inlineStr">
        <is>
          <t>MT_RRWV1F42_APSA370_260427</t>
        </is>
      </c>
      <c r="U102" s="17" t="inlineStr">
        <is>
          <t>Pendiente</t>
        </is>
      </c>
      <c r="V102" s="17" t="n"/>
      <c r="W102" s="10">
        <f>IF($G102&lt;&gt;"Numérico","",IF($V102="","Sin dato",IF(AND(OR(NOT(ISNUMBER($O102)),$V102&gt;=$O102),OR(NOT(ISNUMBER($P102)),$V102&lt;=$P102)),"Dentro de rango","Fuera de rango")))</f>
        <v/>
      </c>
      <c r="X102" s="17" t="n"/>
      <c r="Y102" s="18" t="n"/>
      <c r="Z102" s="16">
        <f>IF(OR($U102="",$U102="Conforme",$U102="No aplica",$U102="Pendiente"),"",$N102&amp;IF($W102="Fuera de rango"," Valor medido: "&amp;TEXT($V102,"0.####")&amp;IF($H102="",""," "&amp;$H102)&amp;IF(AND(ISNUMBER($O102),$V102&lt;$O102),", por debajo del límite inferior de "&amp;TEXT($O102,"0.####")&amp;IF($H102="",""," "&amp;$H102),"")&amp;IF(AND(ISNUMBER($P102),$V102&gt;$P102),", por encima del límite superior de "&amp;TEXT($P102,"0.####")&amp;IF($H102="",""," "&amp;$H102),"")&amp;".","")&amp;IF($Y102="",""," "&amp;$Y102&amp;IF(RIGHT($Y102,1)=".","","."))&amp;" Acción recomendada: "&amp;$M102&amp;IF(RIGHT($M102,1)=".","",".")&amp;IF($J102="Bloqueante"," El equipo no se libera hasta resolver este hallazgo.",IF($J102="Cobrable"," Se incluye en la cotización de repuestos y consumibles."," Se deja registrado como observación.")))</f>
        <v/>
      </c>
    </row>
    <row r="103" ht="48" customHeight="1">
      <c r="A103" s="10" t="inlineStr">
        <is>
          <t>10.4.1</t>
        </is>
      </c>
      <c r="B103" s="10" t="inlineStr">
        <is>
          <t>10. Gabinete, montaje e instalación</t>
        </is>
      </c>
      <c r="C103" s="10" t="inlineStr">
        <is>
          <t>10.4 Ventilación y control térmico</t>
        </is>
      </c>
      <c r="D103" s="11" t="inlineStr">
        <is>
          <t>Ventilador de enfriamiento posterior (Fan)</t>
        </is>
      </c>
      <c r="E103" s="11" t="inlineStr">
        <is>
          <t>Funcionamiento del ventilador de refrigeración del panel posterior</t>
        </is>
      </c>
      <c r="F103" s="12" t="inlineStr">
        <is>
          <t>Con el equipo energizado, aproximar la mano o una tira de papel a la rejilla posterior para confirmar el flujo de aire, y escuchar el ventilador buscando ruido de rodamiento.</t>
        </is>
      </c>
      <c r="G103" s="10" t="inlineStr">
        <is>
          <t>OK / No OK</t>
        </is>
      </c>
      <c r="H103" s="10" t="inlineStr"/>
      <c r="I103" s="11" t="inlineStr">
        <is>
          <t>Debe girar libremente, sin ruidos de desgaste, asegurando flujo constante (vida útil aprox. 3 años)</t>
        </is>
      </c>
      <c r="J103" s="13" t="inlineStr">
        <is>
          <t>Bloqueante</t>
        </is>
      </c>
      <c r="K103" s="14" t="inlineStr">
        <is>
          <t>Rodamiento desgastado o ventilador obstruido por polvo</t>
        </is>
      </c>
      <c r="L103" s="15" t="inlineStr">
        <is>
          <t>10.1.3 ; 9.1.1</t>
        </is>
      </c>
      <c r="M103" s="14" t="inlineStr">
        <is>
          <t>Reemplazar el ventilador; el equipo no se libera con la refrigeración comprometida</t>
        </is>
      </c>
      <c r="N103" s="16" t="inlineStr">
        <is>
          <t>El ventilador de refrigeración no opera correctamente, lo que compromete la estabilidad térmica del analizador.</t>
        </is>
      </c>
      <c r="O103" s="10" t="n"/>
      <c r="P103" s="10" t="n"/>
      <c r="Q103" s="10" t="inlineStr">
        <is>
          <t>Sí</t>
        </is>
      </c>
      <c r="R103" s="10" t="inlineStr">
        <is>
          <t>Sí</t>
        </is>
      </c>
      <c r="S103" s="11" t="inlineStr"/>
      <c r="T103" s="11" t="inlineStr">
        <is>
          <t>GZ0000117746B SM E APXX-370 (Service Manual)</t>
        </is>
      </c>
      <c r="U103" s="17" t="inlineStr">
        <is>
          <t>Pendiente</t>
        </is>
      </c>
      <c r="V103" s="17" t="n"/>
      <c r="W103" s="10">
        <f>IF($G103&lt;&gt;"Numérico","",IF($V103="","Sin dato",IF(AND(OR(NOT(ISNUMBER($O103)),$V103&gt;=$O103),OR(NOT(ISNUMBER($P103)),$V103&lt;=$P103)),"Dentro de rango","Fuera de rango")))</f>
        <v/>
      </c>
      <c r="X103" s="17" t="n"/>
      <c r="Y103" s="18" t="n"/>
      <c r="Z103" s="16">
        <f>IF(OR($U103="",$U103="Conforme",$U103="No aplica",$U103="Pendiente"),"",$N103&amp;IF($W103="Fuera de rango"," Valor medido: "&amp;TEXT($V103,"0.####")&amp;IF($H103="",""," "&amp;$H103)&amp;IF(AND(ISNUMBER($O103),$V103&lt;$O103),", por debajo del límite inferior de "&amp;TEXT($O103,"0.####")&amp;IF($H103="",""," "&amp;$H103),"")&amp;IF(AND(ISNUMBER($P103),$V103&gt;$P103),", por encima del límite superior de "&amp;TEXT($P103,"0.####")&amp;IF($H103="",""," "&amp;$H103),"")&amp;".","")&amp;IF($Y103="",""," "&amp;$Y103&amp;IF(RIGHT($Y103,1)=".","","."))&amp;" Acción recomendada: "&amp;$M103&amp;IF(RIGHT($M103,1)=".","",".")&amp;IF($J103="Bloqueante"," El equipo no se libera hasta resolver este hallazgo.",IF($J103="Cobrable"," Se incluye en la cotización de repuestos y consumibles."," Se deja registrado como observación.")))</f>
        <v/>
      </c>
    </row>
    <row r="104" ht="48" customHeight="1">
      <c r="A104" s="10" t="inlineStr">
        <is>
          <t>10.4.2</t>
        </is>
      </c>
      <c r="B104" s="10" t="inlineStr">
        <is>
          <t>10. Gabinete, montaje e instalación</t>
        </is>
      </c>
      <c r="C104" s="10" t="inlineStr">
        <is>
          <t>10.4 Ventilación y control térmico</t>
        </is>
      </c>
      <c r="D104" s="11" t="inlineStr">
        <is>
          <t>Calefactor de la cámara o del HC Cutter (Heater)</t>
        </is>
      </c>
      <c r="E104" s="11" t="inlineStr">
        <is>
          <t>Operación del calefactor del bloque térmico o del HC Cutter</t>
        </is>
      </c>
      <c r="F104" s="12" t="inlineStr">
        <is>
          <t>Verificar en ANALOG INPUT que la temperatura controlada sea estable y no presente oscilaciones, y confirmar por tacto con el debido cuidado que la carcasa esté caliente.</t>
        </is>
      </c>
      <c r="G104" s="10" t="inlineStr">
        <is>
          <t>OK / No OK</t>
        </is>
      </c>
      <c r="H104" s="10" t="inlineStr"/>
      <c r="I104" s="11" t="inlineStr">
        <is>
          <t>Debe operar y mantener estabilidad térmica sin interrupciones (vida útil aprox. 3 años)</t>
        </is>
      </c>
      <c r="J104" s="13" t="inlineStr">
        <is>
          <t>Bloqueante</t>
        </is>
      </c>
      <c r="K104" s="14" t="inlineStr">
        <is>
          <t>Resistencia abierta, termocupla dañada, o relé de estado sólido en falla</t>
        </is>
      </c>
      <c r="L104" s="15" t="inlineStr">
        <is>
          <t>6.3.1 ; 9.1.1</t>
        </is>
      </c>
      <c r="M104" s="14" t="inlineStr">
        <is>
          <t>Medir continuidad de la resistencia y de la termocupla antes de intervenir la tarjeta</t>
        </is>
      </c>
      <c r="N104" s="16" t="inlineStr">
        <is>
          <t>El lazo de calentamiento no alcanza o no mantiene su temperatura de operación.</t>
        </is>
      </c>
      <c r="O104" s="10" t="n"/>
      <c r="P104" s="10" t="n"/>
      <c r="Q104" s="10" t="inlineStr">
        <is>
          <t>Sí</t>
        </is>
      </c>
      <c r="R104" s="10" t="inlineStr">
        <is>
          <t>Sí</t>
        </is>
      </c>
      <c r="S104" s="11" t="inlineStr">
        <is>
          <t>Heat Insulator (3012168489)</t>
        </is>
      </c>
      <c r="T104" s="11" t="inlineStr">
        <is>
          <t>GZ0000117746B SM E APXX-370 (Service Manual)</t>
        </is>
      </c>
      <c r="U104" s="17" t="inlineStr">
        <is>
          <t>Pendiente</t>
        </is>
      </c>
      <c r="V104" s="17" t="n"/>
      <c r="W104" s="10">
        <f>IF($G104&lt;&gt;"Numérico","",IF($V104="","Sin dato",IF(AND(OR(NOT(ISNUMBER($O104)),$V104&gt;=$O104),OR(NOT(ISNUMBER($P104)),$V104&lt;=$P104)),"Dentro de rango","Fuera de rango")))</f>
        <v/>
      </c>
      <c r="X104" s="17" t="n"/>
      <c r="Y104" s="18" t="n"/>
      <c r="Z104" s="16">
        <f>IF(OR($U104="",$U104="Conforme",$U104="No aplica",$U104="Pendiente"),"",$N104&amp;IF($W104="Fuera de rango"," Valor medido: "&amp;TEXT($V104,"0.####")&amp;IF($H104="",""," "&amp;$H104)&amp;IF(AND(ISNUMBER($O104),$V104&lt;$O104),", por debajo del límite inferior de "&amp;TEXT($O104,"0.####")&amp;IF($H104="",""," "&amp;$H104),"")&amp;IF(AND(ISNUMBER($P104),$V104&gt;$P104),", por encima del límite superior de "&amp;TEXT($P104,"0.####")&amp;IF($H104="",""," "&amp;$H104),"")&amp;".","")&amp;IF($Y104="",""," "&amp;$Y104&amp;IF(RIGHT($Y104,1)=".","","."))&amp;" Acción recomendada: "&amp;$M104&amp;IF(RIGHT($M104,1)=".","",".")&amp;IF($J104="Bloqueante"," El equipo no se libera hasta resolver este hallazgo.",IF($J104="Cobrable"," Se incluye en la cotización de repuestos y consumibles."," Se deja registrado como observación.")))</f>
        <v/>
      </c>
    </row>
  </sheetData>
  <autoFilter ref="A8:Z104"/>
  <conditionalFormatting sqref="U9:U104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W9:W104">
    <cfRule type="cellIs" priority="4" operator="equal" dxfId="1">
      <formula>"Fuera de rango"</formula>
    </cfRule>
  </conditionalFormatting>
  <conditionalFormatting sqref="J9:J104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U9:U104" showDropDown="0" showInputMessage="0" showErrorMessage="0" allowBlank="1" type="list">
      <formula1>Listas!$A$2:$A$6</formula1>
    </dataValidation>
    <dataValidation sqref="X9:X104" showDropDown="0" showInputMessage="0" showErrorMessage="0" allowBlank="1" type="list">
      <formula1>Listas!$B$2:$B$4</formula1>
    </dataValidation>
    <dataValidation sqref="J9:J104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8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62" customWidth="1" min="14" max="14"/>
    <col width="10" customWidth="1" min="15" max="15"/>
    <col width="10" customWidth="1" min="16" max="16"/>
    <col width="11" customWidth="1" min="17" max="17"/>
    <col width="14" customWidth="1" min="18" max="18"/>
    <col width="46" customWidth="1" min="19" max="19"/>
    <col width="34" customWidth="1" min="20" max="20"/>
    <col width="19" customWidth="1" min="21" max="21"/>
    <col width="13" customWidth="1" min="22" max="22"/>
    <col width="17" customWidth="1" min="23" max="23"/>
    <col width="12" customWidth="1" min="24" max="24"/>
    <col width="46" customWidth="1" min="25" max="25"/>
    <col width="80" customWidth="1" min="26" max="26"/>
  </cols>
  <sheetData>
    <row r="1" ht="18" customHeight="1">
      <c r="A1" s="5" t="inlineStr">
        <is>
          <t>FASE 1 — INSPECCIÓN FÍSICA DEL EQUIPO · APOA-370 (O3)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Absorción UV no dispersiva (NDUV)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ozono HORIBA APOA-370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Comentario de falla (informe al cliente)</t>
        </is>
      </c>
      <c r="O8" s="9" t="inlineStr">
        <is>
          <t>Límite inferior</t>
        </is>
      </c>
      <c r="P8" s="9" t="inlineStr">
        <is>
          <t>Límite superior</t>
        </is>
      </c>
      <c r="Q8" s="9" t="inlineStr">
        <is>
          <t>Obligatorio</t>
        </is>
      </c>
      <c r="R8" s="9" t="inlineStr">
        <is>
          <t>Evidencia fotográfica requerida</t>
        </is>
      </c>
      <c r="S8" s="9" t="inlineStr">
        <is>
          <t>Repuesto / parte asociada (catálogo Zoho Books)</t>
        </is>
      </c>
      <c r="T8" s="9" t="inlineStr">
        <is>
          <t>Fuente documental</t>
        </is>
      </c>
      <c r="U8" s="9" t="inlineStr">
        <is>
          <t>Resultado</t>
        </is>
      </c>
      <c r="V8" s="9" t="inlineStr">
        <is>
          <t>Valor medido</t>
        </is>
      </c>
      <c r="W8" s="9" t="inlineStr">
        <is>
          <t>Verificación de rango</t>
        </is>
      </c>
      <c r="X8" s="9" t="inlineStr">
        <is>
          <t>Foto adjunta</t>
        </is>
      </c>
      <c r="Y8" s="9" t="inlineStr">
        <is>
          <t>Observación</t>
        </is>
      </c>
      <c r="Z8" s="9" t="inlineStr">
        <is>
          <t>Comentario para el informe (automático)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LED de alimentación (panel frontal)</t>
        </is>
      </c>
      <c r="E9" s="11" t="inlineStr">
        <is>
          <t>Color del indicador de encendido tras activar el interruptor de alimentación</t>
        </is>
      </c>
      <c r="F9" s="12" t="inlineStr">
        <is>
          <t>Con el equipo energizado, observar el LED de encendido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en operación normal y en rojo bajo condición de alarma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1.2.1</t>
        </is>
      </c>
      <c r="M9" s="14" t="inlineStr">
        <is>
          <t>Registrar el color y pasar al listado de alarmas antes de continuar</t>
        </is>
      </c>
      <c r="N9" s="16" t="inlineStr">
        <is>
          <t>El indicador de encendido del panel frontal no muestra el estado normal de operación, lo que señala una condición de alarma activa en el analizador.</t>
        </is>
      </c>
      <c r="O9" s="10" t="n"/>
      <c r="P9" s="10" t="n"/>
      <c r="Q9" s="10" t="inlineStr">
        <is>
          <t>Sí</t>
        </is>
      </c>
      <c r="R9" s="10" t="inlineStr">
        <is>
          <t>Sí</t>
        </is>
      </c>
      <c r="S9" s="11" t="inlineStr"/>
      <c r="T9" s="11" t="inlineStr">
        <is>
          <t>P-ST-001-MAN OPER APOA 370 V2</t>
        </is>
      </c>
      <c r="U9" s="17" t="inlineStr">
        <is>
          <t>Pendiente</t>
        </is>
      </c>
      <c r="V9" s="17" t="n"/>
      <c r="W9" s="10">
        <f>IF($G9&lt;&gt;"Numérico","",IF($V9="","Sin dato",IF(AND(OR(NOT(ISNUMBER($O9)),$V9&gt;=$O9),OR(NOT(ISNUMBER($P9)),$V9&lt;=$P9)),"Dentro de rango","Fuera de rango")))</f>
        <v/>
      </c>
      <c r="X9" s="17" t="n"/>
      <c r="Y9" s="18" t="n"/>
      <c r="Z9" s="16">
        <f>IF(OR($U9="",$U9="Conforme",$U9="No aplica",$U9="Pendiente"),"",$N9&amp;IF($W9="Fuera de rango"," Valor medido: "&amp;TEXT($V9,"0.####")&amp;IF($H9="",""," "&amp;$H9)&amp;IF(AND(ISNUMBER($O9),$V9&lt;$O9),", por debajo del límite inferior de "&amp;TEXT($O9,"0.####")&amp;IF($H9="",""," "&amp;$H9),"")&amp;IF(AND(ISNUMBER($P9),$V9&gt;$P9),", por encima del límite superior de "&amp;TEXT($P9,"0.####")&amp;IF($H9="",""," "&amp;$H9),"")&amp;".","")&amp;IF($Y9="",""," "&amp;$Y9&amp;IF(RIGHT($Y9,1)=".","","."))&amp;" Acción recomendada: "&amp;$M9&amp;IF(RIGHT($M9,1)=".","",".")&amp;IF($J9="Bloqueante"," El equipo no se libera hasta resolver este hallazgo.",IF($J9="Cobrable"," Se incluye en la cotización de repuestos y consumibles."," Se deja registrado como observación.")))</f>
        <v/>
      </c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Inicialización del visualizador táctil</t>
        </is>
      </c>
      <c r="E10" s="11" t="inlineStr">
        <is>
          <t>Que la pantalla de medición MEAS. se visualice automáticamente al encender</t>
        </is>
      </c>
      <c r="F10" s="12" t="inlineStr">
        <is>
          <t>Encender el equipo y verificar que la pantalla MEAS. se despliegue automáticamente y que la lectura de concentración comience a actualizarse.</t>
        </is>
      </c>
      <c r="G10" s="10" t="inlineStr">
        <is>
          <t>Sí/No</t>
        </is>
      </c>
      <c r="H10" s="10" t="inlineStr"/>
      <c r="I10" s="11" t="inlineStr">
        <is>
          <t>La pantalla MEAS. se despliega correctamente y el equipo inicia las mediciones</t>
        </is>
      </c>
      <c r="J10" s="13" t="inlineStr">
        <is>
          <t>Cobrable</t>
        </is>
      </c>
      <c r="K10" s="14" t="inlineStr">
        <is>
          <t>Unidad LCD o bus de datos de la pantalla en falla</t>
        </is>
      </c>
      <c r="L10" s="15" t="inlineStr">
        <is>
          <t>7.3.1 ; 7.2.2</t>
        </is>
      </c>
      <c r="M10" s="14" t="inlineStr">
        <is>
          <t>Prueba cruzada con unidad LCD de servicio antes de reemplazar</t>
        </is>
      </c>
      <c r="N10" s="16" t="inlineStr">
        <is>
          <t>La pantalla del analizador no despliega automáticamente el menú de medición al encender.</t>
        </is>
      </c>
      <c r="O10" s="10" t="n"/>
      <c r="P10" s="10" t="n"/>
      <c r="Q10" s="10" t="inlineStr">
        <is>
          <t>Sí</t>
        </is>
      </c>
      <c r="R10" s="10" t="inlineStr">
        <is>
          <t>No</t>
        </is>
      </c>
      <c r="S10" s="11" t="inlineStr"/>
      <c r="T10" s="11" t="inlineStr">
        <is>
          <t>P-ST-001-MAN OPER APOA 370 V2</t>
        </is>
      </c>
      <c r="U10" s="17" t="inlineStr">
        <is>
          <t>Pendiente</t>
        </is>
      </c>
      <c r="V10" s="17" t="n"/>
      <c r="W10" s="10">
        <f>IF($G10&lt;&gt;"Numérico","",IF($V10="","Sin dato",IF(AND(OR(NOT(ISNUMBER($O10)),$V10&gt;=$O10),OR(NOT(ISNUMBER($P10)),$V10&lt;=$P10)),"Dentro de rango","Fuera de rango")))</f>
        <v/>
      </c>
      <c r="X10" s="17" t="n"/>
      <c r="Y10" s="18" t="n"/>
      <c r="Z10" s="16">
        <f>IF(OR($U10="",$U10="Conforme",$U10="No aplica",$U10="Pendiente"),"",$N10&amp;IF($W10="Fuera de rango"," Valor medido: "&amp;TEXT($V10,"0.####")&amp;IF($H10="",""," "&amp;$H10)&amp;IF(AND(ISNUMBER($O10),$V10&lt;$O10),", por debajo del límite inferior de "&amp;TEXT($O10,"0.####")&amp;IF($H10="",""," "&amp;$H10),"")&amp;IF(AND(ISNUMBER($P10),$V10&gt;$P10),", por encima del límite superior de "&amp;TEXT($P10,"0.####")&amp;IF($H10="",""," "&amp;$H10),"")&amp;".","")&amp;IF($Y10="",""," "&amp;$Y10&amp;IF(RIGHT($Y10,1)=".","","."))&amp;" Acción recomendada: "&amp;$M10&amp;IF(RIGHT($M10,1)=".","",".")&amp;IF($J10="Bloqueante"," El equipo no se libera hasta resolver este hallazgo.",IF($J10="Cobrable"," Se incluye en la cotización de repuestos y consumibles."," Se deja registrado como observación.")))</f>
        <v/>
      </c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Verificación de la pantalla de inicio</t>
        </is>
      </c>
      <c r="E11" s="11" t="inlineStr">
        <is>
          <t>Que la pantalla muestre el logotipo oficial HORIBA u OEM antes del modo MEAS.</t>
        </is>
      </c>
      <c r="F11" s="12" t="inlineStr">
        <is>
          <t>Encender el equipo observando la pantalla desde el primer instante y verificar que el logotipo se despliegue completo, sin franjas, píxeles muertos ni distorsión.</t>
        </is>
      </c>
      <c r="G11" s="10" t="inlineStr">
        <is>
          <t>OK / No OK</t>
        </is>
      </c>
      <c r="H11" s="10" t="inlineStr"/>
      <c r="I11" s="11" t="inlineStr">
        <is>
          <t>El logotipo oficial se despliega correctamente, sin distorsión ni corrupción gráfica</t>
        </is>
      </c>
      <c r="J11" s="13" t="inlineStr">
        <is>
          <t>Cobrable</t>
        </is>
      </c>
      <c r="K11" s="14" t="inlineStr">
        <is>
          <t>Corrupción gráfica por bus de datos flojo o memoria dañada</t>
        </is>
      </c>
      <c r="L11" s="15" t="inlineStr">
        <is>
          <t>1.1.2 ; 7.2.2</t>
        </is>
      </c>
      <c r="M11" s="14" t="inlineStr">
        <is>
          <t>Reasentar el bus de datos; si persiste, inicializar la CPU y recargar la configuración</t>
        </is>
      </c>
      <c r="N11" s="16" t="inlineStr">
        <is>
          <t>La pantalla de arranque presenta distorsión o corrupción gráfica, señal de falla en el bus de datos o en la memoria.</t>
        </is>
      </c>
      <c r="O11" s="10" t="n"/>
      <c r="P11" s="10" t="n"/>
      <c r="Q11" s="10" t="inlineStr">
        <is>
          <t>Sí</t>
        </is>
      </c>
      <c r="R11" s="10" t="inlineStr">
        <is>
          <t>Sí</t>
        </is>
      </c>
      <c r="S11" s="11" t="inlineStr"/>
      <c r="T11" s="11" t="inlineStr">
        <is>
          <t>GZ0000117746B SM E APXX-370 (Service Manual)</t>
        </is>
      </c>
      <c r="U11" s="17" t="inlineStr">
        <is>
          <t>Pendiente</t>
        </is>
      </c>
      <c r="V11" s="17" t="n"/>
      <c r="W11" s="10">
        <f>IF($G11&lt;&gt;"Numérico","",IF($V11="","Sin dato",IF(AND(OR(NOT(ISNUMBER($O11)),$V11&gt;=$O11),OR(NOT(ISNUMBER($P11)),$V11&lt;=$P11)),"Dentro de rango","Fuera de rango")))</f>
        <v/>
      </c>
      <c r="X11" s="17" t="n"/>
      <c r="Y11" s="18" t="n"/>
      <c r="Z11" s="16">
        <f>IF(OR($U11="",$U11="Conforme",$U11="No aplica",$U11="Pendiente"),"",$N11&amp;IF($W11="Fuera de rango"," Valor medido: "&amp;TEXT($V11,"0.####")&amp;IF($H11="",""," "&amp;$H11)&amp;IF(AND(ISNUMBER($O11),$V11&lt;$O11),", por debajo del límite inferior de "&amp;TEXT($O11,"0.####")&amp;IF($H11="",""," "&amp;$H11),"")&amp;IF(AND(ISNUMBER($P11),$V11&gt;$P11),", por encima del límite superior de "&amp;TEXT($P11,"0.####")&amp;IF($H11="",""," "&amp;$H11),"")&amp;".","")&amp;IF($Y11="",""," "&amp;$Y11&amp;IF(RIGHT($Y11,1)=".","","."))&amp;" Acción recomendada: "&amp;$M11&amp;IF(RIGHT($M11,1)=".","",".")&amp;IF($J11="Bloqueante"," El equipo no se libera hasta resolver este hallazgo.",IF($J11="Cobrable"," Se incluye en la cotización de repuestos y consumibles."," Se deja registrado como observación.")))</f>
        <v/>
      </c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</t>
        </is>
      </c>
      <c r="D12" s="11" t="inlineStr">
        <is>
          <t>Iconos y botones de alarma en pantalla</t>
        </is>
      </c>
      <c r="E12" s="11" t="inlineStr">
        <is>
          <t>Presencia de iconos de alarma en la barra superior o del botón ALARM en la esquina inferior derecha</t>
        </is>
      </c>
      <c r="F12" s="12" t="inlineStr">
        <is>
          <t>Observar la barra superior y la esquina inferior derecha de la pantalla MEAS. Si aparece el botón ALARM, presionarlo y anotar los códigos activos antes de continuar.</t>
        </is>
      </c>
      <c r="G12" s="10" t="inlineStr">
        <is>
          <t>Sí/No</t>
        </is>
      </c>
      <c r="H12" s="10" t="inlineStr"/>
      <c r="I12" s="11" t="inlineStr">
        <is>
          <t>Ausencia completa de alarmas activas; el LED del panel frontal debe estar verde fijo</t>
        </is>
      </c>
      <c r="J12" s="13" t="inlineStr">
        <is>
          <t>Bloqueante</t>
        </is>
      </c>
      <c r="K12" s="14" t="inlineStr">
        <is>
          <t>Alarma activa de proceso, de calibración o de tarjeta</t>
        </is>
      </c>
      <c r="L12" s="15" t="inlineStr">
        <is>
          <t>6.1.1 ; 5.3.1 ; 5.2.1 ; 6.1.2</t>
        </is>
      </c>
      <c r="M12" s="14" t="inlineStr">
        <is>
          <t>Anotar el código en MENU/ALARM y entrar por la rama que corresponda</t>
        </is>
      </c>
      <c r="N12" s="16" t="inlineStr">
        <is>
          <t>El analizador presenta al menos una alarma activa al momento de la inspección.</t>
        </is>
      </c>
      <c r="O12" s="10" t="n"/>
      <c r="P12" s="10" t="n"/>
      <c r="Q12" s="10" t="inlineStr">
        <is>
          <t>Sí</t>
        </is>
      </c>
      <c r="R12" s="10" t="inlineStr">
        <is>
          <t>No</t>
        </is>
      </c>
      <c r="S12" s="11" t="inlineStr"/>
      <c r="T12" s="11" t="inlineStr">
        <is>
          <t>P-ST-001-MAN OPER APOA 370 V2</t>
        </is>
      </c>
      <c r="U12" s="17" t="inlineStr">
        <is>
          <t>Pendiente</t>
        </is>
      </c>
      <c r="V12" s="17" t="n"/>
      <c r="W12" s="10">
        <f>IF($G12&lt;&gt;"Numérico","",IF($V12="","Sin dato",IF(AND(OR(NOT(ISNUMBER($O12)),$V12&gt;=$O12),OR(NOT(ISNUMBER($P12)),$V12&lt;=$P12)),"Dentro de rango","Fuera de rango")))</f>
        <v/>
      </c>
      <c r="X12" s="17" t="n"/>
      <c r="Y12" s="18" t="n"/>
      <c r="Z12" s="16">
        <f>IF(OR($U12="",$U12="Conforme",$U12="No aplica",$U12="Pendiente"),"",$N12&amp;IF($W12="Fuera de rango"," Valor medido: "&amp;TEXT($V12,"0.####")&amp;IF($H12="",""," "&amp;$H12)&amp;IF(AND(ISNUMBER($O12),$V12&lt;$O12),", por debajo del límite inferior de "&amp;TEXT($O12,"0.####")&amp;IF($H12="",""," "&amp;$H12),"")&amp;IF(AND(ISNUMBER($P12),$V12&gt;$P12),", por encima del límite superior de "&amp;TEXT($P12,"0.####")&amp;IF($H12="",""," "&amp;$H12),"")&amp;".","")&amp;IF($Y12="",""," "&amp;$Y12&amp;IF(RIGHT($Y12,1)=".","","."))&amp;" Acción recomendada: "&amp;$M12&amp;IF(RIGHT($M12,1)=".","",".")&amp;IF($J12="Bloqueante"," El equipo no se libera hasta resolver este hallazgo.",IF($J12="Cobrable"," Se incluye en la cotización de repuestos y consumibles."," Se deja registrado como observación.")))</f>
        <v/>
      </c>
    </row>
    <row r="13" ht="48" customHeight="1">
      <c r="A13" s="10" t="inlineStr">
        <is>
          <t>1.2.2</t>
        </is>
      </c>
      <c r="B13" s="10" t="inlineStr">
        <is>
          <t>1. Verificación funcional inicial</t>
        </is>
      </c>
      <c r="C13" s="10" t="inlineStr">
        <is>
          <t>1.2 Autodiagnóstico</t>
        </is>
      </c>
      <c r="D13" s="11" t="inlineStr">
        <is>
          <t>Verificación de intensidad inicial de la lámpara</t>
        </is>
      </c>
      <c r="E13" s="11" t="inlineStr">
        <is>
          <t>Que el autodiagnóstico no reporte error de intensidad de la lámpara UV al inicio</t>
        </is>
      </c>
      <c r="F13" s="12" t="inlineStr">
        <is>
          <t>Durante los primeros minutos tras el encendido, verificar en pantalla que no aparezca alarma de lámpara y leer el valor LAMP en ANALOG INPUT una vez estabilizado.</t>
        </is>
      </c>
      <c r="G13" s="10" t="inlineStr">
        <is>
          <t>OK / No OK</t>
        </is>
      </c>
      <c r="H13" s="10" t="inlineStr"/>
      <c r="I13" s="11" t="inlineStr">
        <is>
          <t>El equipo no presenta error de intensidad LAMP durante la fase de inicialización</t>
        </is>
      </c>
      <c r="J13" s="13" t="inlineStr">
        <is>
          <t>Bloqueante</t>
        </is>
      </c>
      <c r="K13" s="14" t="inlineStr">
        <is>
          <t>Lámpara UV agotada, desalineada, u óptica sucia</t>
        </is>
      </c>
      <c r="L13" s="15" t="inlineStr">
        <is>
          <t>6.1.1 ; 6.2.3 ; 6.2.1</t>
        </is>
      </c>
      <c r="M13" s="14" t="inlineStr">
        <is>
          <t>Ajustar primero la orientación de la lámpara; si sigue baja, reemplazarla</t>
        </is>
      </c>
      <c r="N13" s="16" t="inlineStr">
        <is>
          <t>El analizador reporta error de intensidad de la lámpara ultravioleta durante su arranque.</t>
        </is>
      </c>
      <c r="O13" s="10" t="n"/>
      <c r="P13" s="10" t="n"/>
      <c r="Q13" s="10" t="inlineStr">
        <is>
          <t>Sí</t>
        </is>
      </c>
      <c r="R13" s="10" t="inlineStr">
        <is>
          <t>Sí</t>
        </is>
      </c>
      <c r="S13" s="11" t="inlineStr">
        <is>
          <t>UV Lamp APOA-370 (3014036635; alt. 1000063664)</t>
        </is>
      </c>
      <c r="T13" s="11" t="inlineStr">
        <is>
          <t>P-ST-001-MAN OPER APOA 370 V2</t>
        </is>
      </c>
      <c r="U13" s="17" t="inlineStr">
        <is>
          <t>Pendiente</t>
        </is>
      </c>
      <c r="V13" s="17" t="n"/>
      <c r="W13" s="10">
        <f>IF($G13&lt;&gt;"Numérico","",IF($V13="","Sin dato",IF(AND(OR(NOT(ISNUMBER($O13)),$V13&gt;=$O13),OR(NOT(ISNUMBER($P13)),$V13&lt;=$P13)),"Dentro de rango","Fuera de rango")))</f>
        <v/>
      </c>
      <c r="X13" s="17" t="n"/>
      <c r="Y13" s="18" t="n"/>
      <c r="Z13" s="16">
        <f>IF(OR($U13="",$U13="Conforme",$U13="No aplica",$U13="Pendiente"),"",$N13&amp;IF($W13="Fuera de rango"," Valor medido: "&amp;TEXT($V13,"0.####")&amp;IF($H13="",""," "&amp;$H13)&amp;IF(AND(ISNUMBER($O13),$V13&lt;$O13),", por debajo del límite inferior de "&amp;TEXT($O13,"0.####")&amp;IF($H13="",""," "&amp;$H13),"")&amp;IF(AND(ISNUMBER($P13),$V13&gt;$P13),", por encima del límite superior de "&amp;TEXT($P13,"0.####")&amp;IF($H13="",""," "&amp;$H13),"")&amp;".","")&amp;IF($Y13="",""," "&amp;$Y13&amp;IF(RIGHT($Y13,1)=".","","."))&amp;" Acción recomendada: "&amp;$M13&amp;IF(RIGHT($M13,1)=".","",".")&amp;IF($J13="Bloqueante"," El equipo no se libera hasta resolver este hallazgo.",IF($J13="Cobrable"," Se incluye en la cotización de repuestos y consumibles."," Se deja registrado como observación.")))</f>
        <v/>
      </c>
    </row>
    <row r="14" ht="48" customHeight="1">
      <c r="A14" s="10" t="inlineStr">
        <is>
          <t>1.2.3</t>
        </is>
      </c>
      <c r="B14" s="10" t="inlineStr">
        <is>
          <t>1. Verificación funcional inicial</t>
        </is>
      </c>
      <c r="C14" s="10" t="inlineStr">
        <is>
          <t>1.2 Autodiagnóstico</t>
        </is>
      </c>
      <c r="D14" s="11" t="inlineStr">
        <is>
          <t>Modulación de flujo cruzado a 1 Hz</t>
        </is>
      </c>
      <c r="E14" s="11" t="inlineStr">
        <is>
          <t>Sonido regular de conmutación de la electroválvula de flujo cruzado</t>
        </is>
      </c>
      <c r="F14" s="12" t="inlineStr">
        <is>
          <t>Con la cubierta retirada y el equipo en operación, escuchar y palpar la electroválvula SV-2 para confirmar la conmutación cíclica constante a 1 Hz.</t>
        </is>
      </c>
      <c r="G14" s="10" t="inlineStr">
        <is>
          <t>OK / No OK</t>
        </is>
      </c>
      <c r="H14" s="10" t="inlineStr"/>
      <c r="I14" s="11" t="inlineStr">
        <is>
          <t>Sonido rítmico y constante de conmutación de la válvula a una frecuencia de 1 Hz</t>
        </is>
      </c>
      <c r="J14" s="13" t="inlineStr">
        <is>
          <t>Bloqueante</t>
        </is>
      </c>
      <c r="K14" s="14" t="inlineStr">
        <is>
          <t>Electroválvula SV-2 atascada, bobina quemada, o sin alimentación</t>
        </is>
      </c>
      <c r="L14" s="15" t="inlineStr">
        <is>
          <t>6.5.1 ; 7.1.1 ; 6.1.3</t>
        </is>
      </c>
      <c r="M14" s="14" t="inlineStr">
        <is>
          <t>Sin modulación no hay medición diferencial: reemplazar la electroválvula</t>
        </is>
      </c>
      <c r="N14" s="16" t="inlineStr">
        <is>
          <t>La electroválvula de modulación no conmuta de forma constante, lo que invalida la medición diferencial del analizador.</t>
        </is>
      </c>
      <c r="O14" s="10" t="n"/>
      <c r="P14" s="10" t="n"/>
      <c r="Q14" s="10" t="inlineStr">
        <is>
          <t>Sí</t>
        </is>
      </c>
      <c r="R14" s="10" t="inlineStr">
        <is>
          <t>Sí</t>
        </is>
      </c>
      <c r="S14" s="11" t="inlineStr">
        <is>
          <t>SV Unit WTB-3K-N1F-3 APMA / APOA (3014034340)</t>
        </is>
      </c>
      <c r="T14" s="11" t="inlineStr">
        <is>
          <t>P-ST-001-MAN OPER APOA 370 V2</t>
        </is>
      </c>
      <c r="U14" s="17" t="inlineStr">
        <is>
          <t>Pendiente</t>
        </is>
      </c>
      <c r="V14" s="17" t="n"/>
      <c r="W14" s="10">
        <f>IF($G14&lt;&gt;"Numérico","",IF($V14="","Sin dato",IF(AND(OR(NOT(ISNUMBER($O14)),$V14&gt;=$O14),OR(NOT(ISNUMBER($P14)),$V14&lt;=$P14)),"Dentro de rango","Fuera de rango")))</f>
        <v/>
      </c>
      <c r="X14" s="17" t="n"/>
      <c r="Y14" s="18" t="n"/>
      <c r="Z14" s="16">
        <f>IF(OR($U14="",$U14="Conforme",$U14="No aplica",$U14="Pendiente"),"",$N14&amp;IF($W14="Fuera de rango"," Valor medido: "&amp;TEXT($V14,"0.####")&amp;IF($H14="",""," "&amp;$H14)&amp;IF(AND(ISNUMBER($O14),$V14&lt;$O14),", por debajo del límite inferior de "&amp;TEXT($O14,"0.####")&amp;IF($H14="",""," "&amp;$H14),"")&amp;IF(AND(ISNUMBER($P14),$V14&gt;$P14),", por encima del límite superior de "&amp;TEXT($P14,"0.####")&amp;IF($H14="",""," "&amp;$H14),"")&amp;".","")&amp;IF($Y14="",""," "&amp;$Y14&amp;IF(RIGHT($Y14,1)=".","","."))&amp;" Acción recomendada: "&amp;$M14&amp;IF(RIGHT($M14,1)=".","",".")&amp;IF($J14="Bloqueante"," El equipo no se libera hasta resolver este hallazgo.",IF($J14="Cobrable"," Se incluye en la cotización de repuestos y consumibles."," Se deja registrado como observación.")))</f>
        <v/>
      </c>
    </row>
    <row r="15" ht="48" customHeight="1">
      <c r="A15" s="10" t="inlineStr">
        <is>
          <t>1.3.1</t>
        </is>
      </c>
      <c r="B15" s="10" t="inlineStr">
        <is>
          <t>1. Verificación funcional inicial</t>
        </is>
      </c>
      <c r="C15" s="10" t="inlineStr">
        <is>
          <t>1.3 Estabilización térmica</t>
        </is>
      </c>
      <c r="D15" s="11" t="inlineStr">
        <is>
          <t>Calentamiento inicial (warm-up)</t>
        </is>
      </c>
      <c r="E15" s="11" t="inlineStr">
        <is>
          <t>Tiempo de espera tras el encendido antes de calibrar o medir</t>
        </is>
      </c>
      <c r="F15" s="12" t="inlineStr">
        <is>
          <t>Anotar la hora de encendido del equipo y calcular las horas transcurridas hasta la inspección o la calibración. Si el equipo llevaba operando, registrar que ya estaba estabilizado.</t>
        </is>
      </c>
      <c r="G15" s="10" t="inlineStr">
        <is>
          <t>Numérico</t>
        </is>
      </c>
      <c r="H15" s="10" t="inlineStr">
        <is>
          <t>horas</t>
        </is>
      </c>
      <c r="I15" s="11" t="inlineStr">
        <is>
          <t>Mínimo 3 h para la estabilización térmica y óptica de celda, catalizador y lámpara. Límite superior PENDIENTE DE VALIDAR</t>
        </is>
      </c>
      <c r="J15" s="13" t="inlineStr">
        <is>
          <t>Alerta</t>
        </is>
      </c>
      <c r="K15" s="14" t="inlineStr">
        <is>
          <t>Equipo encendido hace menos de 3 h: lámpara, celda y deozonizador aún inestables</t>
        </is>
      </c>
      <c r="L15" s="15" t="inlineStr">
        <is>
          <t>6.1.1 ; 6.1.2 ; 9.2.2</t>
        </is>
      </c>
      <c r="M15" s="14" t="inlineStr">
        <is>
          <t>Esperar el calentamiento completo antes de calibrar o de juzgar la estabilidad del cero</t>
        </is>
      </c>
      <c r="N15" s="16" t="inlineStr">
        <is>
          <t>El analizador no ha completado el tiempo mínimo de calentamiento, por lo que sus lecturas aún no son representativas.</t>
        </is>
      </c>
      <c r="O15" s="10" t="n">
        <v>3</v>
      </c>
      <c r="P15" s="10" t="n"/>
      <c r="Q15" s="10" t="inlineStr">
        <is>
          <t>Sí</t>
        </is>
      </c>
      <c r="R15" s="10" t="inlineStr">
        <is>
          <t>No</t>
        </is>
      </c>
      <c r="S15" s="11" t="inlineStr"/>
      <c r="T15" s="11" t="inlineStr">
        <is>
          <t>P-ST-001-MAN OPER APOA 370 V2</t>
        </is>
      </c>
      <c r="U15" s="17" t="inlineStr">
        <is>
          <t>Pendiente</t>
        </is>
      </c>
      <c r="V15" s="17" t="n"/>
      <c r="W15" s="10">
        <f>IF($G15&lt;&gt;"Numérico","",IF($V15="","Sin dato",IF(AND(OR(NOT(ISNUMBER($O15)),$V15&gt;=$O15),OR(NOT(ISNUMBER($P15)),$V15&lt;=$P15)),"Dentro de rango","Fuera de rango")))</f>
        <v/>
      </c>
      <c r="X15" s="17" t="n"/>
      <c r="Y15" s="18" t="n"/>
      <c r="Z15" s="16">
        <f>IF(OR($U15="",$U15="Conforme",$U15="No aplica",$U15="Pendiente"),"",$N15&amp;IF($W15="Fuera de rango"," Valor medido: "&amp;TEXT($V15,"0.####")&amp;IF($H15="",""," "&amp;$H15)&amp;IF(AND(ISNUMBER($O15),$V15&lt;$O15),", por debajo del límite inferior de "&amp;TEXT($O15,"0.####")&amp;IF($H15="",""," "&amp;$H15),"")&amp;IF(AND(ISNUMBER($P15),$V15&gt;$P15),", por encima del límite superior de "&amp;TEXT($P15,"0.####")&amp;IF($H15="",""," "&amp;$H15),"")&amp;".","")&amp;IF($Y15="",""," "&amp;$Y15&amp;IF(RIGHT($Y15,1)=".","","."))&amp;" Acción recomendada: "&amp;$M15&amp;IF(RIGHT($M15,1)=".","",".")&amp;IF($J15="Bloqueante"," El equipo no se libera hasta resolver este hallazgo.",IF($J15="Cobrable"," Se incluye en la cotización de repuestos y consumibles."," Se deja registrado como observación.")))</f>
        <v/>
      </c>
    </row>
    <row r="16" ht="48" customHeight="1">
      <c r="A16" s="10" t="inlineStr">
        <is>
          <t>2.1.1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Número de serie del analizador</t>
        </is>
      </c>
      <c r="E16" s="11" t="inlineStr">
        <is>
          <t>Que el número de serie de la etiqueta trasera y del chasis coincida con la hoja de vida</t>
        </is>
      </c>
      <c r="F16" s="12" t="inlineStr">
        <is>
          <t>Retirar el equipo del rack lo suficiente para ver el panel trasero, o usar espejo de inspección, y leer la placa de datos. Contrastar con la hoja de vida del equipo.</t>
        </is>
      </c>
      <c r="G16" s="10" t="inlineStr">
        <is>
          <t>Texto</t>
        </is>
      </c>
      <c r="H16" s="10" t="inlineStr"/>
      <c r="I16" s="11" t="inlineStr">
        <is>
          <t>Serial legible y coincidente con los registros del sistema de monitoreo</t>
        </is>
      </c>
      <c r="J16" s="13" t="inlineStr">
        <is>
          <t>Alerta</t>
        </is>
      </c>
      <c r="K16" s="14" t="inlineStr">
        <is>
          <t>Placa ilegible, o equipo distinto al de la orden de servicio</t>
        </is>
      </c>
      <c r="L16" s="15" t="inlineStr">
        <is>
          <t>2.2.2</t>
        </is>
      </c>
      <c r="M16" s="14" t="inlineStr">
        <is>
          <t>Registrar el serial real, fotografiarlo y corregir la hoja de vida</t>
        </is>
      </c>
      <c r="N16" s="16" t="inlineStr">
        <is>
          <t>La placa de identificación no es legible o no coincide con el equipo registrado en la orden de servicio.</t>
        </is>
      </c>
      <c r="O16" s="10" t="n"/>
      <c r="P16" s="10" t="n"/>
      <c r="Q16" s="10" t="inlineStr">
        <is>
          <t>Sí</t>
        </is>
      </c>
      <c r="R16" s="10" t="inlineStr">
        <is>
          <t>No</t>
        </is>
      </c>
      <c r="S16" s="11" t="inlineStr"/>
      <c r="T16" s="11" t="inlineStr">
        <is>
          <t>MT_1T71YRV7_APOA370_220221</t>
        </is>
      </c>
      <c r="U16" s="17" t="inlineStr">
        <is>
          <t>Pendiente</t>
        </is>
      </c>
      <c r="V16" s="17" t="n"/>
      <c r="W16" s="10">
        <f>IF($G16&lt;&gt;"Numérico","",IF($V16="","Sin dato",IF(AND(OR(NOT(ISNUMBER($O16)),$V16&gt;=$O16),OR(NOT(ISNUMBER($P16)),$V16&lt;=$P16)),"Dentro de rango","Fuera de rango")))</f>
        <v/>
      </c>
      <c r="X16" s="17" t="n"/>
      <c r="Y16" s="18" t="n"/>
      <c r="Z16" s="16">
        <f>IF(OR($U16="",$U16="Conforme",$U16="No aplica",$U16="Pendiente"),"",$N16&amp;IF($W16="Fuera de rango"," Valor medido: "&amp;TEXT($V16,"0.####")&amp;IF($H16="",""," "&amp;$H16)&amp;IF(AND(ISNUMBER($O16),$V16&lt;$O16),", por debajo del límite inferior de "&amp;TEXT($O16,"0.####")&amp;IF($H16="",""," "&amp;$H16),"")&amp;IF(AND(ISNUMBER($P16),$V16&gt;$P16),", por encima del límite superior de "&amp;TEXT($P16,"0.####")&amp;IF($H16="",""," "&amp;$H16),"")&amp;".","")&amp;IF($Y16="",""," "&amp;$Y16&amp;IF(RIGHT($Y16,1)=".","","."))&amp;" Acción recomendada: "&amp;$M16&amp;IF(RIGHT($M16,1)=".","",".")&amp;IF($J16="Bloqueante"," El equipo no se libera hasta resolver este hallazgo.",IF($J16="Cobrable"," Se incluye en la cotización de repuestos y consumibles."," Se deja registrado como observación.")))</f>
        <v/>
      </c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Trazabilidad de software</t>
        </is>
      </c>
      <c r="D17" s="11" t="inlineStr">
        <is>
          <t>Versión del firmware (ROM)</t>
        </is>
      </c>
      <c r="E17" s="11" t="inlineStr">
        <is>
          <t>Versión del firmware cargado en la CPU, en el menú de sistema</t>
        </is>
      </c>
      <c r="F17" s="12" t="inlineStr">
        <is>
          <t>Ir a MENU / SYSTEM / INFORMATION y leer la versión de firmware en pantalla. Anotarla textualmente, incluido el número de parche.</t>
        </is>
      </c>
      <c r="G17" s="10" t="inlineStr">
        <is>
          <t>Texto</t>
        </is>
      </c>
      <c r="H17" s="10" t="inlineStr"/>
      <c r="I17" s="11" t="inlineStr">
        <is>
          <t>La versión estándar debe mostrar P1000878001 más el número de parche</t>
        </is>
      </c>
      <c r="J17" s="13" t="inlineStr">
        <is>
          <t>Alerta</t>
        </is>
      </c>
      <c r="K17" s="14" t="inlineStr">
        <is>
          <t>Programa no homologado, o CPU sustituida sin recargar la configuración</t>
        </is>
      </c>
      <c r="L17" s="15" t="inlineStr">
        <is>
          <t>2.2.2 ; 7.2.2</t>
        </is>
      </c>
      <c r="M17" s="14" t="inlineStr">
        <is>
          <t>Confirmar el HGS con fábrica y recargar la configuración desde la CF antes de calibrar</t>
        </is>
      </c>
      <c r="N17" s="16" t="inlineStr">
        <is>
          <t>La versión de programa instalada no corresponde a la versión homologada de fábrica para este analizador.</t>
        </is>
      </c>
      <c r="O17" s="10" t="n"/>
      <c r="P17" s="10" t="n"/>
      <c r="Q17" s="10" t="inlineStr">
        <is>
          <t>Sí</t>
        </is>
      </c>
      <c r="R17" s="10" t="inlineStr">
        <is>
          <t>No</t>
        </is>
      </c>
      <c r="S17" s="11" t="inlineStr"/>
      <c r="T17" s="11" t="inlineStr">
        <is>
          <t>GZ0000117746B SM E APXX-370 (Service Manual)</t>
        </is>
      </c>
      <c r="U17" s="17" t="inlineStr">
        <is>
          <t>Pendiente</t>
        </is>
      </c>
      <c r="V17" s="17" t="n"/>
      <c r="W17" s="10">
        <f>IF($G17&lt;&gt;"Numérico","",IF($V17="","Sin dato",IF(AND(OR(NOT(ISNUMBER($O17)),$V17&gt;=$O17),OR(NOT(ISNUMBER($P17)),$V17&lt;=$P17)),"Dentro de rango","Fuera de rango")))</f>
        <v/>
      </c>
      <c r="X17" s="17" t="n"/>
      <c r="Y17" s="18" t="n"/>
      <c r="Z17" s="16">
        <f>IF(OR($U17="",$U17="Conforme",$U17="No aplica",$U17="Pendiente"),"",$N17&amp;IF($W17="Fuera de rango"," Valor medido: "&amp;TEXT($V17,"0.####")&amp;IF($H17="",""," "&amp;$H17)&amp;IF(AND(ISNUMBER($O17),$V17&lt;$O17),", por debajo del límite inferior de "&amp;TEXT($O17,"0.####")&amp;IF($H17="",""," "&amp;$H17),"")&amp;IF(AND(ISNUMBER($P17),$V17&gt;$P17),", por encima del límite superior de "&amp;TEXT($P17,"0.####")&amp;IF($H17="",""," "&amp;$H17),"")&amp;".","")&amp;IF($Y17="",""," "&amp;$Y17&amp;IF(RIGHT($Y17,1)=".","","."))&amp;" Acción recomendada: "&amp;$M17&amp;IF(RIGHT($M17,1)=".","",".")&amp;IF($J17="Bloqueante"," El equipo no se libera hasta resolver este hallazgo.",IF($J17="Cobrable"," Se incluye en la cotización de repuestos y consumibles."," Se deja registrado como observación.")))</f>
        <v/>
      </c>
    </row>
    <row r="18" ht="48" customHeight="1">
      <c r="A18" s="10" t="inlineStr">
        <is>
          <t>2.2.2</t>
        </is>
      </c>
      <c r="B18" s="10" t="inlineStr">
        <is>
          <t>2. Identificación y trazabilidad</t>
        </is>
      </c>
      <c r="C18" s="10" t="inlineStr">
        <is>
          <t>2.2 Trazabilidad de software</t>
        </is>
      </c>
      <c r="D18" s="11" t="inlineStr">
        <is>
          <t>Código HGS del sistema</t>
        </is>
      </c>
      <c r="E18" s="11" t="inlineStr">
        <is>
          <t>Confirmación del número HGS del analizador y del sistema mediante verificación HTS</t>
        </is>
      </c>
      <c r="F18" s="12" t="inlineStr">
        <is>
          <t>Buscar el número HGS en la placa del equipo o en la documentación de entrega de fábrica y anotarlo. Es el dato que permite pedir repuestos con la configuración correcta.</t>
        </is>
      </c>
      <c r="G18" s="10" t="inlineStr">
        <is>
          <t>Texto</t>
        </is>
      </c>
      <c r="H18" s="10" t="inlineStr"/>
      <c r="I18" s="11" t="inlineStr">
        <is>
          <t>HGS correcto y correspondiente al tipo de analizador instalado</t>
        </is>
      </c>
      <c r="J18" s="13" t="inlineStr">
        <is>
          <t>Alerta</t>
        </is>
      </c>
      <c r="K18" s="14" t="inlineStr">
        <is>
          <t>HGS no documentado: impide pedir repuestos con la configuración correcta</t>
        </is>
      </c>
      <c r="L18" s="15" t="inlineStr">
        <is>
          <t>2.1.1</t>
        </is>
      </c>
      <c r="M18" s="14" t="inlineStr">
        <is>
          <t>Solicitar el HGS a fábrica y registrarlo en la hoja de vida</t>
        </is>
      </c>
      <c r="N18" s="16" t="inlineStr">
        <is>
          <t>El número HGS del analizador no está documentado, lo que impide solicitar repuestos con la configuración correcta.</t>
        </is>
      </c>
      <c r="O18" s="10" t="n"/>
      <c r="P18" s="10" t="n"/>
      <c r="Q18" s="10" t="inlineStr">
        <is>
          <t>Sí</t>
        </is>
      </c>
      <c r="R18" s="10" t="inlineStr">
        <is>
          <t>No</t>
        </is>
      </c>
      <c r="S18" s="11" t="inlineStr"/>
      <c r="T18" s="11" t="inlineStr">
        <is>
          <t>1 - LCD design change AP EN</t>
        </is>
      </c>
      <c r="U18" s="17" t="inlineStr">
        <is>
          <t>Pendiente</t>
        </is>
      </c>
      <c r="V18" s="17" t="n"/>
      <c r="W18" s="10">
        <f>IF($G18&lt;&gt;"Numérico","",IF($V18="","Sin dato",IF(AND(OR(NOT(ISNUMBER($O18)),$V18&gt;=$O18),OR(NOT(ISNUMBER($P18)),$V18&lt;=$P18)),"Dentro de rango","Fuera de rango")))</f>
        <v/>
      </c>
      <c r="X18" s="17" t="n"/>
      <c r="Y18" s="18" t="n"/>
      <c r="Z18" s="16">
        <f>IF(OR($U18="",$U18="Conforme",$U18="No aplica",$U18="Pendiente"),"",$N18&amp;IF($W18="Fuera de rango"," Valor medido: "&amp;TEXT($V18,"0.####")&amp;IF($H18="",""," "&amp;$H18)&amp;IF(AND(ISNUMBER($O18),$V18&lt;$O18),", por debajo del límite inferior de "&amp;TEXT($O18,"0.####")&amp;IF($H18="",""," "&amp;$H18),"")&amp;IF(AND(ISNUMBER($P18),$V18&gt;$P18),", por encima del límite superior de "&amp;TEXT($P18,"0.####")&amp;IF($H18="",""," "&amp;$H18),"")&amp;".","")&amp;IF($Y18="",""," "&amp;$Y18&amp;IF(RIGHT($Y18,1)=".","","."))&amp;" Acción recomendada: "&amp;$M18&amp;IF(RIGHT($M18,1)=".","",".")&amp;IF($J18="Bloqueante"," El equipo no se libera hasta resolver este hallazgo.",IF($J18="Cobrable"," Se incluye en la cotización de repuestos y consumibles."," Se deja registrado como observación.")))</f>
        <v/>
      </c>
    </row>
    <row r="19" ht="48" customHeight="1">
      <c r="A19" s="10" t="inlineStr">
        <is>
          <t>2.3.1</t>
        </is>
      </c>
      <c r="B19" s="10" t="inlineStr">
        <is>
          <t>2. Identificación y trazabilidad</t>
        </is>
      </c>
      <c r="C19" s="10" t="inlineStr">
        <is>
          <t>2.3 Etiquetas de seguridad</t>
        </is>
      </c>
      <c r="D19" s="11" t="inlineStr">
        <is>
          <t>Etiqueta de advertencia de alta temperatura</t>
        </is>
      </c>
      <c r="E19" s="11" t="inlineStr">
        <is>
          <t>Presencia y legibilidad de la etiqueta HOT COMPONENT en la carcasa de la bomba y del catalizador</t>
        </is>
      </c>
      <c r="F19" s="12" t="inlineStr">
        <is>
          <t>Con el equipo apagado, desconectado y frío, retirar la cubierta superior y verificar la presencia y legibilidad de la etiqueta HOT COMPONENT sobre la bomba y el catalizador.</t>
        </is>
      </c>
      <c r="G19" s="10" t="inlineStr">
        <is>
          <t>Presente / Ausente</t>
        </is>
      </c>
      <c r="H19" s="10" t="inlineStr"/>
      <c r="I19" s="11" t="inlineStr">
        <is>
          <t>Etiqueta presente y visible, advirtiendo peligro de quemadura por superficies calientes</t>
        </is>
      </c>
      <c r="J19" s="13" t="inlineStr">
        <is>
          <t>Alerta</t>
        </is>
      </c>
      <c r="K19" s="14" t="inlineStr">
        <is>
          <t>Etiqueta desprendida por el calor de la bomba o del deozonizador</t>
        </is>
      </c>
      <c r="L19" s="15" t="inlineStr">
        <is>
          <t>Nodo terminal — actuar directamente</t>
        </is>
      </c>
      <c r="M19" s="14" t="inlineStr">
        <is>
          <t>Reponer la etiqueta de advertencia térmica</t>
        </is>
      </c>
      <c r="N19" s="16" t="inlineStr">
        <is>
          <t>Faltan o no son legibles las etiquetas de advertencia de superficies calientes sobre la bomba y el deozonizador.</t>
        </is>
      </c>
      <c r="O19" s="10" t="n"/>
      <c r="P19" s="10" t="n"/>
      <c r="Q19" s="10" t="inlineStr">
        <is>
          <t>Sí</t>
        </is>
      </c>
      <c r="R19" s="10" t="inlineStr">
        <is>
          <t>Sí</t>
        </is>
      </c>
      <c r="S19" s="11" t="inlineStr"/>
      <c r="T19" s="11" t="inlineStr">
        <is>
          <t>APOA-370 Maintenance manual</t>
        </is>
      </c>
      <c r="U19" s="17" t="inlineStr">
        <is>
          <t>Pendiente</t>
        </is>
      </c>
      <c r="V19" s="17" t="n"/>
      <c r="W19" s="10">
        <f>IF($G19&lt;&gt;"Numérico","",IF($V19="","Sin dato",IF(AND(OR(NOT(ISNUMBER($O19)),$V19&gt;=$O19),OR(NOT(ISNUMBER($P19)),$V19&lt;=$P19)),"Dentro de rango","Fuera de rango")))</f>
        <v/>
      </c>
      <c r="X19" s="17" t="n"/>
      <c r="Y19" s="18" t="n"/>
      <c r="Z19" s="16">
        <f>IF(OR($U19="",$U19="Conforme",$U19="No aplica",$U19="Pendiente"),"",$N19&amp;IF($W19="Fuera de rango"," Valor medido: "&amp;TEXT($V19,"0.####")&amp;IF($H19="",""," "&amp;$H19)&amp;IF(AND(ISNUMBER($O19),$V19&lt;$O19),", por debajo del límite inferior de "&amp;TEXT($O19,"0.####")&amp;IF($H19="",""," "&amp;$H19),"")&amp;IF(AND(ISNUMBER($P19),$V19&gt;$P19),", por encima del límite superior de "&amp;TEXT($P19,"0.####")&amp;IF($H19="",""," "&amp;$H19),"")&amp;".","")&amp;IF($Y19="",""," "&amp;$Y19&amp;IF(RIGHT($Y19,1)=".","","."))&amp;" Acción recomendada: "&amp;$M19&amp;IF(RIGHT($M19,1)=".","",".")&amp;IF($J19="Bloqueante"," El equipo no se libera hasta resolver este hallazgo.",IF($J19="Cobrable"," Se incluye en la cotización de repuestos y consumibles."," Se deja registrado como observación.")))</f>
        <v/>
      </c>
    </row>
    <row r="20" ht="48" customHeight="1">
      <c r="A20" s="10" t="inlineStr">
        <is>
          <t>2.3.2</t>
        </is>
      </c>
      <c r="B20" s="10" t="inlineStr">
        <is>
          <t>2. Identificación y trazabilidad</t>
        </is>
      </c>
      <c r="C20" s="10" t="inlineStr">
        <is>
          <t>2.3 Etiquetas de seguridad</t>
        </is>
      </c>
      <c r="D20" s="11" t="inlineStr">
        <is>
          <t>Etiqueta de advertencia de lámpara UV y mercurio</t>
        </is>
      </c>
      <c r="E20" s="11" t="inlineStr">
        <is>
          <t>Presencia y legibilidad de la etiqueta Contains Mercury cerca de la celda de medida</t>
        </is>
      </c>
      <c r="F20" s="12" t="inlineStr">
        <is>
          <t>Con el equipo apagado y frío, verificar la presencia y legibilidad de la etiqueta de advertencia de mercurio y radiación UV junto a la celda de medida.</t>
        </is>
      </c>
      <c r="G20" s="10" t="inlineStr">
        <is>
          <t>Presente / Ausente</t>
        </is>
      </c>
      <c r="H20" s="10" t="inlineStr"/>
      <c r="I20" s="11" t="inlineStr">
        <is>
          <t>Etiqueta de peligro de radiación UV y presencia de mercurio perfectamente legible</t>
        </is>
      </c>
      <c r="J20" s="13" t="inlineStr">
        <is>
          <t>Alerta</t>
        </is>
      </c>
      <c r="K20" s="14" t="inlineStr">
        <is>
          <t>Etiqueta desprendida o ilegible</t>
        </is>
      </c>
      <c r="L20" s="15" t="inlineStr">
        <is>
          <t>Nodo terminal — actuar directamente</t>
        </is>
      </c>
      <c r="M20" s="14" t="inlineStr">
        <is>
          <t>Reponer la etiqueta; es la advertencia de mercurio y de radiación UV</t>
        </is>
      </c>
      <c r="N20" s="16" t="inlineStr">
        <is>
          <t>Falta o no es legible la etiqueta de advertencia de radiación ultravioleta y presencia de mercurio junto a la celda de medida.</t>
        </is>
      </c>
      <c r="O20" s="10" t="n"/>
      <c r="P20" s="10" t="n"/>
      <c r="Q20" s="10" t="inlineStr">
        <is>
          <t>Sí</t>
        </is>
      </c>
      <c r="R20" s="10" t="inlineStr">
        <is>
          <t>Sí</t>
        </is>
      </c>
      <c r="S20" s="11" t="inlineStr"/>
      <c r="T20" s="11" t="inlineStr">
        <is>
          <t>P-ST-002-MAN MTTO APOA370 V2</t>
        </is>
      </c>
      <c r="U20" s="17" t="inlineStr">
        <is>
          <t>Pendiente</t>
        </is>
      </c>
      <c r="V20" s="17" t="n"/>
      <c r="W20" s="10">
        <f>IF($G20&lt;&gt;"Numérico","",IF($V20="","Sin dato",IF(AND(OR(NOT(ISNUMBER($O20)),$V20&gt;=$O20),OR(NOT(ISNUMBER($P20)),$V20&lt;=$P20)),"Dentro de rango","Fuera de rango")))</f>
        <v/>
      </c>
      <c r="X20" s="17" t="n"/>
      <c r="Y20" s="18" t="n"/>
      <c r="Z20" s="16">
        <f>IF(OR($U20="",$U20="Conforme",$U20="No aplica",$U20="Pendiente"),"",$N20&amp;IF($W20="Fuera de rango"," Valor medido: "&amp;TEXT($V20,"0.####")&amp;IF($H20="",""," "&amp;$H20)&amp;IF(AND(ISNUMBER($O20),$V20&lt;$O20),", por debajo del límite inferior de "&amp;TEXT($O20,"0.####")&amp;IF($H20="",""," "&amp;$H20),"")&amp;IF(AND(ISNUMBER($P20),$V20&gt;$P20),", por encima del límite superior de "&amp;TEXT($P20,"0.####")&amp;IF($H20="",""," "&amp;$H20),"")&amp;".","")&amp;IF($Y20="",""," "&amp;$Y20&amp;IF(RIGHT($Y20,1)=".","","."))&amp;" Acción recomendada: "&amp;$M20&amp;IF(RIGHT($M20,1)=".","",".")&amp;IF($J20="Bloqueante"," El equipo no se libera hasta resolver este hallazgo.",IF($J20="Cobrable"," Se incluye en la cotización de repuestos y consumibles."," Se deja registrado como observación.")))</f>
        <v/>
      </c>
    </row>
    <row r="21" ht="48" customHeight="1">
      <c r="A21" s="10" t="inlineStr">
        <is>
          <t>2.4.1</t>
        </is>
      </c>
      <c r="B21" s="10" t="inlineStr">
        <is>
          <t>2. Identificación y trazabilidad</t>
        </is>
      </c>
      <c r="C21" s="10" t="inlineStr">
        <is>
          <t>2.4 Identificación de puertos</t>
        </is>
      </c>
      <c r="D21" s="11" t="inlineStr">
        <is>
          <t>Marcación de conectores en el panel trasero</t>
        </is>
      </c>
      <c r="E21" s="11" t="inlineStr">
        <is>
          <t>Marcas serigrafiadas de SAMPLE INLET, CAL GAS INLET y EXHAUST</t>
        </is>
      </c>
      <c r="F21" s="12" t="inlineStr">
        <is>
          <t>Inspeccionar el panel trasero con buena iluminación y verificar que las marcas de SAMPLE INLET, CAL GAS INLET y EXHAUST sean legibles y no estén cubiertas por etiquetas ajenas.</t>
        </is>
      </c>
      <c r="G21" s="10" t="inlineStr">
        <is>
          <t>OK / No OK</t>
        </is>
      </c>
      <c r="H21" s="10" t="inlineStr"/>
      <c r="I21" s="11" t="inlineStr">
        <is>
          <t>Etiquetas e identificadores de puertos limpios, legibles y sin daños físicos</t>
        </is>
      </c>
      <c r="J21" s="13" t="inlineStr">
        <is>
          <t>Alerta</t>
        </is>
      </c>
      <c r="K21" s="14" t="inlineStr">
        <is>
          <t>Serigrafía borrada o cubierta por etiquetas ajenas</t>
        </is>
      </c>
      <c r="L21" s="15" t="inlineStr">
        <is>
          <t>4.3.3</t>
        </is>
      </c>
      <c r="M21" s="14" t="inlineStr">
        <is>
          <t>Rotular de nuevo los puertos: una conexión cruzada invalida toda la medición</t>
        </is>
      </c>
      <c r="N21" s="16" t="inlineStr">
        <is>
          <t>La identificación de los puertos neumáticos del panel posterior no es legible, con riesgo de conexión cruzada de las líneas.</t>
        </is>
      </c>
      <c r="O21" s="10" t="n"/>
      <c r="P21" s="10" t="n"/>
      <c r="Q21" s="10" t="inlineStr">
        <is>
          <t>Sí</t>
        </is>
      </c>
      <c r="R21" s="10" t="inlineStr">
        <is>
          <t>Sí</t>
        </is>
      </c>
      <c r="S21" s="11" t="inlineStr"/>
      <c r="T21" s="11" t="inlineStr">
        <is>
          <t>P-ST-001-MAN OPER APOA 370 V2</t>
        </is>
      </c>
      <c r="U21" s="17" t="inlineStr">
        <is>
          <t>Pendiente</t>
        </is>
      </c>
      <c r="V21" s="17" t="n"/>
      <c r="W21" s="10">
        <f>IF($G21&lt;&gt;"Numérico","",IF($V21="","Sin dato",IF(AND(OR(NOT(ISNUMBER($O21)),$V21&gt;=$O21),OR(NOT(ISNUMBER($P21)),$V21&lt;=$P21)),"Dentro de rango","Fuera de rango")))</f>
        <v/>
      </c>
      <c r="X21" s="17" t="n"/>
      <c r="Y21" s="18" t="n"/>
      <c r="Z21" s="16">
        <f>IF(OR($U21="",$U21="Conforme",$U21="No aplica",$U21="Pendiente"),"",$N21&amp;IF($W21="Fuera de rango"," Valor medido: "&amp;TEXT($V21,"0.####")&amp;IF($H21="",""," "&amp;$H21)&amp;IF(AND(ISNUMBER($O21),$V21&lt;$O21),", por debajo del límite inferior de "&amp;TEXT($O21,"0.####")&amp;IF($H21="",""," "&amp;$H21),"")&amp;IF(AND(ISNUMBER($P21),$V21&gt;$P21),", por encima del límite superior de "&amp;TEXT($P21,"0.####")&amp;IF($H21="",""," "&amp;$H21),"")&amp;".","")&amp;IF($Y21="",""," "&amp;$Y21&amp;IF(RIGHT($Y21,1)=".","","."))&amp;" Acción recomendada: "&amp;$M21&amp;IF(RIGHT($M21,1)=".","",".")&amp;IF($J21="Bloqueante"," El equipo no se libera hasta resolver este hallazgo.",IF($J21="Cobrable"," Se incluye en la cotización de repuestos y consumibles."," Se deja registrado como observación.")))</f>
        <v/>
      </c>
    </row>
    <row r="22" ht="48" customHeight="1">
      <c r="A22" s="10" t="inlineStr">
        <is>
          <t>3.1.1</t>
        </is>
      </c>
      <c r="B22" s="10" t="inlineStr">
        <is>
          <t>3. Estado de calibración</t>
        </is>
      </c>
      <c r="C22" s="10" t="inlineStr">
        <is>
          <t>3.1 Coeficientes de calibración</t>
        </is>
      </c>
      <c r="D22" s="11" t="inlineStr">
        <is>
          <t>Coeficiente de calibración de cero (User Zero)</t>
        </is>
      </c>
      <c r="E22" s="11" t="inlineStr">
        <is>
          <t>Valor de corrimiento de cero almacenado en la pantalla CAL.</t>
        </is>
      </c>
      <c r="F22" s="12" t="inlineStr">
        <is>
          <t>Ir a MENU / CAL. y leer el valor del coeficiente ZERO en pantalla. Anotarlo antes de realizar cualquier calibración.</t>
        </is>
      </c>
      <c r="G22" s="10" t="inlineStr">
        <is>
          <t>Numérico</t>
        </is>
      </c>
      <c r="H22" s="10" t="inlineStr">
        <is>
          <t>counts</t>
        </is>
      </c>
      <c r="I22" s="11" t="inlineStr">
        <is>
          <t>El valor del ajuste de cero debe encontrarse dentro del rango permitido</t>
        </is>
      </c>
      <c r="J22" s="13" t="inlineStr">
        <is>
          <t>Bloqueante</t>
        </is>
      </c>
      <c r="K22" s="14" t="inlineStr">
        <is>
          <t>Aire cero contaminado, deozonizador agotado, o fuga neumática</t>
        </is>
      </c>
      <c r="L22" s="15" t="inlineStr">
        <is>
          <t>1.3.1 ; 6.3.1 ; 4.3.1 ; 3.3.1 ; 3.4.1</t>
        </is>
      </c>
      <c r="M22" s="14" t="inlineStr">
        <is>
          <t>Inyectar aire cero certificado para descartar el generador; si persiste, seguir la rama del deozonizador</t>
        </is>
      </c>
      <c r="N22" s="16" t="inlineStr">
        <is>
          <t>El coeficiente de calibración de cero se encuentra fuera del rango admisible, por lo que la calibración del punto cero no es válida.</t>
        </is>
      </c>
      <c r="O22" s="10" t="n">
        <v>-3500</v>
      </c>
      <c r="P22" s="10" t="n">
        <v>3500</v>
      </c>
      <c r="Q22" s="10" t="inlineStr">
        <is>
          <t>Sí</t>
        </is>
      </c>
      <c r="R22" s="10" t="inlineStr">
        <is>
          <t>No</t>
        </is>
      </c>
      <c r="S22" s="11" t="inlineStr"/>
      <c r="T22" s="11" t="inlineStr">
        <is>
          <t>P-ST-001-MAN OPER APOA 370 V2</t>
        </is>
      </c>
      <c r="U22" s="17" t="inlineStr">
        <is>
          <t>Pendiente</t>
        </is>
      </c>
      <c r="V22" s="17" t="n"/>
      <c r="W22" s="10">
        <f>IF($G22&lt;&gt;"Numérico","",IF($V22="","Sin dato",IF(AND(OR(NOT(ISNUMBER($O22)),$V22&gt;=$O22),OR(NOT(ISNUMBER($P22)),$V22&lt;=$P22)),"Dentro de rango","Fuera de rango")))</f>
        <v/>
      </c>
      <c r="X22" s="17" t="n"/>
      <c r="Y22" s="18" t="n"/>
      <c r="Z22" s="16">
        <f>IF(OR($U22="",$U22="Conforme",$U22="No aplica",$U22="Pendiente"),"",$N22&amp;IF($W22="Fuera de rango"," Valor medido: "&amp;TEXT($V22,"0.####")&amp;IF($H22="",""," "&amp;$H22)&amp;IF(AND(ISNUMBER($O22),$V22&lt;$O22),", por debajo del límite inferior de "&amp;TEXT($O22,"0.####")&amp;IF($H22="",""," "&amp;$H22),"")&amp;IF(AND(ISNUMBER($P22),$V22&gt;$P22),", por encima del límite superior de "&amp;TEXT($P22,"0.####")&amp;IF($H22="",""," "&amp;$H22),"")&amp;".","")&amp;IF($Y22="",""," "&amp;$Y22&amp;IF(RIGHT($Y22,1)=".","","."))&amp;" Acción recomendada: "&amp;$M22&amp;IF(RIGHT($M22,1)=".","",".")&amp;IF($J22="Bloqueante"," El equipo no se libera hasta resolver este hallazgo.",IF($J22="Cobrable"," Se incluye en la cotización de repuestos y consumibles."," Se deja registrado como observación.")))</f>
        <v/>
      </c>
    </row>
    <row r="23" ht="48" customHeight="1">
      <c r="A23" s="10" t="inlineStr">
        <is>
          <t>3.1.2</t>
        </is>
      </c>
      <c r="B23" s="10" t="inlineStr">
        <is>
          <t>3. Estado de calibración</t>
        </is>
      </c>
      <c r="C23" s="10" t="inlineStr">
        <is>
          <t>3.1 Coeficientes de calibración</t>
        </is>
      </c>
      <c r="D23" s="11" t="inlineStr">
        <is>
          <t>Coeficiente de calibración de span (User Span)</t>
        </is>
      </c>
      <c r="E23" s="11" t="inlineStr">
        <is>
          <t>Factor de multiplicación de calibración de span en la pantalla CAL.</t>
        </is>
      </c>
      <c r="F23" s="12" t="inlineStr">
        <is>
          <t>Ir a MENU / CAL. y leer el valor del coeficiente SPAN en pantalla. Anotarlo antes de calibrar y compararlo con el registrado en el servicio anterior.</t>
        </is>
      </c>
      <c r="G23" s="10" t="inlineStr">
        <is>
          <t>Numérico</t>
        </is>
      </c>
      <c r="H23" s="10" t="inlineStr"/>
      <c r="I23" s="11" t="inlineStr">
        <is>
          <t>El coeficiente de ganancia de span debe encontrarse dentro de los límites de aceptación</t>
        </is>
      </c>
      <c r="J23" s="13" t="inlineStr">
        <is>
          <t>Bloqueante</t>
        </is>
      </c>
      <c r="K23" s="14" t="inlineStr">
        <is>
          <t>Concentración del patrón mal configurada, lámpara degradada, o deozonizador ineficiente</t>
        </is>
      </c>
      <c r="L23" s="15" t="inlineStr">
        <is>
          <t>3.3.1 ; 6.1.1 ; 6.3.1 ; 6.1.2</t>
        </is>
      </c>
      <c r="M23" s="14" t="inlineStr">
        <is>
          <t>Confirmar el valor de span contra el patrón de ozono y volver a calibrar</t>
        </is>
      </c>
      <c r="N23" s="16" t="inlineStr">
        <is>
          <t>El coeficiente de calibración de span se encuentra fuera del rango admisible, por lo que la calibración de sensibilidad no es válida.</t>
        </is>
      </c>
      <c r="O23" s="10" t="n">
        <v>0.5</v>
      </c>
      <c r="P23" s="10" t="n">
        <v>2</v>
      </c>
      <c r="Q23" s="10" t="inlineStr">
        <is>
          <t>Sí</t>
        </is>
      </c>
      <c r="R23" s="10" t="inlineStr">
        <is>
          <t>No</t>
        </is>
      </c>
      <c r="S23" s="11" t="inlineStr"/>
      <c r="T23" s="11" t="inlineStr">
        <is>
          <t>P-ST-001-MAN OPER APOA 370 V2</t>
        </is>
      </c>
      <c r="U23" s="17" t="inlineStr">
        <is>
          <t>Pendiente</t>
        </is>
      </c>
      <c r="V23" s="17" t="n"/>
      <c r="W23" s="10">
        <f>IF($G23&lt;&gt;"Numérico","",IF($V23="","Sin dato",IF(AND(OR(NOT(ISNUMBER($O23)),$V23&gt;=$O23),OR(NOT(ISNUMBER($P23)),$V23&lt;=$P23)),"Dentro de rango","Fuera de rango")))</f>
        <v/>
      </c>
      <c r="X23" s="17" t="n"/>
      <c r="Y23" s="18" t="n"/>
      <c r="Z23" s="16">
        <f>IF(OR($U23="",$U23="Conforme",$U23="No aplica",$U23="Pendiente"),"",$N23&amp;IF($W23="Fuera de rango"," Valor medido: "&amp;TEXT($V23,"0.####")&amp;IF($H23="",""," "&amp;$H23)&amp;IF(AND(ISNUMBER($O23),$V23&lt;$O23),", por debajo del límite inferior de "&amp;TEXT($O23,"0.####")&amp;IF($H23="",""," "&amp;$H23),"")&amp;IF(AND(ISNUMBER($P23),$V23&gt;$P23),", por encima del límite superior de "&amp;TEXT($P23,"0.####")&amp;IF($H23="",""," "&amp;$H23),"")&amp;".","")&amp;IF($Y23="",""," "&amp;$Y23&amp;IF(RIGHT($Y23,1)=".","","."))&amp;" Acción recomendada: "&amp;$M23&amp;IF(RIGHT($M23,1)=".","",".")&amp;IF($J23="Bloqueante"," El equipo no se libera hasta resolver este hallazgo.",IF($J23="Cobrable"," Se incluye en la cotización de repuestos y consumibles."," Se deja registrado como observación.")))</f>
        <v/>
      </c>
    </row>
    <row r="24" ht="48" customHeight="1">
      <c r="A24" s="10" t="inlineStr">
        <is>
          <t>3.2.1</t>
        </is>
      </c>
      <c r="B24" s="10" t="inlineStr">
        <is>
          <t>3. Estado de calibración</t>
        </is>
      </c>
      <c r="C24" s="10" t="inlineStr">
        <is>
          <t>3.2 Límites de calibración de fábrica</t>
        </is>
      </c>
      <c r="D24" s="11" t="inlineStr">
        <is>
          <t>Coeficiente de cero de fábrica (Factory Zero)</t>
        </is>
      </c>
      <c r="E24" s="11" t="inlineStr">
        <is>
          <t>Coeficiente de cero de fábrica en la pantalla F.CAL de mantenimiento de servicio</t>
        </is>
      </c>
      <c r="F24" s="12" t="inlineStr">
        <is>
          <t>Entrar al modo de mantenimiento de servicio, abrir la pantalla F.CAL y leer el coeficiente de cero de fábrica. Requiere clave de servicio; anotar sin modificar.</t>
        </is>
      </c>
      <c r="G24" s="10" t="inlineStr">
        <is>
          <t>Numérico</t>
        </is>
      </c>
      <c r="H24" s="10" t="inlineStr">
        <is>
          <t>counts</t>
        </is>
      </c>
      <c r="I24" s="11" t="inlineStr">
        <is>
          <t>El coeficiente F.ZERO debe estar dentro del rango de conteo del ADC</t>
        </is>
      </c>
      <c r="J24" s="13" t="inlineStr">
        <is>
          <t>Bloqueante</t>
        </is>
      </c>
      <c r="K24" s="14" t="inlineStr">
        <is>
          <t>Cuenta ADC saturada: el detector o el preamplificador están fuera de su punto de trabajo</t>
        </is>
      </c>
      <c r="L24" s="15" t="inlineStr">
        <is>
          <t>6.4.1 ; 6.4.2 ; 6.1.1</t>
        </is>
      </c>
      <c r="M24" s="14" t="inlineStr">
        <is>
          <t>Trabajo de modo servicio: no ajustar en campo sin descartar antes detector y preamplificador</t>
        </is>
      </c>
      <c r="N24" s="16" t="inlineStr">
        <is>
          <t>El coeficiente de cero de fábrica está saturado, lo que indica que el detector o su cadena de amplificación están fuera de su punto de trabajo.</t>
        </is>
      </c>
      <c r="O24" s="10" t="n">
        <v>-32768</v>
      </c>
      <c r="P24" s="10" t="n">
        <v>32767</v>
      </c>
      <c r="Q24" s="10" t="inlineStr">
        <is>
          <t>Sí</t>
        </is>
      </c>
      <c r="R24" s="10" t="inlineStr">
        <is>
          <t>No</t>
        </is>
      </c>
      <c r="S24" s="11" t="inlineStr"/>
      <c r="T24" s="11" t="inlineStr">
        <is>
          <t>GZ0000117746B SM E APXX-370 (Service Manual)</t>
        </is>
      </c>
      <c r="U24" s="17" t="inlineStr">
        <is>
          <t>Pendiente</t>
        </is>
      </c>
      <c r="V24" s="17" t="n"/>
      <c r="W24" s="10">
        <f>IF($G24&lt;&gt;"Numérico","",IF($V24="","Sin dato",IF(AND(OR(NOT(ISNUMBER($O24)),$V24&gt;=$O24),OR(NOT(ISNUMBER($P24)),$V24&lt;=$P24)),"Dentro de rango","Fuera de rango")))</f>
        <v/>
      </c>
      <c r="X24" s="17" t="n"/>
      <c r="Y24" s="18" t="n"/>
      <c r="Z24" s="16">
        <f>IF(OR($U24="",$U24="Conforme",$U24="No aplica",$U24="Pendiente"),"",$N24&amp;IF($W24="Fuera de rango"," Valor medido: "&amp;TEXT($V24,"0.####")&amp;IF($H24="",""," "&amp;$H24)&amp;IF(AND(ISNUMBER($O24),$V24&lt;$O24),", por debajo del límite inferior de "&amp;TEXT($O24,"0.####")&amp;IF($H24="",""," "&amp;$H24),"")&amp;IF(AND(ISNUMBER($P24),$V24&gt;$P24),", por encima del límite superior de "&amp;TEXT($P24,"0.####")&amp;IF($H24="",""," "&amp;$H24),"")&amp;".","")&amp;IF($Y24="",""," "&amp;$Y24&amp;IF(RIGHT($Y24,1)=".","","."))&amp;" Acción recomendada: "&amp;$M24&amp;IF(RIGHT($M24,1)=".","",".")&amp;IF($J24="Bloqueante"," El equipo no se libera hasta resolver este hallazgo.",IF($J24="Cobrable"," Se incluye en la cotización de repuestos y consumibles."," Se deja registrado como observación.")))</f>
        <v/>
      </c>
    </row>
    <row r="25" ht="48" customHeight="1">
      <c r="A25" s="10" t="inlineStr">
        <is>
          <t>3.2.2</t>
        </is>
      </c>
      <c r="B25" s="10" t="inlineStr">
        <is>
          <t>3. Estado de calibración</t>
        </is>
      </c>
      <c r="C25" s="10" t="inlineStr">
        <is>
          <t>3.2 Límites de calibración de fábrica</t>
        </is>
      </c>
      <c r="D25" s="11" t="inlineStr">
        <is>
          <t>Coeficiente de span de fábrica (Factory Span)</t>
        </is>
      </c>
      <c r="E25" s="11" t="inlineStr">
        <is>
          <t>Factor de multiplicación de fábrica en el menú de servicio</t>
        </is>
      </c>
      <c r="F25" s="12" t="inlineStr">
        <is>
          <t>En la pantalla F.CAL del modo de servicio, leer el coeficiente de span de fábrica. Anotarlo sin modificar salvo que se vaya a recalibrar de fábrica.</t>
        </is>
      </c>
      <c r="G25" s="10" t="inlineStr">
        <is>
          <t>Numérico</t>
        </is>
      </c>
      <c r="H25" s="10" t="inlineStr"/>
      <c r="I25" s="11" t="inlineStr">
        <is>
          <t>El coeficiente F.SPAN estándar debe estar comprendido entre 0,7 y 1,3</t>
        </is>
      </c>
      <c r="J25" s="13" t="inlineStr">
        <is>
          <t>Bloqueante</t>
        </is>
      </c>
      <c r="K25" s="14" t="inlineStr">
        <is>
          <t>Ganancia de fábrica fuera de 0,7 a 1,3: pérdida de sensibilidad del banco óptico</t>
        </is>
      </c>
      <c r="L25" s="15" t="inlineStr">
        <is>
          <t>6.1.1 ; 6.2.1 ; 6.4.1</t>
        </is>
      </c>
      <c r="M25" s="14" t="inlineStr">
        <is>
          <t>Recorrer la rama óptica antes de tocar el coeficiente de fábrica</t>
        </is>
      </c>
      <c r="N25" s="16" t="inlineStr">
        <is>
          <t>El coeficiente de span de fábrica está fuera del rango estándar, lo que evidencia pérdida de sensibilidad del banco óptico.</t>
        </is>
      </c>
      <c r="O25" s="10" t="n">
        <v>0.7</v>
      </c>
      <c r="P25" s="10" t="n">
        <v>1.3</v>
      </c>
      <c r="Q25" s="10" t="inlineStr">
        <is>
          <t>Sí</t>
        </is>
      </c>
      <c r="R25" s="10" t="inlineStr">
        <is>
          <t>No</t>
        </is>
      </c>
      <c r="S25" s="11" t="inlineStr"/>
      <c r="T25" s="11" t="inlineStr">
        <is>
          <t>GZ0000117746B SM E APXX-370 (Service Manual)</t>
        </is>
      </c>
      <c r="U25" s="17" t="inlineStr">
        <is>
          <t>Pendiente</t>
        </is>
      </c>
      <c r="V25" s="17" t="n"/>
      <c r="W25" s="10">
        <f>IF($G25&lt;&gt;"Numérico","",IF($V25="","Sin dato",IF(AND(OR(NOT(ISNUMBER($O25)),$V25&gt;=$O25),OR(NOT(ISNUMBER($P25)),$V25&lt;=$P25)),"Dentro de rango","Fuera de rango")))</f>
        <v/>
      </c>
      <c r="X25" s="17" t="n"/>
      <c r="Y25" s="18" t="n"/>
      <c r="Z25" s="16">
        <f>IF(OR($U25="",$U25="Conforme",$U25="No aplica",$U25="Pendiente"),"",$N25&amp;IF($W25="Fuera de rango"," Valor medido: "&amp;TEXT($V25,"0.####")&amp;IF($H25="",""," "&amp;$H25)&amp;IF(AND(ISNUMBER($O25),$V25&lt;$O25),", por debajo del límite inferior de "&amp;TEXT($O25,"0.####")&amp;IF($H25="",""," "&amp;$H25),"")&amp;IF(AND(ISNUMBER($P25),$V25&gt;$P25),", por encima del límite superior de "&amp;TEXT($P25,"0.####")&amp;IF($H25="",""," "&amp;$H25),"")&amp;".","")&amp;IF($Y25="",""," "&amp;$Y25&amp;IF(RIGHT($Y25,1)=".","","."))&amp;" Acción recomendada: "&amp;$M25&amp;IF(RIGHT($M25,1)=".","",".")&amp;IF($J25="Bloqueante"," El equipo no se libera hasta resolver este hallazgo.",IF($J25="Cobrable"," Se incluye en la cotización de repuestos y consumibles."," Se deja registrado como observación.")))</f>
        <v/>
      </c>
    </row>
    <row r="26" ht="48" customHeight="1">
      <c r="A26" s="10" t="inlineStr">
        <is>
          <t>3.3.1</t>
        </is>
      </c>
      <c r="B26" s="10" t="inlineStr">
        <is>
          <t>3. Estado de calibración</t>
        </is>
      </c>
      <c r="C26" s="10" t="inlineStr">
        <is>
          <t>3.3 Suministro de gases patrón</t>
        </is>
      </c>
      <c r="D26" s="11" t="inlineStr">
        <is>
          <t>Presión de entrega de gas cero y de span</t>
        </is>
      </c>
      <c r="E26" s="11" t="inlineStr">
        <is>
          <t>Presión de introducción del gas cero o del gas patrón</t>
        </is>
      </c>
      <c r="F26" s="12" t="inlineStr">
        <is>
          <t>Conectar un manómetro de baja presión en la línea de gas de calibración, aguas arriba del puerto CAL GAS INLET, y leer la presión con el gas fluyendo.</t>
        </is>
      </c>
      <c r="G26" s="10" t="inlineStr">
        <is>
          <t>Numérico</t>
        </is>
      </c>
      <c r="H26" s="10" t="inlineStr">
        <is>
          <t>Pa</t>
        </is>
      </c>
      <c r="I26" s="11" t="inlineStr">
        <is>
          <t>La presión de suministro debe controlarse de forma estable respecto a la atmósfera</t>
        </is>
      </c>
      <c r="J26" s="13" t="inlineStr">
        <is>
          <t>Bloqueante</t>
        </is>
      </c>
      <c r="K26" s="14" t="inlineStr">
        <is>
          <t>Regulador mal ajustado o cilindro despresurizado</t>
        </is>
      </c>
      <c r="L26" s="15" t="inlineStr">
        <is>
          <t>3.1.2</t>
        </is>
      </c>
      <c r="M26" s="14" t="inlineStr">
        <is>
          <t>Reajustar el regulador para una entrega estable respecto a la atmósfera</t>
        </is>
      </c>
      <c r="N26" s="16" t="inlineStr">
        <is>
          <t>La presión de entrega del gas de calibración no es estable, lo que compromete la validez de la calibración.</t>
        </is>
      </c>
      <c r="O26" s="10" t="n">
        <v>-500</v>
      </c>
      <c r="P26" s="10" t="n">
        <v>500</v>
      </c>
      <c r="Q26" s="10" t="inlineStr">
        <is>
          <t>Sí</t>
        </is>
      </c>
      <c r="R26" s="10" t="inlineStr">
        <is>
          <t>No</t>
        </is>
      </c>
      <c r="S26" s="11" t="inlineStr"/>
      <c r="T26" s="11" t="inlineStr">
        <is>
          <t>P-ST-001-MAN OPER APOA 370 V2</t>
        </is>
      </c>
      <c r="U26" s="17" t="inlineStr">
        <is>
          <t>Pendiente</t>
        </is>
      </c>
      <c r="V26" s="17" t="n"/>
      <c r="W26" s="10">
        <f>IF($G26&lt;&gt;"Numérico","",IF($V26="","Sin dato",IF(AND(OR(NOT(ISNUMBER($O26)),$V26&gt;=$O26),OR(NOT(ISNUMBER($P26)),$V26&lt;=$P26)),"Dentro de rango","Fuera de rango")))</f>
        <v/>
      </c>
      <c r="X26" s="17" t="n"/>
      <c r="Y26" s="18" t="n"/>
      <c r="Z26" s="16">
        <f>IF(OR($U26="",$U26="Conforme",$U26="No aplica",$U26="Pendiente"),"",$N26&amp;IF($W26="Fuera de rango"," Valor medido: "&amp;TEXT($V26,"0.####")&amp;IF($H26="",""," "&amp;$H26)&amp;IF(AND(ISNUMBER($O26),$V26&lt;$O26),", por debajo del límite inferior de "&amp;TEXT($O26,"0.####")&amp;IF($H26="",""," "&amp;$H26),"")&amp;IF(AND(ISNUMBER($P26),$V26&gt;$P26),", por encima del límite superior de "&amp;TEXT($P26,"0.####")&amp;IF($H26="",""," "&amp;$H26),"")&amp;".","")&amp;IF($Y26="",""," "&amp;$Y26&amp;IF(RIGHT($Y26,1)=".","","."))&amp;" Acción recomendada: "&amp;$M26&amp;IF(RIGHT($M26,1)=".","",".")&amp;IF($J26="Bloqueante"," El equipo no se libera hasta resolver este hallazgo.",IF($J26="Cobrable"," Se incluye en la cotización de repuestos y consumibles."," Se deja registrado como observación.")))</f>
        <v/>
      </c>
    </row>
    <row r="27" ht="48" customHeight="1">
      <c r="A27" s="10" t="inlineStr">
        <is>
          <t>3.3.2</t>
        </is>
      </c>
      <c r="B27" s="10" t="inlineStr">
        <is>
          <t>3. Estado de calibración</t>
        </is>
      </c>
      <c r="C27" s="10" t="inlineStr">
        <is>
          <t>3.3 Suministro de gases patrón</t>
        </is>
      </c>
      <c r="D27" s="11" t="inlineStr">
        <is>
          <t>Lámpara del ozonizador interno (opcional)</t>
        </is>
      </c>
      <c r="E27" s="11" t="inlineStr">
        <is>
          <t>Si está equipado con generador de ozono interno, que la lámpara encienda al activar el span</t>
        </is>
      </c>
      <c r="F27" s="12" t="inlineStr">
        <is>
          <t>Si el equipo tiene el generador de ozono interno, activar el modo SPAN y verificar visualmente que la lámpara del ozonizador encienda de forma estable, sin parpadeos.</t>
        </is>
      </c>
      <c r="G27" s="10" t="inlineStr">
        <is>
          <t>OK / No OK</t>
        </is>
      </c>
      <c r="H27" s="10" t="inlineStr"/>
      <c r="I27" s="11" t="inlineStr">
        <is>
          <t>Lámpara del ozonizador interno operativa y estable, sin parpadeos anómalos. Repuesto PENDIENTE DE VALIDAR</t>
        </is>
      </c>
      <c r="J27" s="13" t="inlineStr">
        <is>
          <t>Cobrable</t>
        </is>
      </c>
      <c r="K27" s="14" t="inlineStr">
        <is>
          <t>Lámpara del generador de span agotada o sin alimentación</t>
        </is>
      </c>
      <c r="L27" s="15" t="inlineStr">
        <is>
          <t>3.1.2</t>
        </is>
      </c>
      <c r="M27" s="14" t="inlineStr">
        <is>
          <t>Reemplazar la lámpara del ozonizador interno o calibrar con patrón externo</t>
        </is>
      </c>
      <c r="N27" s="16" t="inlineStr">
        <is>
          <t>La lámpara del generador de ozono interno no enciende o presenta operación inestable.</t>
        </is>
      </c>
      <c r="O27" s="10" t="n"/>
      <c r="P27" s="10" t="n"/>
      <c r="Q27" s="10" t="inlineStr">
        <is>
          <t>Sí</t>
        </is>
      </c>
      <c r="R27" s="10" t="inlineStr">
        <is>
          <t>Sí</t>
        </is>
      </c>
      <c r="S27" s="11" t="inlineStr"/>
      <c r="T27" s="11" t="inlineStr">
        <is>
          <t>P-ST-001-MAN OPER APOA 370 V2</t>
        </is>
      </c>
      <c r="U27" s="17" t="inlineStr">
        <is>
          <t>Pendiente</t>
        </is>
      </c>
      <c r="V27" s="17" t="n"/>
      <c r="W27" s="10">
        <f>IF($G27&lt;&gt;"Numérico","",IF($V27="","Sin dato",IF(AND(OR(NOT(ISNUMBER($O27)),$V27&gt;=$O27),OR(NOT(ISNUMBER($P27)),$V27&lt;=$P27)),"Dentro de rango","Fuera de rango")))</f>
        <v/>
      </c>
      <c r="X27" s="17" t="n"/>
      <c r="Y27" s="18" t="n"/>
      <c r="Z27" s="16">
        <f>IF(OR($U27="",$U27="Conforme",$U27="No aplica",$U27="Pendiente"),"",$N27&amp;IF($W27="Fuera de rango"," Valor medido: "&amp;TEXT($V27,"0.####")&amp;IF($H27="",""," "&amp;$H27)&amp;IF(AND(ISNUMBER($O27),$V27&lt;$O27),", por debajo del límite inferior de "&amp;TEXT($O27,"0.####")&amp;IF($H27="",""," "&amp;$H27),"")&amp;IF(AND(ISNUMBER($P27),$V27&gt;$P27),", por encima del límite superior de "&amp;TEXT($P27,"0.####")&amp;IF($H27="",""," "&amp;$H27),"")&amp;".","")&amp;IF($Y27="",""," "&amp;$Y27&amp;IF(RIGHT($Y27,1)=".","","."))&amp;" Acción recomendada: "&amp;$M27&amp;IF(RIGHT($M27,1)=".","",".")&amp;IF($J27="Bloqueante"," El equipo no se libera hasta resolver este hallazgo.",IF($J27="Cobrable"," Se incluye en la cotización de repuestos y consumibles."," Se deja registrado como observación.")))</f>
        <v/>
      </c>
    </row>
    <row r="28" ht="48" customHeight="1">
      <c r="A28" s="10" t="inlineStr">
        <is>
          <t>3.4.1</t>
        </is>
      </c>
      <c r="B28" s="10" t="inlineStr">
        <is>
          <t>3. Estado de calibración</t>
        </is>
      </c>
      <c r="C28" s="10" t="inlineStr">
        <is>
          <t>3.4 Estabilidad de lectura</t>
        </is>
      </c>
      <c r="D28" s="11" t="inlineStr">
        <is>
          <t>Estabilidad de la lectura de cero</t>
        </is>
      </c>
      <c r="E28" s="11" t="inlineStr">
        <is>
          <t>Lectura de concentración con aire cero, para comprobar ruido y deriva</t>
        </is>
      </c>
      <c r="F28" s="12" t="inlineStr">
        <is>
          <t>Introducir aire cero desde el generador y dejar estabilizar al menos 15 min; observar la lectura de concentración en pantalla y anotar el valor y su fluctuación.</t>
        </is>
      </c>
      <c r="G28" s="10" t="inlineStr">
        <is>
          <t>Numérico</t>
        </is>
      </c>
      <c r="H28" s="10" t="inlineStr">
        <is>
          <t>ppb</t>
        </is>
      </c>
      <c r="I28" s="11" t="inlineStr">
        <is>
          <t>Lectura del analizador estabilizada cerca de cero</t>
        </is>
      </c>
      <c r="J28" s="13" t="inlineStr">
        <is>
          <t>Bloqueante</t>
        </is>
      </c>
      <c r="K28" s="14" t="inlineStr">
        <is>
          <t>Deozonizador agotado, fuga neumática, o ruido óptico</t>
        </is>
      </c>
      <c r="L28" s="15" t="inlineStr">
        <is>
          <t>6.3.1 ; 6.1.3 ; 4.3.1 ; 6.1.1</t>
        </is>
      </c>
      <c r="M28" s="14" t="inlineStr">
        <is>
          <t>Recorrer la rama de referencia y la óptica antes de recalibrar el cero</t>
        </is>
      </c>
      <c r="N28" s="16" t="inlineStr">
        <is>
          <t>La lectura con aire cero presenta ruido o deriva por encima de lo esperado para un equipo estabilizado.</t>
        </is>
      </c>
      <c r="O28" s="10" t="n">
        <v>-1</v>
      </c>
      <c r="P28" s="10" t="n">
        <v>1</v>
      </c>
      <c r="Q28" s="10" t="inlineStr">
        <is>
          <t>Sí</t>
        </is>
      </c>
      <c r="R28" s="10" t="inlineStr">
        <is>
          <t>No</t>
        </is>
      </c>
      <c r="S28" s="11" t="inlineStr"/>
      <c r="T28" s="11" t="inlineStr">
        <is>
          <t>P-ST-001-MAN OPER APOA 370 V2</t>
        </is>
      </c>
      <c r="U28" s="17" t="inlineStr">
        <is>
          <t>Pendiente</t>
        </is>
      </c>
      <c r="V28" s="17" t="n"/>
      <c r="W28" s="10">
        <f>IF($G28&lt;&gt;"Numérico","",IF($V28="","Sin dato",IF(AND(OR(NOT(ISNUMBER($O28)),$V28&gt;=$O28),OR(NOT(ISNUMBER($P28)),$V28&lt;=$P28)),"Dentro de rango","Fuera de rango")))</f>
        <v/>
      </c>
      <c r="X28" s="17" t="n"/>
      <c r="Y28" s="18" t="n"/>
      <c r="Z28" s="16">
        <f>IF(OR($U28="",$U28="Conforme",$U28="No aplica",$U28="Pendiente"),"",$N28&amp;IF($W28="Fuera de rango"," Valor medido: "&amp;TEXT($V28,"0.####")&amp;IF($H28="",""," "&amp;$H28)&amp;IF(AND(ISNUMBER($O28),$V28&lt;$O28),", por debajo del límite inferior de "&amp;TEXT($O28,"0.####")&amp;IF($H28="",""," "&amp;$H28),"")&amp;IF(AND(ISNUMBER($P28),$V28&gt;$P28),", por encima del límite superior de "&amp;TEXT($P28,"0.####")&amp;IF($H28="",""," "&amp;$H28),"")&amp;".","")&amp;IF($Y28="",""," "&amp;$Y28&amp;IF(RIGHT($Y28,1)=".","","."))&amp;" Acción recomendada: "&amp;$M28&amp;IF(RIGHT($M28,1)=".","",".")&amp;IF($J28="Bloqueante"," El equipo no se libera hasta resolver este hallazgo.",IF($J28="Cobrable"," Se incluye en la cotización de repuestos y consumibles."," Se deja registrado como observación.")))</f>
        <v/>
      </c>
    </row>
    <row r="29" ht="48" customHeight="1">
      <c r="A29" s="10" t="inlineStr">
        <is>
          <t>4.1.1</t>
        </is>
      </c>
      <c r="B29" s="10" t="inlineStr">
        <is>
          <t>4. Línea de muestreo y acondicionamiento</t>
        </is>
      </c>
      <c r="C29" s="10" t="inlineStr">
        <is>
          <t>4.1 Portafiltros frontal</t>
        </is>
      </c>
      <c r="D29" s="11" t="inlineStr">
        <is>
          <t>Filtro de partículas de teflón (PA-10L)</t>
        </is>
      </c>
      <c r="E29" s="11" t="inlineStr">
        <is>
          <t>Grado de suciedad, cambio de color o humedad del filtro de partículas</t>
        </is>
      </c>
      <c r="F29" s="12" t="inlineStr">
        <is>
          <t>Abrir la puerta frontal, desenroscar el vaso del portafiltros, extraer el elemento y compararlo contra un filtro nuevo sobre fondo blanco. Fotografiar antes de reemplazar.</t>
        </is>
      </c>
      <c r="G29" s="10" t="inlineStr">
        <is>
          <t>OK / No OK</t>
        </is>
      </c>
      <c r="H29" s="10" t="inlineStr"/>
      <c r="I29" s="11" t="inlineStr">
        <is>
          <t>El elemento filtrante debe estar limpio, de color blanco y completamente seco (cambio cada 2 semanas)</t>
        </is>
      </c>
      <c r="J29" s="13" t="inlineStr">
        <is>
          <t>Cobrable</t>
        </is>
      </c>
      <c r="K29" s="14" t="inlineStr">
        <is>
          <t>Filtro saturado de material particulado o humedecido</t>
        </is>
      </c>
      <c r="L29" s="15" t="inlineStr">
        <is>
          <t>5.2.1 ; 5.3.1 ; 8.1.1</t>
        </is>
      </c>
      <c r="M29" s="14" t="inlineStr">
        <is>
          <t>Reemplazar el elemento filtrante y reiniciar su horómetro</t>
        </is>
      </c>
      <c r="N29" s="16" t="inlineStr">
        <is>
          <t>El filtro de partículas se encuentra colmatado o humedecido, lo que restringe el caudal de muestra.</t>
        </is>
      </c>
      <c r="O29" s="10" t="n"/>
      <c r="P29" s="10" t="n"/>
      <c r="Q29" s="10" t="inlineStr">
        <is>
          <t>Sí</t>
        </is>
      </c>
      <c r="R29" s="10" t="inlineStr">
        <is>
          <t>Sí</t>
        </is>
      </c>
      <c r="S29" s="11" t="inlineStr">
        <is>
          <t>Filter Element PA-10L diámetro 54*0.5t (24pc/set) (3200043947; alt. 3200043947-1PC)</t>
        </is>
      </c>
      <c r="T29" s="11" t="inlineStr">
        <is>
          <t>P-ST-002-MAN MTTO APOA370 V2</t>
        </is>
      </c>
      <c r="U29" s="17" t="inlineStr">
        <is>
          <t>Pendiente</t>
        </is>
      </c>
      <c r="V29" s="17" t="n"/>
      <c r="W29" s="10">
        <f>IF($G29&lt;&gt;"Numérico","",IF($V29="","Sin dato",IF(AND(OR(NOT(ISNUMBER($O29)),$V29&gt;=$O29),OR(NOT(ISNUMBER($P29)),$V29&lt;=$P29)),"Dentro de rango","Fuera de rango")))</f>
        <v/>
      </c>
      <c r="X29" s="17" t="n"/>
      <c r="Y29" s="18" t="n"/>
      <c r="Z29" s="16">
        <f>IF(OR($U29="",$U29="Conforme",$U29="No aplica",$U29="Pendiente"),"",$N29&amp;IF($W29="Fuera de rango"," Valor medido: "&amp;TEXT($V29,"0.####")&amp;IF($H29="",""," "&amp;$H29)&amp;IF(AND(ISNUMBER($O29),$V29&lt;$O29),", por debajo del límite inferior de "&amp;TEXT($O29,"0.####")&amp;IF($H29="",""," "&amp;$H29),"")&amp;IF(AND(ISNUMBER($P29),$V29&gt;$P29),", por encima del límite superior de "&amp;TEXT($P29,"0.####")&amp;IF($H29="",""," "&amp;$H29),"")&amp;".","")&amp;IF($Y29="",""," "&amp;$Y29&amp;IF(RIGHT($Y29,1)=".","","."))&amp;" Acción recomendada: "&amp;$M29&amp;IF(RIGHT($M29,1)=".","",".")&amp;IF($J29="Bloqueante"," El equipo no se libera hasta resolver este hallazgo.",IF($J29="Cobrable"," Se incluye en la cotización de repuestos y consumibles."," Se deja registrado como observación.")))</f>
        <v/>
      </c>
    </row>
    <row r="30" ht="48" customHeight="1">
      <c r="A30" s="10" t="inlineStr">
        <is>
          <t>4.1.2</t>
        </is>
      </c>
      <c r="B30" s="10" t="inlineStr">
        <is>
          <t>4. Línea de muestreo y acondicionamiento</t>
        </is>
      </c>
      <c r="C30" s="10" t="inlineStr">
        <is>
          <t>4.1 Portafiltros frontal</t>
        </is>
      </c>
      <c r="D30" s="11" t="inlineStr">
        <is>
          <t>Junta tórica del portafiltros (O-Ring G50)</t>
        </is>
      </c>
      <c r="E30" s="11" t="inlineStr">
        <is>
          <t>Estado físico, deformación o grietas de la junta tórica del vaso del portafiltros</t>
        </is>
      </c>
      <c r="F30" s="12" t="inlineStr">
        <is>
          <t>Retirar la junta tórica de la tapa del portafiltros, limpiarla y examinarla estirándola suavemente contra la luz, buscando microfisuras, resequedad o aplastamiento permanente.</t>
        </is>
      </c>
      <c r="G30" s="10" t="inlineStr">
        <is>
          <t>OK / No OK</t>
        </is>
      </c>
      <c r="H30" s="10" t="inlineStr"/>
      <c r="I30" s="11" t="inlineStr">
        <is>
          <t>Junta elástica, sin aplastamientos ni resequedad, asegurando un sellado hermético</t>
        </is>
      </c>
      <c r="J30" s="13" t="inlineStr">
        <is>
          <t>Cobrable</t>
        </is>
      </c>
      <c r="K30" s="14" t="inlineStr">
        <is>
          <t>Junta reseca o aplastada: fuga en la tapa del portafiltros</t>
        </is>
      </c>
      <c r="L30" s="15" t="inlineStr">
        <is>
          <t>5.2.1</t>
        </is>
      </c>
      <c r="M30" s="14" t="inlineStr">
        <is>
          <t>Reemplazar la junta tórica G50 y repetir la prueba de hermeticidad</t>
        </is>
      </c>
      <c r="N30" s="16" t="inlineStr">
        <is>
          <t>La junta tórica de la tapa del portafiltros presenta resequedad, aplastamiento o fisuras y no garantiza la hermeticidad.</t>
        </is>
      </c>
      <c r="O30" s="10" t="n"/>
      <c r="P30" s="10" t="n"/>
      <c r="Q30" s="10" t="inlineStr">
        <is>
          <t>Sí</t>
        </is>
      </c>
      <c r="R30" s="10" t="inlineStr">
        <is>
          <t>Sí</t>
        </is>
      </c>
      <c r="S30" s="11" t="inlineStr">
        <is>
          <t>O-Ring 160ﾟC12H drawing vacuum APSA / APOA (3014059499)</t>
        </is>
      </c>
      <c r="T30" s="11" t="inlineStr">
        <is>
          <t>P-ST-002-MAN MTTO APOA370 V2</t>
        </is>
      </c>
      <c r="U30" s="17" t="inlineStr">
        <is>
          <t>Pendiente</t>
        </is>
      </c>
      <c r="V30" s="17" t="n"/>
      <c r="W30" s="10">
        <f>IF($G30&lt;&gt;"Numérico","",IF($V30="","Sin dato",IF(AND(OR(NOT(ISNUMBER($O30)),$V30&gt;=$O30),OR(NOT(ISNUMBER($P30)),$V30&lt;=$P30)),"Dentro de rango","Fuera de rango")))</f>
        <v/>
      </c>
      <c r="X30" s="17" t="n"/>
      <c r="Y30" s="18" t="n"/>
      <c r="Z30" s="16">
        <f>IF(OR($U30="",$U30="Conforme",$U30="No aplica",$U30="Pendiente"),"",$N30&amp;IF($W30="Fuera de rango"," Valor medido: "&amp;TEXT($V30,"0.####")&amp;IF($H30="",""," "&amp;$H30)&amp;IF(AND(ISNUMBER($O30),$V30&lt;$O30),", por debajo del límite inferior de "&amp;TEXT($O30,"0.####")&amp;IF($H30="",""," "&amp;$H30),"")&amp;IF(AND(ISNUMBER($P30),$V30&gt;$P30),", por encima del límite superior de "&amp;TEXT($P30,"0.####")&amp;IF($H30="",""," "&amp;$H30),"")&amp;".","")&amp;IF($Y30="",""," "&amp;$Y30&amp;IF(RIGHT($Y30,1)=".","","."))&amp;" Acción recomendada: "&amp;$M30&amp;IF(RIGHT($M30,1)=".","",".")&amp;IF($J30="Bloqueante"," El equipo no se libera hasta resolver este hallazgo.",IF($J30="Cobrable"," Se incluye en la cotización de repuestos y consumibles."," Se deja registrado como observación.")))</f>
        <v/>
      </c>
    </row>
    <row r="31" ht="48" customHeight="1">
      <c r="A31" s="10" t="inlineStr">
        <is>
          <t>4.1.3</t>
        </is>
      </c>
      <c r="B31" s="10" t="inlineStr">
        <is>
          <t>4. Línea de muestreo y acondicionamiento</t>
        </is>
      </c>
      <c r="C31" s="10" t="inlineStr">
        <is>
          <t>4.1 Portafiltros frontal</t>
        </is>
      </c>
      <c r="D31" s="11" t="inlineStr">
        <is>
          <t>Empaque de teflón del filtro</t>
        </is>
      </c>
      <c r="E31" s="11" t="inlineStr">
        <is>
          <t>Estado de la junta plana interna de asiento del filtro</t>
        </is>
      </c>
      <c r="F31" s="12" t="inlineStr">
        <is>
          <t>Con el portafiltros abierto, retirar el empaque plano de asiento del filtro y examinarlo buscando cortes, deformación permanente o residuos adheridos.</t>
        </is>
      </c>
      <c r="G31" s="10" t="inlineStr">
        <is>
          <t>OK / No OK</t>
        </is>
      </c>
      <c r="H31" s="10" t="inlineStr"/>
      <c r="I31" s="11" t="inlineStr">
        <is>
          <t>Empaque plano sin deformaciones, cortes ni residuos de suciedad. Repuesto PENDIENTE DE VALIDAR</t>
        </is>
      </c>
      <c r="J31" s="13" t="inlineStr">
        <is>
          <t>Cobrable</t>
        </is>
      </c>
      <c r="K31" s="14" t="inlineStr">
        <is>
          <t>Empaque deformado o con residuos: asiento imperfecto del filtro</t>
        </is>
      </c>
      <c r="L31" s="15" t="inlineStr">
        <is>
          <t>4.1.2 ; 5.2.1</t>
        </is>
      </c>
      <c r="M31" s="14" t="inlineStr">
        <is>
          <t>Reemplazar el empaque plano y verificar el asiento del elemento</t>
        </is>
      </c>
      <c r="N31" s="16" t="inlineStr">
        <is>
          <t>El empaque de asiento del filtro presenta deformación o residuos que impiden el sello correcto del elemento.</t>
        </is>
      </c>
      <c r="O31" s="10" t="n"/>
      <c r="P31" s="10" t="n"/>
      <c r="Q31" s="10" t="inlineStr">
        <is>
          <t>Sí</t>
        </is>
      </c>
      <c r="R31" s="10" t="inlineStr">
        <is>
          <t>Sí</t>
        </is>
      </c>
      <c r="S31" s="11" t="inlineStr">
        <is>
          <t>Sin artículo en el catálogo (empaque plano del filtro) — PENDIENTE DE CREAR EN ZOHO</t>
        </is>
      </c>
      <c r="T31" s="11" t="inlineStr">
        <is>
          <t>P-ST-002-MAN MTTO APOA370 V2</t>
        </is>
      </c>
      <c r="U31" s="17" t="inlineStr">
        <is>
          <t>Pendiente</t>
        </is>
      </c>
      <c r="V31" s="17" t="n"/>
      <c r="W31" s="10">
        <f>IF($G31&lt;&gt;"Numérico","",IF($V31="","Sin dato",IF(AND(OR(NOT(ISNUMBER($O31)),$V31&gt;=$O31),OR(NOT(ISNUMBER($P31)),$V31&lt;=$P31)),"Dentro de rango","Fuera de rango")))</f>
        <v/>
      </c>
      <c r="X31" s="17" t="n"/>
      <c r="Y31" s="18" t="n"/>
      <c r="Z31" s="16">
        <f>IF(OR($U31="",$U31="Conforme",$U31="No aplica",$U31="Pendiente"),"",$N31&amp;IF($W31="Fuera de rango"," Valor medido: "&amp;TEXT($V31,"0.####")&amp;IF($H31="",""," "&amp;$H31)&amp;IF(AND(ISNUMBER($O31),$V31&lt;$O31),", por debajo del límite inferior de "&amp;TEXT($O31,"0.####")&amp;IF($H31="",""," "&amp;$H31),"")&amp;IF(AND(ISNUMBER($P31),$V31&gt;$P31),", por encima del límite superior de "&amp;TEXT($P31,"0.####")&amp;IF($H31="",""," "&amp;$H31),"")&amp;".","")&amp;IF($Y31="",""," "&amp;$Y31&amp;IF(RIGHT($Y31,1)=".","","."))&amp;" Acción recomendada: "&amp;$M31&amp;IF(RIGHT($M31,1)=".","",".")&amp;IF($J31="Bloqueante"," El equipo no se libera hasta resolver este hallazgo.",IF($J31="Cobrable"," Se incluye en la cotización de repuestos y consumibles."," Se deja registrado como observación.")))</f>
        <v/>
      </c>
    </row>
    <row r="32" ht="48" customHeight="1">
      <c r="A32" s="10" t="inlineStr">
        <is>
          <t>4.2.1</t>
        </is>
      </c>
      <c r="B32" s="10" t="inlineStr">
        <is>
          <t>4. Línea de muestreo y acondicionamiento</t>
        </is>
      </c>
      <c r="C32" s="10" t="inlineStr">
        <is>
          <t>4.2 Humedad en la línea</t>
        </is>
      </c>
      <c r="D32" s="11" t="inlineStr">
        <is>
          <t>Humedad o condensación en el portafiltros</t>
        </is>
      </c>
      <c r="E32" s="11" t="inlineStr">
        <is>
          <t>Presencia de agua libre en las mangueras neumáticas y en el vaso del portafiltros</t>
        </is>
      </c>
      <c r="F32" s="12" t="inlineStr">
        <is>
          <t>Con el portafiltros abierto, pasar un paño limpio por el interior del vaso y verificar si sale húmedo. Desconectar la manguera de entrada y comprobar si hay gotas retenidas.</t>
        </is>
      </c>
      <c r="G32" s="10" t="inlineStr">
        <is>
          <t>OK / No OK</t>
        </is>
      </c>
      <c r="H32" s="10" t="inlineStr"/>
      <c r="I32" s="11" t="inlineStr">
        <is>
          <t>Líneas neumáticas completamente secas y libres de goteo o acumulación de agua</t>
        </is>
      </c>
      <c r="J32" s="13" t="inlineStr">
        <is>
          <t>Bloqueante</t>
        </is>
      </c>
      <c r="K32" s="14" t="inlineStr">
        <is>
          <t>Ingreso de agua por la sonda, o caída de temperatura bajo el punto de rocío</t>
        </is>
      </c>
      <c r="L32" s="15" t="inlineStr">
        <is>
          <t>4.4.1 ; 10.3.1 ; 6.2.1 ; 5.1.1</t>
        </is>
      </c>
      <c r="M32" s="14" t="inlineStr">
        <is>
          <t>Apagar la bomba, secar y purgar el circuito con aire seco, y dejar calentar el equipo antes de volver a medir</t>
        </is>
      </c>
      <c r="N32" s="16" t="inlineStr">
        <is>
          <t>Se encontró agua condensada en el portafiltros y en las líneas neumáticas, con riesgo de daño del sistema óptico y de la bomba.</t>
        </is>
      </c>
      <c r="O32" s="10" t="n"/>
      <c r="P32" s="10" t="n"/>
      <c r="Q32" s="10" t="inlineStr">
        <is>
          <t>Sí</t>
        </is>
      </c>
      <c r="R32" s="10" t="inlineStr">
        <is>
          <t>Sí</t>
        </is>
      </c>
      <c r="S32" s="11" t="inlineStr"/>
      <c r="T32" s="11" t="inlineStr">
        <is>
          <t>MT_H53MWBT2_APOA370_250428</t>
        </is>
      </c>
      <c r="U32" s="17" t="inlineStr">
        <is>
          <t>Pendiente</t>
        </is>
      </c>
      <c r="V32" s="17" t="n"/>
      <c r="W32" s="10">
        <f>IF($G32&lt;&gt;"Numérico","",IF($V32="","Sin dato",IF(AND(OR(NOT(ISNUMBER($O32)),$V32&gt;=$O32),OR(NOT(ISNUMBER($P32)),$V32&lt;=$P32)),"Dentro de rango","Fuera de rango")))</f>
        <v/>
      </c>
      <c r="X32" s="17" t="n"/>
      <c r="Y32" s="18" t="n"/>
      <c r="Z32" s="16">
        <f>IF(OR($U32="",$U32="Conforme",$U32="No aplica",$U32="Pendiente"),"",$N32&amp;IF($W32="Fuera de rango"," Valor medido: "&amp;TEXT($V32,"0.####")&amp;IF($H32="",""," "&amp;$H32)&amp;IF(AND(ISNUMBER($O32),$V32&lt;$O32),", por debajo del límite inferior de "&amp;TEXT($O32,"0.####")&amp;IF($H32="",""," "&amp;$H32),"")&amp;IF(AND(ISNUMBER($P32),$V32&gt;$P32),", por encima del límite superior de "&amp;TEXT($P32,"0.####")&amp;IF($H32="",""," "&amp;$H32),"")&amp;".","")&amp;IF($Y32="",""," "&amp;$Y32&amp;IF(RIGHT($Y32,1)=".","","."))&amp;" Acción recomendada: "&amp;$M32&amp;IF(RIGHT($M32,1)=".","",".")&amp;IF($J32="Bloqueante"," El equipo no se libera hasta resolver este hallazgo.",IF($J32="Cobrable"," Se incluye en la cotización de repuestos y consumibles."," Se deja registrado como observación.")))</f>
        <v/>
      </c>
    </row>
    <row r="33" ht="48" customHeight="1">
      <c r="A33" s="10" t="inlineStr">
        <is>
          <t>4.3.1</t>
        </is>
      </c>
      <c r="B33" s="10" t="inlineStr">
        <is>
          <t>4. Línea de muestreo y acondicionamiento</t>
        </is>
      </c>
      <c r="C33" s="10" t="inlineStr">
        <is>
          <t>4.3 Conexiones neumáticas</t>
        </is>
      </c>
      <c r="D33" s="11" t="inlineStr">
        <is>
          <t>Férula de teflón (Sleeve / SO2001-6)</t>
        </is>
      </c>
      <c r="E33" s="11" t="inlineStr">
        <is>
          <t>Presencia y estado de la férula de teflón de 6 mm en los acoples INLET y EXHAUST</t>
        </is>
      </c>
      <c r="F33" s="12" t="inlineStr">
        <is>
          <t>Aflojar las tuercas de los puertos INLET y EXHAUST, extraer las mangueras y verificar que cada tubo tenga su férula de teflón montada. Volver a montar sin sobreapretar.</t>
        </is>
      </c>
      <c r="G33" s="10" t="inlineStr">
        <is>
          <t>Presente / Ausente</t>
        </is>
      </c>
      <c r="H33" s="10" t="inlineStr"/>
      <c r="I33" s="11" t="inlineStr">
        <is>
          <t>Férulas presentes en todas las uniones de mangueras de 6 mm, para evitar fugas</t>
        </is>
      </c>
      <c r="J33" s="13" t="inlineStr">
        <is>
          <t>Bloqueante</t>
        </is>
      </c>
      <c r="K33" s="14" t="inlineStr">
        <is>
          <t>Férula ausente o mal montada: ingreso de aire falso</t>
        </is>
      </c>
      <c r="L33" s="15" t="inlineStr">
        <is>
          <t>5.2.1 ; 5.3.1 ; 3.1.1</t>
        </is>
      </c>
      <c r="M33" s="14" t="inlineStr">
        <is>
          <t>Instalar las férulas de 6 mm en INLET, EXHAUST y filtro, y repetir la prueba de hermeticidad</t>
        </is>
      </c>
      <c r="N33" s="16" t="inlineStr">
        <is>
          <t>Faltan férulas de sellado en las conexiones neumáticas, lo que permite el ingreso de aire ambiente y altera la medición.</t>
        </is>
      </c>
      <c r="O33" s="10" t="n"/>
      <c r="P33" s="10" t="n"/>
      <c r="Q33" s="10" t="inlineStr">
        <is>
          <t>Sí</t>
        </is>
      </c>
      <c r="R33" s="10" t="inlineStr">
        <is>
          <t>Sí</t>
        </is>
      </c>
      <c r="S33" s="11" t="inlineStr">
        <is>
          <t>Sleeve / SO2001-6 (3030021777)</t>
        </is>
      </c>
      <c r="T33" s="11" t="inlineStr">
        <is>
          <t>MT_1T71YRV7_APOA370_220221</t>
        </is>
      </c>
      <c r="U33" s="17" t="inlineStr">
        <is>
          <t>Pendiente</t>
        </is>
      </c>
      <c r="V33" s="17" t="n"/>
      <c r="W33" s="10">
        <f>IF($G33&lt;&gt;"Numérico","",IF($V33="","Sin dato",IF(AND(OR(NOT(ISNUMBER($O33)),$V33&gt;=$O33),OR(NOT(ISNUMBER($P33)),$V33&lt;=$P33)),"Dentro de rango","Fuera de rango")))</f>
        <v/>
      </c>
      <c r="X33" s="17" t="n"/>
      <c r="Y33" s="18" t="n"/>
      <c r="Z33" s="16">
        <f>IF(OR($U33="",$U33="Conforme",$U33="No aplica",$U33="Pendiente"),"",$N33&amp;IF($W33="Fuera de rango"," Valor medido: "&amp;TEXT($V33,"0.####")&amp;IF($H33="",""," "&amp;$H33)&amp;IF(AND(ISNUMBER($O33),$V33&lt;$O33),", por debajo del límite inferior de "&amp;TEXT($O33,"0.####")&amp;IF($H33="",""," "&amp;$H33),"")&amp;IF(AND(ISNUMBER($P33),$V33&gt;$P33),", por encima del límite superior de "&amp;TEXT($P33,"0.####")&amp;IF($H33="",""," "&amp;$H33),"")&amp;".","")&amp;IF($Y33="",""," "&amp;$Y33&amp;IF(RIGHT($Y33,1)=".","","."))&amp;" Acción recomendada: "&amp;$M33&amp;IF(RIGHT($M33,1)=".","",".")&amp;IF($J33="Bloqueante"," El equipo no se libera hasta resolver este hallazgo.",IF($J33="Cobrable"," Se incluye en la cotización de repuestos y consumibles."," Se deja registrado como observación.")))</f>
        <v/>
      </c>
    </row>
    <row r="34" ht="48" customHeight="1">
      <c r="A34" s="10" t="inlineStr">
        <is>
          <t>4.3.2</t>
        </is>
      </c>
      <c r="B34" s="10" t="inlineStr">
        <is>
          <t>4. Línea de muestreo y acondicionamiento</t>
        </is>
      </c>
      <c r="C34" s="10" t="inlineStr">
        <is>
          <t>4.3 Conexiones neumáticas</t>
        </is>
      </c>
      <c r="D34" s="11" t="inlineStr">
        <is>
          <t>Tuerca de sellado PVDF (Cap Nut)</t>
        </is>
      </c>
      <c r="E34" s="11" t="inlineStr">
        <is>
          <t>Estado físico de la tuerca plástica de acople rápido PVDF en la entrada</t>
        </is>
      </c>
      <c r="F34" s="12" t="inlineStr">
        <is>
          <t>Inspeccionar la tuerca de PVDF de la entrada de muestra buscando fisuras, roscas barridas o deformación por sobreapriete. Verificar el apriete manualmente, sin herramienta.</t>
        </is>
      </c>
      <c r="G34" s="10" t="inlineStr">
        <is>
          <t>OK / No OK</t>
        </is>
      </c>
      <c r="H34" s="10" t="inlineStr"/>
      <c r="I34" s="11" t="inlineStr">
        <is>
          <t>Tuerca sin fisuras, roscas barridas ni deformaciones que afecten el sellado</t>
        </is>
      </c>
      <c r="J34" s="13" t="inlineStr">
        <is>
          <t>Bloqueante</t>
        </is>
      </c>
      <c r="K34" s="14" t="inlineStr">
        <is>
          <t>Tuerca fisurada, con rosca barrida, o floja</t>
        </is>
      </c>
      <c r="L34" s="15" t="inlineStr">
        <is>
          <t>4.3.1 ; 5.2.1</t>
        </is>
      </c>
      <c r="M34" s="14" t="inlineStr">
        <is>
          <t>Reponer la tuerca de PVDF y reapretar sin forzar</t>
        </is>
      </c>
      <c r="N34" s="16" t="inlineStr">
        <is>
          <t>La tuerca de sellado de la entrada de muestra presenta fisuras, rosca dañada o deformación, con riesgo de fuga.</t>
        </is>
      </c>
      <c r="O34" s="10" t="n"/>
      <c r="P34" s="10" t="n"/>
      <c r="Q34" s="10" t="inlineStr">
        <is>
          <t>Sí</t>
        </is>
      </c>
      <c r="R34" s="10" t="inlineStr">
        <is>
          <t>Sí</t>
        </is>
      </c>
      <c r="S34" s="11" t="inlineStr">
        <is>
          <t>Cap Nut / S020020-6PVDF (3030021779) · Panel mount union SO21521- 6(PVDF)SP SW1=14 (3030021548)</t>
        </is>
      </c>
      <c r="T34" s="11" t="inlineStr">
        <is>
          <t>MT_4UFVB4RH_APOA370_221031</t>
        </is>
      </c>
      <c r="U34" s="17" t="inlineStr">
        <is>
          <t>Pendiente</t>
        </is>
      </c>
      <c r="V34" s="17" t="n"/>
      <c r="W34" s="10">
        <f>IF($G34&lt;&gt;"Numérico","",IF($V34="","Sin dato",IF(AND(OR(NOT(ISNUMBER($O34)),$V34&gt;=$O34),OR(NOT(ISNUMBER($P34)),$V34&lt;=$P34)),"Dentro de rango","Fuera de rango")))</f>
        <v/>
      </c>
      <c r="X34" s="17" t="n"/>
      <c r="Y34" s="18" t="n"/>
      <c r="Z34" s="16">
        <f>IF(OR($U34="",$U34="Conforme",$U34="No aplica",$U34="Pendiente"),"",$N34&amp;IF($W34="Fuera de rango"," Valor medido: "&amp;TEXT($V34,"0.####")&amp;IF($H34="",""," "&amp;$H34)&amp;IF(AND(ISNUMBER($O34),$V34&lt;$O34),", por debajo del límite inferior de "&amp;TEXT($O34,"0.####")&amp;IF($H34="",""," "&amp;$H34),"")&amp;IF(AND(ISNUMBER($P34),$V34&gt;$P34),", por encima del límite superior de "&amp;TEXT($P34,"0.####")&amp;IF($H34="",""," "&amp;$H34),"")&amp;".","")&amp;IF($Y34="",""," "&amp;$Y34&amp;IF(RIGHT($Y34,1)=".","","."))&amp;" Acción recomendada: "&amp;$M34&amp;IF(RIGHT($M34,1)=".","",".")&amp;IF($J34="Bloqueante"," El equipo no se libera hasta resolver este hallazgo.",IF($J34="Cobrable"," Se incluye en la cotización de repuestos y consumibles."," Se deja registrado como observación.")))</f>
        <v/>
      </c>
    </row>
    <row r="35" ht="48" customHeight="1">
      <c r="A35" s="10" t="inlineStr">
        <is>
          <t>4.3.3</t>
        </is>
      </c>
      <c r="B35" s="10" t="inlineStr">
        <is>
          <t>4. Línea de muestreo y acondicionamiento</t>
        </is>
      </c>
      <c r="C35" s="10" t="inlineStr">
        <is>
          <t>4.3 Conexiones neumáticas</t>
        </is>
      </c>
      <c r="D35" s="11" t="inlineStr">
        <is>
          <t>Racor de entrada frontal de muestra</t>
        </is>
      </c>
      <c r="E35" s="11" t="inlineStr">
        <is>
          <t>Estado del acople pasamuros frontal de entrada de muestra</t>
        </is>
      </c>
      <c r="F35" s="12" t="inlineStr">
        <is>
          <t>Inspeccionar el racor pasamuros frontal de entrada de muestra con linterna, buscando grietas, mellas o rastros de fuga. Aplicar agua jabonosa si se sospecha fuga.</t>
        </is>
      </c>
      <c r="G35" s="10" t="inlineStr">
        <is>
          <t>OK / No OK</t>
        </is>
      </c>
      <c r="H35" s="10" t="inlineStr"/>
      <c r="I35" s="11" t="inlineStr">
        <is>
          <t>Racor completo, sin grietas, mellas ni fugas</t>
        </is>
      </c>
      <c r="J35" s="13" t="inlineStr">
        <is>
          <t>Bloqueante</t>
        </is>
      </c>
      <c r="K35" s="14" t="inlineStr">
        <is>
          <t>Racor pasamuros fisurado o con fuga</t>
        </is>
      </c>
      <c r="L35" s="15" t="inlineStr">
        <is>
          <t>4.3.1 ; 5.2.1</t>
        </is>
      </c>
      <c r="M35" s="14" t="inlineStr">
        <is>
          <t>Aplicar agua jabonosa para confirmar la fuga y reemplazar el racor</t>
        </is>
      </c>
      <c r="N35" s="16" t="inlineStr">
        <is>
          <t>El racor de entrada de muestra presenta fisuras o evidencia de fuga.</t>
        </is>
      </c>
      <c r="O35" s="10" t="n"/>
      <c r="P35" s="10" t="n"/>
      <c r="Q35" s="10" t="inlineStr">
        <is>
          <t>Sí</t>
        </is>
      </c>
      <c r="R35" s="10" t="inlineStr">
        <is>
          <t>Sí</t>
        </is>
      </c>
      <c r="S35" s="11" t="inlineStr">
        <is>
          <t>Panel mount union SO21521- 6(PVDF)SP SW1=14 (3030021548)</t>
        </is>
      </c>
      <c r="T35" s="11" t="inlineStr">
        <is>
          <t>MT_WKKT596N_APOA370_220225</t>
        </is>
      </c>
      <c r="U35" s="17" t="inlineStr">
        <is>
          <t>Pendiente</t>
        </is>
      </c>
      <c r="V35" s="17" t="n"/>
      <c r="W35" s="10">
        <f>IF($G35&lt;&gt;"Numérico","",IF($V35="","Sin dato",IF(AND(OR(NOT(ISNUMBER($O35)),$V35&gt;=$O35),OR(NOT(ISNUMBER($P35)),$V35&lt;=$P35)),"Dentro de rango","Fuera de rango")))</f>
        <v/>
      </c>
      <c r="X35" s="17" t="n"/>
      <c r="Y35" s="18" t="n"/>
      <c r="Z35" s="16">
        <f>IF(OR($U35="",$U35="Conforme",$U35="No aplica",$U35="Pendiente"),"",$N35&amp;IF($W35="Fuera de rango"," Valor medido: "&amp;TEXT($V35,"0.####")&amp;IF($H35="",""," "&amp;$H35)&amp;IF(AND(ISNUMBER($O35),$V35&lt;$O35),", por debajo del límite inferior de "&amp;TEXT($O35,"0.####")&amp;IF($H35="",""," "&amp;$H35),"")&amp;IF(AND(ISNUMBER($P35),$V35&gt;$P35),", por encima del límite superior de "&amp;TEXT($P35,"0.####")&amp;IF($H35="",""," "&amp;$H35),"")&amp;".","")&amp;IF($Y35="",""," "&amp;$Y35&amp;IF(RIGHT($Y35,1)=".","","."))&amp;" Acción recomendada: "&amp;$M35&amp;IF(RIGHT($M35,1)=".","",".")&amp;IF($J35="Bloqueante"," El equipo no se libera hasta resolver este hallazgo.",IF($J35="Cobrable"," Se incluye en la cotización de repuestos y consumibles."," Se deja registrado como observación.")))</f>
        <v/>
      </c>
    </row>
    <row r="36" ht="48" customHeight="1">
      <c r="A36" s="10" t="inlineStr">
        <is>
          <t>4.4.1</t>
        </is>
      </c>
      <c r="B36" s="10" t="inlineStr">
        <is>
          <t>4. Línea de muestreo y acondicionamiento</t>
        </is>
      </c>
      <c r="C36" s="10" t="inlineStr">
        <is>
          <t>4.4 Sonda y líneas externas</t>
        </is>
      </c>
      <c r="D36" s="11" t="inlineStr">
        <is>
          <t>Línea de teflón (PTFE) de entrada</t>
        </is>
      </c>
      <c r="E36" s="11" t="inlineStr">
        <is>
          <t>Tubo de teflón externo de muestreo, buscando dobleces o aplastamientos</t>
        </is>
      </c>
      <c r="F36" s="12" t="inlineStr">
        <is>
          <t>Recorrer la línea de muestreo desde la sonda hasta el equipo buscando dobleces agudos, aplastamientos, empalmes improvisados o tramos vencidos. Verificar el apriete de cada racor.</t>
        </is>
      </c>
      <c r="G36" s="10" t="inlineStr">
        <is>
          <t>OK / No OK</t>
        </is>
      </c>
      <c r="H36" s="10" t="inlineStr"/>
      <c r="I36" s="11" t="inlineStr">
        <is>
          <t>Tubo continuo de 6 mm OD / 4 mm ID libre de obstrucciones, torceduras o estrangulaciones</t>
        </is>
      </c>
      <c r="J36" s="13" t="inlineStr">
        <is>
          <t>Cobrable</t>
        </is>
      </c>
      <c r="K36" s="14" t="inlineStr">
        <is>
          <t>Manguera doblada, aplastada, o con empalmes improvisados</t>
        </is>
      </c>
      <c r="L36" s="15" t="inlineStr">
        <is>
          <t>5.3.1 ; 4.2.1</t>
        </is>
      </c>
      <c r="M36" s="14" t="inlineStr">
        <is>
          <t>Reemplazar el tramo afectado y rehacer la conexión</t>
        </is>
      </c>
      <c r="N36" s="16" t="inlineStr">
        <is>
          <t>La línea de muestreo presenta dobleces, aplastamientos u obstrucciones que restringen el paso del gas de muestra.</t>
        </is>
      </c>
      <c r="O36" s="10" t="n"/>
      <c r="P36" s="10" t="n"/>
      <c r="Q36" s="10" t="inlineStr">
        <is>
          <t>Sí</t>
        </is>
      </c>
      <c r="R36" s="10" t="inlineStr">
        <is>
          <t>Sí</t>
        </is>
      </c>
      <c r="S36" s="11" t="inlineStr"/>
      <c r="T36" s="11" t="inlineStr">
        <is>
          <t>P-ST-001-MAN OPER APOA 370 V2</t>
        </is>
      </c>
      <c r="U36" s="17" t="inlineStr">
        <is>
          <t>Pendiente</t>
        </is>
      </c>
      <c r="V36" s="17" t="n"/>
      <c r="W36" s="10">
        <f>IF($G36&lt;&gt;"Numérico","",IF($V36="","Sin dato",IF(AND(OR(NOT(ISNUMBER($O36)),$V36&gt;=$O36),OR(NOT(ISNUMBER($P36)),$V36&lt;=$P36)),"Dentro de rango","Fuera de rango")))</f>
        <v/>
      </c>
      <c r="X36" s="17" t="n"/>
      <c r="Y36" s="18" t="n"/>
      <c r="Z36" s="16">
        <f>IF(OR($U36="",$U36="Conforme",$U36="No aplica",$U36="Pendiente"),"",$N36&amp;IF($W36="Fuera de rango"," Valor medido: "&amp;TEXT($V36,"0.####")&amp;IF($H36="",""," "&amp;$H36)&amp;IF(AND(ISNUMBER($O36),$V36&lt;$O36),", por debajo del límite inferior de "&amp;TEXT($O36,"0.####")&amp;IF($H36="",""," "&amp;$H36),"")&amp;IF(AND(ISNUMBER($P36),$V36&gt;$P36),", por encima del límite superior de "&amp;TEXT($P36,"0.####")&amp;IF($H36="",""," "&amp;$H36),"")&amp;".","")&amp;IF($Y36="",""," "&amp;$Y36&amp;IF(RIGHT($Y36,1)=".","","."))&amp;" Acción recomendada: "&amp;$M36&amp;IF(RIGHT($M36,1)=".","",".")&amp;IF($J36="Bloqueante"," El equipo no se libera hasta resolver este hallazgo.",IF($J36="Cobrable"," Se incluye en la cotización de repuestos y consumibles."," Se deja registrado como observación.")))</f>
        <v/>
      </c>
    </row>
    <row r="37" ht="48" customHeight="1">
      <c r="A37" s="10" t="inlineStr">
        <is>
          <t>5.1.1</t>
        </is>
      </c>
      <c r="B37" s="10" t="inlineStr">
        <is>
          <t>5. Sistema neumático</t>
        </is>
      </c>
      <c r="C37" s="10" t="inlineStr">
        <is>
          <t>5.1 Bomba de muestreo</t>
        </is>
      </c>
      <c r="D37" s="11" t="inlineStr">
        <is>
          <t>Diafragma de la bomba (P-1-D)</t>
        </is>
      </c>
      <c r="E37" s="11" t="inlineStr">
        <is>
          <t>Estado del diafragma de la bomba de muestra desmontando el cabezal</t>
        </is>
      </c>
      <c r="F37" s="12" t="inlineStr">
        <is>
          <t>Apagar el equipo, desmontar el cabezal de la bomba y extraer el diafragma. Examinarlo contra la luz buscando fisuras, perforaciones o endurecimiento del EPDM.</t>
        </is>
      </c>
      <c r="G37" s="10" t="inlineStr">
        <is>
          <t>OK / No OK</t>
        </is>
      </c>
      <c r="H37" s="10" t="inlineStr"/>
      <c r="I37" s="11" t="inlineStr">
        <is>
          <t>El diafragma de EPDM debe estar libre de fisuras, roturas o perforaciones</t>
        </is>
      </c>
      <c r="J37" s="13" t="inlineStr">
        <is>
          <t>Cobrable</t>
        </is>
      </c>
      <c r="K37" s="14" t="inlineStr">
        <is>
          <t>Fatiga del EPDM por horas de servicio, o arrastre de condensado</t>
        </is>
      </c>
      <c r="L37" s="15" t="inlineStr">
        <is>
          <t>8.2.1 ; 4.2.1 ; 5.1.2</t>
        </is>
      </c>
      <c r="M37" s="14" t="inlineStr">
        <is>
          <t>Reemplazar el juego de diafragmas, reiniciar el horómetro y corregir el origen del condensado</t>
        </is>
      </c>
      <c r="N37" s="16" t="inlineStr">
        <is>
          <t>El diafragma de la bomba de muestreo presenta fisuras, perforaciones o pérdida de elasticidad.</t>
        </is>
      </c>
      <c r="O37" s="10" t="n"/>
      <c r="P37" s="10" t="n"/>
      <c r="Q37" s="10" t="inlineStr">
        <is>
          <t>Sí</t>
        </is>
      </c>
      <c r="R37" s="10" t="inlineStr">
        <is>
          <t>Sí</t>
        </is>
      </c>
      <c r="S37" s="11" t="inlineStr">
        <is>
          <t>Diaphragm Assy GS, GD series EPDM - APMA / APOA / APHA (3200044033) · Pump GS-6EH-100 (100～120V) APOA (3014059159)</t>
        </is>
      </c>
      <c r="T37" s="11" t="inlineStr">
        <is>
          <t>P-ST-002-MAN MTTO APOA370 V2</t>
        </is>
      </c>
      <c r="U37" s="17" t="inlineStr">
        <is>
          <t>Pendiente</t>
        </is>
      </c>
      <c r="V37" s="17" t="n"/>
      <c r="W37" s="10">
        <f>IF($G37&lt;&gt;"Numérico","",IF($V37="","Sin dato",IF(AND(OR(NOT(ISNUMBER($O37)),$V37&gt;=$O37),OR(NOT(ISNUMBER($P37)),$V37&lt;=$P37)),"Dentro de rango","Fuera de rango")))</f>
        <v/>
      </c>
      <c r="X37" s="17" t="n"/>
      <c r="Y37" s="18" t="n"/>
      <c r="Z37" s="16">
        <f>IF(OR($U37="",$U37="Conforme",$U37="No aplica",$U37="Pendiente"),"",$N37&amp;IF($W37="Fuera de rango"," Valor medido: "&amp;TEXT($V37,"0.####")&amp;IF($H37="",""," "&amp;$H37)&amp;IF(AND(ISNUMBER($O37),$V37&lt;$O37),", por debajo del límite inferior de "&amp;TEXT($O37,"0.####")&amp;IF($H37="",""," "&amp;$H37),"")&amp;IF(AND(ISNUMBER($P37),$V37&gt;$P37),", por encima del límite superior de "&amp;TEXT($P37,"0.####")&amp;IF($H37="",""," "&amp;$H37),"")&amp;".","")&amp;IF($Y37="",""," "&amp;$Y37&amp;IF(RIGHT($Y37,1)=".","","."))&amp;" Acción recomendada: "&amp;$M37&amp;IF(RIGHT($M37,1)=".","",".")&amp;IF($J37="Bloqueante"," El equipo no se libera hasta resolver este hallazgo.",IF($J37="Cobrable"," Se incluye en la cotización de repuestos y consumibles."," Se deja registrado como observación.")))</f>
        <v/>
      </c>
    </row>
    <row r="38" ht="48" customHeight="1">
      <c r="A38" s="10" t="inlineStr">
        <is>
          <t>5.1.2</t>
        </is>
      </c>
      <c r="B38" s="10" t="inlineStr">
        <is>
          <t>5. Sistema neumático</t>
        </is>
      </c>
      <c r="C38" s="10" t="inlineStr">
        <is>
          <t>5.1 Bomba de muestreo</t>
        </is>
      </c>
      <c r="D38" s="11" t="inlineStr">
        <is>
          <t>Válvulas de flapper de la bomba</t>
        </is>
      </c>
      <c r="E38" s="11" t="inlineStr">
        <is>
          <t>Estado del par de válvulas planas de caucho dentro del cabezal de la bomba</t>
        </is>
      </c>
      <c r="F38" s="12" t="inlineStr">
        <is>
          <t>Con el cabezal desmontado, retirar las válvulas planas de caucho, limpiarlas y verificar que asienten sin deformación ni rigidez excesiva.</t>
        </is>
      </c>
      <c r="G38" s="10" t="inlineStr">
        <is>
          <t>OK / No OK</t>
        </is>
      </c>
      <c r="H38" s="10" t="inlineStr"/>
      <c r="I38" s="11" t="inlineStr">
        <is>
          <t>Válvulas limpias, planas, sin deformación ni rigidez excesiva</t>
        </is>
      </c>
      <c r="J38" s="13" t="inlineStr">
        <is>
          <t>Cobrable</t>
        </is>
      </c>
      <c r="K38" s="14" t="inlineStr">
        <is>
          <t>Flapper deformado, endurecido, o con partículas atrapadas</t>
        </is>
      </c>
      <c r="L38" s="15" t="inlineStr">
        <is>
          <t>5.1.1 ; 4.1.1</t>
        </is>
      </c>
      <c r="M38" s="14" t="inlineStr">
        <is>
          <t>Limpiar o reemplazar las válvulas junto con el juego de diafragmas</t>
        </is>
      </c>
      <c r="N38" s="16" t="inlineStr">
        <is>
          <t>Las válvulas del cabezal de la bomba presentan deformación o endurecimiento que afecta su sellado.</t>
        </is>
      </c>
      <c r="O38" s="10" t="n"/>
      <c r="P38" s="10" t="n"/>
      <c r="Q38" s="10" t="inlineStr">
        <is>
          <t>Sí</t>
        </is>
      </c>
      <c r="R38" s="10" t="inlineStr">
        <is>
          <t>Sí</t>
        </is>
      </c>
      <c r="S38" s="11" t="inlineStr">
        <is>
          <t>Diaphragm Assy GS, GD series EPDM - APMA / APOA / APHA (3200044033)</t>
        </is>
      </c>
      <c r="T38" s="11" t="inlineStr">
        <is>
          <t>P-ST-002-MAN MTTO APOA370 V2</t>
        </is>
      </c>
      <c r="U38" s="17" t="inlineStr">
        <is>
          <t>Pendiente</t>
        </is>
      </c>
      <c r="V38" s="17" t="n"/>
      <c r="W38" s="10">
        <f>IF($G38&lt;&gt;"Numérico","",IF($V38="","Sin dato",IF(AND(OR(NOT(ISNUMBER($O38)),$V38&gt;=$O38),OR(NOT(ISNUMBER($P38)),$V38&lt;=$P38)),"Dentro de rango","Fuera de rango")))</f>
        <v/>
      </c>
      <c r="X38" s="17" t="n"/>
      <c r="Y38" s="18" t="n"/>
      <c r="Z38" s="16">
        <f>IF(OR($U38="",$U38="Conforme",$U38="No aplica",$U38="Pendiente"),"",$N38&amp;IF($W38="Fuera de rango"," Valor medido: "&amp;TEXT($V38,"0.####")&amp;IF($H38="",""," "&amp;$H38)&amp;IF(AND(ISNUMBER($O38),$V38&lt;$O38),", por debajo del límite inferior de "&amp;TEXT($O38,"0.####")&amp;IF($H38="",""," "&amp;$H38),"")&amp;IF(AND(ISNUMBER($P38),$V38&gt;$P38),", por encima del límite superior de "&amp;TEXT($P38,"0.####")&amp;IF($H38="",""," "&amp;$H38),"")&amp;".","")&amp;IF($Y38="",""," "&amp;$Y38&amp;IF(RIGHT($Y38,1)=".","","."))&amp;" Acción recomendada: "&amp;$M38&amp;IF(RIGHT($M38,1)=".","",".")&amp;IF($J38="Bloqueante"," El equipo no se libera hasta resolver este hallazgo.",IF($J38="Cobrable"," Se incluye en la cotización de repuestos y consumibles."," Se deja registrado como observación.")))</f>
        <v/>
      </c>
    </row>
    <row r="39" ht="48" customHeight="1">
      <c r="A39" s="10" t="inlineStr">
        <is>
          <t>5.1.3</t>
        </is>
      </c>
      <c r="B39" s="10" t="inlineStr">
        <is>
          <t>5. Sistema neumático</t>
        </is>
      </c>
      <c r="C39" s="10" t="inlineStr">
        <is>
          <t>5.1 Bomba de muestreo</t>
        </is>
      </c>
      <c r="D39" s="11" t="inlineStr">
        <is>
          <t>Montaje y base amortiguadora de la bomba</t>
        </is>
      </c>
      <c r="E39" s="11" t="inlineStr">
        <is>
          <t>Que la bomba esté fija en sus soportes antivibratorios y no despegada de su base</t>
        </is>
      </c>
      <c r="F39" s="12" t="inlineStr">
        <is>
          <t>Con la cubierta retirada, mover suavemente la bomba con la mano y verificar que su base esté firmemente adherida al chasis y que los soportes antivibratorios conserven elasticidad.</t>
        </is>
      </c>
      <c r="G39" s="10" t="inlineStr">
        <is>
          <t>OK / No OK</t>
        </is>
      </c>
      <c r="H39" s="10" t="inlineStr"/>
      <c r="I39" s="11" t="inlineStr">
        <is>
          <t>Soportes en buen estado y bomba fija al chasis, sin desacople por calor</t>
        </is>
      </c>
      <c r="J39" s="13" t="inlineStr">
        <is>
          <t>Cobrable</t>
        </is>
      </c>
      <c r="K39" s="14" t="inlineStr">
        <is>
          <t>Base despegada del chasis por el calor de la bomba</t>
        </is>
      </c>
      <c r="L39" s="15" t="inlineStr">
        <is>
          <t>6.1.3 ; 8.2.4</t>
        </is>
      </c>
      <c r="M39" s="14" t="inlineStr">
        <is>
          <t>Volver a fijar la bomba al chasis: la vibración transmitida ensucia la señal</t>
        </is>
      </c>
      <c r="N39" s="16" t="inlineStr">
        <is>
          <t>La bomba de muestreo se encuentra desacoplada de su base, lo que transmite vibración al banco de medición.</t>
        </is>
      </c>
      <c r="O39" s="10" t="n"/>
      <c r="P39" s="10" t="n"/>
      <c r="Q39" s="10" t="inlineStr">
        <is>
          <t>Sí</t>
        </is>
      </c>
      <c r="R39" s="10" t="inlineStr">
        <is>
          <t>Sí</t>
        </is>
      </c>
      <c r="S39" s="11" t="inlineStr">
        <is>
          <t>Pump GS-6EH-100 (100～120V) APOA (3014059159)</t>
        </is>
      </c>
      <c r="T39" s="11" t="inlineStr">
        <is>
          <t>MT_3X0ND064_APOA370_241204</t>
        </is>
      </c>
      <c r="U39" s="17" t="inlineStr">
        <is>
          <t>Pendiente</t>
        </is>
      </c>
      <c r="V39" s="17" t="n"/>
      <c r="W39" s="10">
        <f>IF($G39&lt;&gt;"Numérico","",IF($V39="","Sin dato",IF(AND(OR(NOT(ISNUMBER($O39)),$V39&gt;=$O39),OR(NOT(ISNUMBER($P39)),$V39&lt;=$P39)),"Dentro de rango","Fuera de rango")))</f>
        <v/>
      </c>
      <c r="X39" s="17" t="n"/>
      <c r="Y39" s="18" t="n"/>
      <c r="Z39" s="16">
        <f>IF(OR($U39="",$U39="Conforme",$U39="No aplica",$U39="Pendiente"),"",$N39&amp;IF($W39="Fuera de rango"," Valor medido: "&amp;TEXT($V39,"0.####")&amp;IF($H39="",""," "&amp;$H39)&amp;IF(AND(ISNUMBER($O39),$V39&lt;$O39),", por debajo del límite inferior de "&amp;TEXT($O39,"0.####")&amp;IF($H39="",""," "&amp;$H39),"")&amp;IF(AND(ISNUMBER($P39),$V39&gt;$P39),", por encima del límite superior de "&amp;TEXT($P39,"0.####")&amp;IF($H39="",""," "&amp;$H39),"")&amp;".","")&amp;IF($Y39="",""," "&amp;$Y39&amp;IF(RIGHT($Y39,1)=".","","."))&amp;" Acción recomendada: "&amp;$M39&amp;IF(RIGHT($M39,1)=".","",".")&amp;IF($J39="Bloqueante"," El equipo no se libera hasta resolver este hallazgo.",IF($J39="Cobrable"," Se incluye en la cotización de repuestos y consumibles."," Se deja registrado como observación.")))</f>
        <v/>
      </c>
    </row>
    <row r="40" ht="48" customHeight="1">
      <c r="A40" s="10" t="inlineStr">
        <is>
          <t>5.2.1</t>
        </is>
      </c>
      <c r="B40" s="10" t="inlineStr">
        <is>
          <t>5. Sistema neumático</t>
        </is>
      </c>
      <c r="C40" s="10" t="inlineStr">
        <is>
          <t>5.2 Presión y vacío</t>
        </is>
      </c>
      <c r="D40" s="11" t="inlineStr">
        <is>
          <t>Presión absoluta de la bomba (PUMP)</t>
        </is>
      </c>
      <c r="E40" s="11" t="inlineStr">
        <is>
          <t>Presión de succión de la bomba en la pantalla ANALOG INPUT</t>
        </is>
      </c>
      <c r="F40" s="12" t="inlineStr">
        <is>
          <t>Leer el valor PUMP en MENU / MAINTENANCE / ANALOG INPUT con el equipo en operación normal y la línea de muestra conectada. Anotar el valor estabilizado.</t>
        </is>
      </c>
      <c r="G40" s="10" t="inlineStr">
        <is>
          <t>Numérico</t>
        </is>
      </c>
      <c r="H40" s="10" t="inlineStr">
        <is>
          <t>kPa</t>
        </is>
      </c>
      <c r="I40" s="11" t="inlineStr">
        <is>
          <t>Debe ser menor o igual a 65 kPa; la alarma PRE1 se activa a 65 kPa o más</t>
        </is>
      </c>
      <c r="J40" s="13" t="inlineStr">
        <is>
          <t>Bloqueante</t>
        </is>
      </c>
      <c r="K40" s="14" t="inlineStr">
        <is>
          <t>Vacío alto: obstrucción aguas arriba. Vacío bajo: fuga o diafragma roto</t>
        </is>
      </c>
      <c r="L40" s="15" t="inlineStr">
        <is>
          <t>4.1.1 ; 4.4.1 ; 5.1.1 ; 5.3.3</t>
        </is>
      </c>
      <c r="M40" s="14" t="inlineStr">
        <is>
          <t>Desconectar la línea en INLET: si la presión cae, la obstrucción está aguas arriba</t>
        </is>
      </c>
      <c r="N40" s="16" t="inlineStr">
        <is>
          <t>La presión de succión de la bomba está fuera del rango de operación, lo que indica una obstrucción o una fuga en el circuito neumático.</t>
        </is>
      </c>
      <c r="O40" s="10" t="n"/>
      <c r="P40" s="10" t="n">
        <v>65</v>
      </c>
      <c r="Q40" s="10" t="inlineStr">
        <is>
          <t>Sí</t>
        </is>
      </c>
      <c r="R40" s="10" t="inlineStr">
        <is>
          <t>No</t>
        </is>
      </c>
      <c r="S40" s="11" t="inlineStr"/>
      <c r="T40" s="11" t="inlineStr">
        <is>
          <t>P-ST-001-MAN OPER APOA 370 V2</t>
        </is>
      </c>
      <c r="U40" s="17" t="inlineStr">
        <is>
          <t>Pendiente</t>
        </is>
      </c>
      <c r="V40" s="17" t="n"/>
      <c r="W40" s="10">
        <f>IF($G40&lt;&gt;"Numérico","",IF($V40="","Sin dato",IF(AND(OR(NOT(ISNUMBER($O40)),$V40&gt;=$O40),OR(NOT(ISNUMBER($P40)),$V40&lt;=$P40)),"Dentro de rango","Fuera de rango")))</f>
        <v/>
      </c>
      <c r="X40" s="17" t="n"/>
      <c r="Y40" s="18" t="n"/>
      <c r="Z40" s="16">
        <f>IF(OR($U40="",$U40="Conforme",$U40="No aplica",$U40="Pendiente"),"",$N40&amp;IF($W40="Fuera de rango"," Valor medido: "&amp;TEXT($V40,"0.####")&amp;IF($H40="",""," "&amp;$H40)&amp;IF(AND(ISNUMBER($O40),$V40&lt;$O40),", por debajo del límite inferior de "&amp;TEXT($O40,"0.####")&amp;IF($H40="",""," "&amp;$H40),"")&amp;IF(AND(ISNUMBER($P40),$V40&gt;$P40),", por encima del límite superior de "&amp;TEXT($P40,"0.####")&amp;IF($H40="",""," "&amp;$H40),"")&amp;".","")&amp;IF($Y40="",""," "&amp;$Y40&amp;IF(RIGHT($Y40,1)=".","","."))&amp;" Acción recomendada: "&amp;$M40&amp;IF(RIGHT($M40,1)=".","",".")&amp;IF($J40="Bloqueante"," El equipo no se libera hasta resolver este hallazgo.",IF($J40="Cobrable"," Se incluye en la cotización de repuestos y consumibles."," Se deja registrado como observación.")))</f>
        <v/>
      </c>
    </row>
    <row r="41" ht="48" customHeight="1">
      <c r="A41" s="10" t="inlineStr">
        <is>
          <t>5.3.1</t>
        </is>
      </c>
      <c r="B41" s="10" t="inlineStr">
        <is>
          <t>5. Sistema neumático</t>
        </is>
      </c>
      <c r="C41" s="10" t="inlineStr">
        <is>
          <t>5.3 Caudal de muestra</t>
        </is>
      </c>
      <c r="D41" s="11" t="inlineStr">
        <is>
          <t>Caudal de muestra en display (SAMPLE)</t>
        </is>
      </c>
      <c r="E41" s="11" t="inlineStr">
        <is>
          <t>Valor del sensor de caudal de muestra (opcional) en la pantalla ANALOG INPUT</t>
        </is>
      </c>
      <c r="F41" s="12" t="inlineStr">
        <is>
          <t>Leer el valor SAMPLE en la pantalla ANALOG INPUT, si el equipo tiene el sensor de caudal opcional instalado. Anotar el valor estabilizado.</t>
        </is>
      </c>
      <c r="G41" s="10" t="inlineStr">
        <is>
          <t>Numérico</t>
        </is>
      </c>
      <c r="H41" s="10" t="inlineStr">
        <is>
          <t>L/min</t>
        </is>
      </c>
      <c r="I41" s="11" t="inlineStr">
        <is>
          <t>Valor estándar 0,5 a 0,9 L/min; la alarma FLO1 se activa fuera de 0,4 a 1,0 L/min</t>
        </is>
      </c>
      <c r="J41" s="13" t="inlineStr">
        <is>
          <t>Bloqueante</t>
        </is>
      </c>
      <c r="K41" s="14" t="inlineStr">
        <is>
          <t>Filtro colmatado, fuga, diafragma desgastado, u orificio crítico obstruido</t>
        </is>
      </c>
      <c r="L41" s="15" t="inlineStr">
        <is>
          <t>4.1.1 ; 5.2.1 ; 5.3.2 ; 5.3.3</t>
        </is>
      </c>
      <c r="M41" s="14" t="inlineStr">
        <is>
          <t>Contrastar contra el caudal real medido con flujómetro antes de sospechar del sensor</t>
        </is>
      </c>
      <c r="N41" s="16" t="inlineStr">
        <is>
          <t>El caudal de muestra se encuentra fuera del rango de operación especificado por el fabricante.</t>
        </is>
      </c>
      <c r="O41" s="10" t="n">
        <v>0.5</v>
      </c>
      <c r="P41" s="10" t="n">
        <v>0.9</v>
      </c>
      <c r="Q41" s="10" t="inlineStr">
        <is>
          <t>Sí</t>
        </is>
      </c>
      <c r="R41" s="10" t="inlineStr">
        <is>
          <t>No</t>
        </is>
      </c>
      <c r="S41" s="11" t="inlineStr"/>
      <c r="T41" s="11" t="inlineStr">
        <is>
          <t>P-ST-001-MAN OPER APOA 370 V2</t>
        </is>
      </c>
      <c r="U41" s="17" t="inlineStr">
        <is>
          <t>Pendiente</t>
        </is>
      </c>
      <c r="V41" s="17" t="n"/>
      <c r="W41" s="10">
        <f>IF($G41&lt;&gt;"Numérico","",IF($V41="","Sin dato",IF(AND(OR(NOT(ISNUMBER($O41)),$V41&gt;=$O41),OR(NOT(ISNUMBER($P41)),$V41&lt;=$P41)),"Dentro de rango","Fuera de rango")))</f>
        <v/>
      </c>
      <c r="X41" s="17" t="n"/>
      <c r="Y41" s="18" t="n"/>
      <c r="Z41" s="16">
        <f>IF(OR($U41="",$U41="Conforme",$U41="No aplica",$U41="Pendiente"),"",$N41&amp;IF($W41="Fuera de rango"," Valor medido: "&amp;TEXT($V41,"0.####")&amp;IF($H41="",""," "&amp;$H41)&amp;IF(AND(ISNUMBER($O41),$V41&lt;$O41),", por debajo del límite inferior de "&amp;TEXT($O41,"0.####")&amp;IF($H41="",""," "&amp;$H41),"")&amp;IF(AND(ISNUMBER($P41),$V41&gt;$P41),", por encima del límite superior de "&amp;TEXT($P41,"0.####")&amp;IF($H41="",""," "&amp;$H41),"")&amp;".","")&amp;IF($Y41="",""," "&amp;$Y41&amp;IF(RIGHT($Y41,1)=".","","."))&amp;" Acción recomendada: "&amp;$M41&amp;IF(RIGHT($M41,1)=".","",".")&amp;IF($J41="Bloqueante"," El equipo no se libera hasta resolver este hallazgo.",IF($J41="Cobrable"," Se incluye en la cotización de repuestos y consumibles."," Se deja registrado como observación.")))</f>
        <v/>
      </c>
    </row>
    <row r="42" ht="48" customHeight="1">
      <c r="A42" s="10" t="inlineStr">
        <is>
          <t>5.3.2</t>
        </is>
      </c>
      <c r="B42" s="10" t="inlineStr">
        <is>
          <t>5. Sistema neumático</t>
        </is>
      </c>
      <c r="C42" s="10" t="inlineStr">
        <is>
          <t>5.3 Caudal de muestra</t>
        </is>
      </c>
      <c r="D42" s="11" t="inlineStr">
        <is>
          <t>Caudal de toma medido externamente</t>
        </is>
      </c>
      <c r="E42" s="11" t="inlineStr">
        <is>
          <t>Caudal real de entrada de muestra con flujómetro patrón calibrado en el puerto INLET</t>
        </is>
      </c>
      <c r="F42" s="12" t="inlineStr">
        <is>
          <t>Desconectar la línea de muestra del puerto INLET, conectar un flujómetro de burbuja y medir el caudal real de aspiración con la bomba en marcha. Restituir la línea al terminar.</t>
        </is>
      </c>
      <c r="G42" s="10" t="inlineStr">
        <is>
          <t>Numérico</t>
        </is>
      </c>
      <c r="H42" s="10" t="inlineStr">
        <is>
          <t>L/min</t>
        </is>
      </c>
      <c r="I42" s="11" t="inlineStr">
        <is>
          <t>Caudal nominal 0,7 L/min ± 0,05 L/min; fuera de rango se reemplaza el orificio de control de flujo</t>
        </is>
      </c>
      <c r="J42" s="13" t="inlineStr">
        <is>
          <t>Bloqueante</t>
        </is>
      </c>
      <c r="K42" s="14" t="inlineStr">
        <is>
          <t>Caudal real fuera de 0,7 ± 0,05 L/min: restricción o fuga en el circuito</t>
        </is>
      </c>
      <c r="L42" s="15" t="inlineStr">
        <is>
          <t>5.3.3 ; 5.1.1 ; 4.3.1</t>
        </is>
      </c>
      <c r="M42" s="14" t="inlineStr">
        <is>
          <t>Si el caudal real está bien y el display no, el problema es el sensor de caudal</t>
        </is>
      </c>
      <c r="N42" s="16" t="inlineStr">
        <is>
          <t>El caudal real de aspiración, medido con instrumento patrón, está fuera del valor nominal especificado.</t>
        </is>
      </c>
      <c r="O42" s="10" t="n">
        <v>0.65</v>
      </c>
      <c r="P42" s="10" t="n">
        <v>0.75</v>
      </c>
      <c r="Q42" s="10" t="inlineStr">
        <is>
          <t>Sí</t>
        </is>
      </c>
      <c r="R42" s="10" t="inlineStr">
        <is>
          <t>No</t>
        </is>
      </c>
      <c r="S42" s="11" t="inlineStr"/>
      <c r="T42" s="11" t="inlineStr">
        <is>
          <t>GZ0000117746B SM E APXX-370 (Service Manual)</t>
        </is>
      </c>
      <c r="U42" s="17" t="inlineStr">
        <is>
          <t>Pendiente</t>
        </is>
      </c>
      <c r="V42" s="17" t="n"/>
      <c r="W42" s="10">
        <f>IF($G42&lt;&gt;"Numérico","",IF($V42="","Sin dato",IF(AND(OR(NOT(ISNUMBER($O42)),$V42&gt;=$O42),OR(NOT(ISNUMBER($P42)),$V42&lt;=$P42)),"Dentro de rango","Fuera de rango")))</f>
        <v/>
      </c>
      <c r="X42" s="17" t="n"/>
      <c r="Y42" s="18" t="n"/>
      <c r="Z42" s="16">
        <f>IF(OR($U42="",$U42="Conforme",$U42="No aplica",$U42="Pendiente"),"",$N42&amp;IF($W42="Fuera de rango"," Valor medido: "&amp;TEXT($V42,"0.####")&amp;IF($H42="",""," "&amp;$H42)&amp;IF(AND(ISNUMBER($O42),$V42&lt;$O42),", por debajo del límite inferior de "&amp;TEXT($O42,"0.####")&amp;IF($H42="",""," "&amp;$H42),"")&amp;IF(AND(ISNUMBER($P42),$V42&gt;$P42),", por encima del límite superior de "&amp;TEXT($P42,"0.####")&amp;IF($H42="",""," "&amp;$H42),"")&amp;".","")&amp;IF($Y42="",""," "&amp;$Y42&amp;IF(RIGHT($Y42,1)=".","","."))&amp;" Acción recomendada: "&amp;$M42&amp;IF(RIGHT($M42,1)=".","",".")&amp;IF($J42="Bloqueante"," El equipo no se libera hasta resolver este hallazgo.",IF($J42="Cobrable"," Se incluye en la cotización de repuestos y consumibles."," Se deja registrado como observación.")))</f>
        <v/>
      </c>
    </row>
    <row r="43" ht="48" customHeight="1">
      <c r="A43" s="10" t="inlineStr">
        <is>
          <t>5.3.3</t>
        </is>
      </c>
      <c r="B43" s="10" t="inlineStr">
        <is>
          <t>5. Sistema neumático</t>
        </is>
      </c>
      <c r="C43" s="10" t="inlineStr">
        <is>
          <t>5.3 Caudal de muestra</t>
        </is>
      </c>
      <c r="D43" s="11" t="inlineStr">
        <is>
          <t>Unidad de orificio crítico (Critical Orifice)</t>
        </is>
      </c>
      <c r="E43" s="11" t="inlineStr">
        <is>
          <t>Que el orificio crítico interno de control de flujo esté libre de obstrucciones</t>
        </is>
      </c>
      <c r="F43" s="12" t="inlineStr">
        <is>
          <t>Con el equipo apagado, desmontar el orificio crítico y examinarlo contra la luz con lupa, verificando que el paso esté libre. Limpiarlo solo con aire seco filtrado.</t>
        </is>
      </c>
      <c r="G43" s="10" t="inlineStr">
        <is>
          <t>OK / No OK</t>
        </is>
      </c>
      <c r="H43" s="10" t="inlineStr"/>
      <c r="I43" s="11" t="inlineStr">
        <is>
          <t>Orificio totalmente limpio y sin obstrucciones físicas. Repuesto PENDIENTE DE VALIDAR</t>
        </is>
      </c>
      <c r="J43" s="13" t="inlineStr">
        <is>
          <t>Bloqueante</t>
        </is>
      </c>
      <c r="K43" s="14" t="inlineStr">
        <is>
          <t>Orificio obstruido por polvo que entró sin filtro, o depósitos cristalizados</t>
        </is>
      </c>
      <c r="L43" s="15" t="inlineStr">
        <is>
          <t>5.3.2 ; 4.1.1</t>
        </is>
      </c>
      <c r="M43" s="14" t="inlineStr">
        <is>
          <t>Limpiar el orificio en baño ultrasónico con alcohol isopropílico; si no se recupera, reemplazarlo</t>
        </is>
      </c>
      <c r="N43" s="16" t="inlineStr">
        <is>
          <t>El orificio crítico de control de flujo se encuentra obstruido, lo que impide sostener el caudal nominal de muestra.</t>
        </is>
      </c>
      <c r="O43" s="10" t="n"/>
      <c r="P43" s="10" t="n"/>
      <c r="Q43" s="10" t="inlineStr">
        <is>
          <t>Sí</t>
        </is>
      </c>
      <c r="R43" s="10" t="inlineStr">
        <is>
          <t>Sí</t>
        </is>
      </c>
      <c r="S43" s="11" t="inlineStr">
        <is>
          <t>Orifice APSA-36X D=0.40 T=0.2 Etching (Select) (3012293266) · Orifice Holder APXX-360E (3012299100) · Orifice Holder APXX-360E (3012299101)</t>
        </is>
      </c>
      <c r="T43" s="11" t="inlineStr">
        <is>
          <t>P-ST-002-MAN MTTO APOA370 V2</t>
        </is>
      </c>
      <c r="U43" s="17" t="inlineStr">
        <is>
          <t>Pendiente</t>
        </is>
      </c>
      <c r="V43" s="17" t="n"/>
      <c r="W43" s="10">
        <f>IF($G43&lt;&gt;"Numérico","",IF($V43="","Sin dato",IF(AND(OR(NOT(ISNUMBER($O43)),$V43&gt;=$O43),OR(NOT(ISNUMBER($P43)),$V43&lt;=$P43)),"Dentro de rango","Fuera de rango")))</f>
        <v/>
      </c>
      <c r="X43" s="17" t="n"/>
      <c r="Y43" s="18" t="n"/>
      <c r="Z43" s="16">
        <f>IF(OR($U43="",$U43="Conforme",$U43="No aplica",$U43="Pendiente"),"",$N43&amp;IF($W43="Fuera de rango"," Valor medido: "&amp;TEXT($V43,"0.####")&amp;IF($H43="",""," "&amp;$H43)&amp;IF(AND(ISNUMBER($O43),$V43&lt;$O43),", por debajo del límite inferior de "&amp;TEXT($O43,"0.####")&amp;IF($H43="",""," "&amp;$H43),"")&amp;IF(AND(ISNUMBER($P43),$V43&gt;$P43),", por encima del límite superior de "&amp;TEXT($P43,"0.####")&amp;IF($H43="",""," "&amp;$H43),"")&amp;".","")&amp;IF($Y43="",""," "&amp;$Y43&amp;IF(RIGHT($Y43,1)=".","","."))&amp;" Acción recomendada: "&amp;$M43&amp;IF(RIGHT($M43,1)=".","",".")&amp;IF($J43="Bloqueante"," El equipo no se libera hasta resolver este hallazgo.",IF($J43="Cobrable"," Se incluye en la cotización de repuestos y consumibles."," Se deja registrado como observación.")))</f>
        <v/>
      </c>
    </row>
    <row r="44" ht="48" customHeight="1">
      <c r="A44" s="10" t="inlineStr">
        <is>
          <t>6.1.1</t>
        </is>
      </c>
      <c r="B44" s="10" t="inlineStr">
        <is>
          <t>6. Banco de medición y óptica</t>
        </is>
      </c>
      <c r="C44" s="10" t="inlineStr">
        <is>
          <t>6.1 Absorción UV no dispersiva (NDUV)</t>
        </is>
      </c>
      <c r="D44" s="11" t="inlineStr">
        <is>
          <t>Intensidad de la lámpara UV (LAMP)</t>
        </is>
      </c>
      <c r="E44" s="11" t="inlineStr">
        <is>
          <t>Voltaje de la intensidad de la fuente de luz en la pantalla ANALOG INPUT</t>
        </is>
      </c>
      <c r="F44" s="12" t="inlineStr">
        <is>
          <t>Ir a MENU / MAINTENANCE / ANALOG INPUT, ubicar LAMP y anotar el valor con el equipo estabilizado y al menos 30 min después del encendido.</t>
        </is>
      </c>
      <c r="G44" s="10" t="inlineStr">
        <is>
          <t>Numérico</t>
        </is>
      </c>
      <c r="H44" s="10" t="inlineStr">
        <is>
          <t>mV</t>
        </is>
      </c>
      <c r="I44" s="11" t="inlineStr">
        <is>
          <t>Valor estándar 200 a 1200 mV; se activa alarma por debajo de 200 mV. Ajuste de fábrica: 800 a 1100 mV</t>
        </is>
      </c>
      <c r="J44" s="13" t="inlineStr">
        <is>
          <t>Bloqueante</t>
        </is>
      </c>
      <c r="K44" s="14" t="inlineStr">
        <is>
          <t>Lámpara de mercurio al final de su vida, desalineada, u óptica sucia</t>
        </is>
      </c>
      <c r="L44" s="15" t="inlineStr">
        <is>
          <t>6.2.3 ; 6.2.1 ; 8.2.3 ; 6.4.1</t>
        </is>
      </c>
      <c r="M44" s="14" t="inlineStr">
        <is>
          <t>Rotar la lámpara buscando el máximo; si sigue por debajo de 200 mV, reemplazarla</t>
        </is>
      </c>
      <c r="N44" s="16" t="inlineStr">
        <is>
          <t>La intensidad de la lámpara ultravioleta está por debajo del umbral de operación, lo que reduce la sensibilidad del analizador.</t>
        </is>
      </c>
      <c r="O44" s="10" t="n">
        <v>200</v>
      </c>
      <c r="P44" s="10" t="n">
        <v>1200</v>
      </c>
      <c r="Q44" s="10" t="inlineStr">
        <is>
          <t>Sí</t>
        </is>
      </c>
      <c r="R44" s="10" t="inlineStr">
        <is>
          <t>No</t>
        </is>
      </c>
      <c r="S44" s="11" t="inlineStr">
        <is>
          <t>UV Lamp APOA-370 (3014036635; alt. 1000063664)</t>
        </is>
      </c>
      <c r="T44" s="11" t="inlineStr">
        <is>
          <t>P-ST-001-MAN OPER APOA 370 V2</t>
        </is>
      </c>
      <c r="U44" s="17" t="inlineStr">
        <is>
          <t>Pendiente</t>
        </is>
      </c>
      <c r="V44" s="17" t="n"/>
      <c r="W44" s="10">
        <f>IF($G44&lt;&gt;"Numérico","",IF($V44="","Sin dato",IF(AND(OR(NOT(ISNUMBER($O44)),$V44&gt;=$O44),OR(NOT(ISNUMBER($P44)),$V44&lt;=$P44)),"Dentro de rango","Fuera de rango")))</f>
        <v/>
      </c>
      <c r="X44" s="17" t="n"/>
      <c r="Y44" s="18" t="n"/>
      <c r="Z44" s="16">
        <f>IF(OR($U44="",$U44="Conforme",$U44="No aplica",$U44="Pendiente"),"",$N44&amp;IF($W44="Fuera de rango"," Valor medido: "&amp;TEXT($V44,"0.####")&amp;IF($H44="",""," "&amp;$H44)&amp;IF(AND(ISNUMBER($O44),$V44&lt;$O44),", por debajo del límite inferior de "&amp;TEXT($O44,"0.####")&amp;IF($H44="",""," "&amp;$H44),"")&amp;IF(AND(ISNUMBER($P44),$V44&gt;$P44),", por encima del límite superior de "&amp;TEXT($P44,"0.####")&amp;IF($H44="",""," "&amp;$H44),"")&amp;".","")&amp;IF($Y44="",""," "&amp;$Y44&amp;IF(RIGHT($Y44,1)=".","","."))&amp;" Acción recomendada: "&amp;$M44&amp;IF(RIGHT($M44,1)=".","",".")&amp;IF($J44="Bloqueante"," El equipo no se libera hasta resolver este hallazgo.",IF($J44="Cobrable"," Se incluye en la cotización de repuestos y consumibles."," Se deja registrado como observación.")))</f>
        <v/>
      </c>
    </row>
    <row r="45" ht="48" customHeight="1">
      <c r="A45" s="10" t="inlineStr">
        <is>
          <t>6.1.2</t>
        </is>
      </c>
      <c r="B45" s="10" t="inlineStr">
        <is>
          <t>6. Banco de medición y óptica</t>
        </is>
      </c>
      <c r="C45" s="10" t="inlineStr">
        <is>
          <t>6.1 Absorción UV no dispersiva (NDUV)</t>
        </is>
      </c>
      <c r="D45" s="11" t="inlineStr">
        <is>
          <t>Temperatura de la celda (CELL)</t>
        </is>
      </c>
      <c r="E45" s="11" t="inlineStr">
        <is>
          <t>Valor de temperatura de la celda óptica en la pantalla ANALOG INPUT</t>
        </is>
      </c>
      <c r="F45" s="12" t="inlineStr">
        <is>
          <t>Leer el valor CELL en ANALOG INPUT y, en paralelo, medir la temperatura ambiente de la sala con termómetro calibrado. Calcular y registrar la diferencia entre ambas.</t>
        </is>
      </c>
      <c r="G45" s="10" t="inlineStr">
        <is>
          <t>Numérico</t>
        </is>
      </c>
      <c r="H45" s="10" t="inlineStr">
        <is>
          <t>°C</t>
        </is>
      </c>
      <c r="I45" s="11" t="inlineStr">
        <is>
          <t>Valor estándar: temperatura ambiente + 5 a 15 °C. Los límites dependen de la temperatura del sitio</t>
        </is>
      </c>
      <c r="J45" s="13" t="inlineStr">
        <is>
          <t>Bloqueante</t>
        </is>
      </c>
      <c r="K45" s="14" t="inlineStr">
        <is>
          <t>Temperatura de sala fuera de rango, termistor dañado, o lazo de calentamiento inoperante</t>
        </is>
      </c>
      <c r="L45" s="15" t="inlineStr">
        <is>
          <t>10.3.1 ; 9.2.1 ; 7.2.1</t>
        </is>
      </c>
      <c r="M45" s="14" t="inlineStr">
        <is>
          <t>Descartar primero la sala; una lectura absurda apunta al termistor</t>
        </is>
      </c>
      <c r="N45" s="16" t="inlineStr">
        <is>
          <t>La temperatura de la celda de medida se encuentra fuera del rango de operación especificado.</t>
        </is>
      </c>
      <c r="O45" s="10" t="n"/>
      <c r="P45" s="10" t="n"/>
      <c r="Q45" s="10" t="inlineStr">
        <is>
          <t>Sí</t>
        </is>
      </c>
      <c r="R45" s="10" t="inlineStr">
        <is>
          <t>No</t>
        </is>
      </c>
      <c r="S45" s="11" t="inlineStr"/>
      <c r="T45" s="11" t="inlineStr">
        <is>
          <t>P-ST-001-MAN OPER APOA 370 V2</t>
        </is>
      </c>
      <c r="U45" s="17" t="inlineStr">
        <is>
          <t>Pendiente</t>
        </is>
      </c>
      <c r="V45" s="17" t="n"/>
      <c r="W45" s="10">
        <f>IF($G45&lt;&gt;"Numérico","",IF($V45="","Sin dato",IF(AND(OR(NOT(ISNUMBER($O45)),$V45&gt;=$O45),OR(NOT(ISNUMBER($P45)),$V45&lt;=$P45)),"Dentro de rango","Fuera de rango")))</f>
        <v/>
      </c>
      <c r="X45" s="17" t="n"/>
      <c r="Y45" s="18" t="n"/>
      <c r="Z45" s="16">
        <f>IF(OR($U45="",$U45="Conforme",$U45="No aplica",$U45="Pendiente"),"",$N45&amp;IF($W45="Fuera de rango"," Valor medido: "&amp;TEXT($V45,"0.####")&amp;IF($H45="",""," "&amp;$H45)&amp;IF(AND(ISNUMBER($O45),$V45&lt;$O45),", por debajo del límite inferior de "&amp;TEXT($O45,"0.####")&amp;IF($H45="",""," "&amp;$H45),"")&amp;IF(AND(ISNUMBER($P45),$V45&gt;$P45),", por encima del límite superior de "&amp;TEXT($P45,"0.####")&amp;IF($H45="",""," "&amp;$H45),"")&amp;".","")&amp;IF($Y45="",""," "&amp;$Y45&amp;IF(RIGHT($Y45,1)=".","","."))&amp;" Acción recomendada: "&amp;$M45&amp;IF(RIGHT($M45,1)=".","",".")&amp;IF($J45="Bloqueante"," El equipo no se libera hasta resolver este hallazgo.",IF($J45="Cobrable"," Se incluye en la cotización de repuestos y consumibles."," Se deja registrado como observación.")))</f>
        <v/>
      </c>
    </row>
    <row r="46" ht="48" customHeight="1">
      <c r="A46" s="10" t="inlineStr">
        <is>
          <t>6.1.3</t>
        </is>
      </c>
      <c r="B46" s="10" t="inlineStr">
        <is>
          <t>6. Banco de medición y óptica</t>
        </is>
      </c>
      <c r="C46" s="10" t="inlineStr">
        <is>
          <t>6.1 Absorción UV no dispersiva (NDUV)</t>
        </is>
      </c>
      <c r="D46" s="11" t="inlineStr">
        <is>
          <t>Ruido de la señal analógica (SIGNAL)</t>
        </is>
      </c>
      <c r="E46" s="11" t="inlineStr">
        <is>
          <t>Valor y estabilidad del canal analógico SIGNAL en la primera página de ANALOG INPUT</t>
        </is>
      </c>
      <c r="F46" s="12" t="inlineStr">
        <is>
          <t>Con el equipo estabilizado y sin gas patrón, observar el canal SIGNAL en la primera página de ANALOG INPUT durante varios minutos y anotar el valor y su fluctuación.</t>
        </is>
      </c>
      <c r="G46" s="10" t="inlineStr">
        <is>
          <t>Numérico</t>
        </is>
      </c>
      <c r="H46" s="10" t="inlineStr">
        <is>
          <t>mV</t>
        </is>
      </c>
      <c r="I46" s="11" t="inlineStr">
        <is>
          <t>Señal de ozono estable cerca del nivel de referencia en ausencia de gas</t>
        </is>
      </c>
      <c r="J46" s="13" t="inlineStr">
        <is>
          <t>Bloqueante</t>
        </is>
      </c>
      <c r="K46" s="14" t="inlineStr">
        <is>
          <t>Condensación en la celda, lámpara fluctuante, o electroválvula con fuga interna</t>
        </is>
      </c>
      <c r="L46" s="15" t="inlineStr">
        <is>
          <t>4.2.1 ; 6.1.1 ; 6.5.1 ; 5.1.3</t>
        </is>
      </c>
      <c r="M46" s="14" t="inlineStr">
        <is>
          <t>Secar el circuito y estabilizar 24 a 48 h antes de juzgar la señal</t>
        </is>
      </c>
      <c r="N46" s="16" t="inlineStr">
        <is>
          <t>La señal del detector presenta ruido o deriva por encima de lo esperado para un equipo estabilizado.</t>
        </is>
      </c>
      <c r="O46" s="10" t="n">
        <v>-10</v>
      </c>
      <c r="P46" s="10" t="n">
        <v>10</v>
      </c>
      <c r="Q46" s="10" t="inlineStr">
        <is>
          <t>Sí</t>
        </is>
      </c>
      <c r="R46" s="10" t="inlineStr">
        <is>
          <t>No</t>
        </is>
      </c>
      <c r="S46" s="11" t="inlineStr"/>
      <c r="T46" s="11" t="inlineStr">
        <is>
          <t>P-ST-002-MAN MTTO APOA370 V2</t>
        </is>
      </c>
      <c r="U46" s="17" t="inlineStr">
        <is>
          <t>Pendiente</t>
        </is>
      </c>
      <c r="V46" s="17" t="n"/>
      <c r="W46" s="10">
        <f>IF($G46&lt;&gt;"Numérico","",IF($V46="","Sin dato",IF(AND(OR(NOT(ISNUMBER($O46)),$V46&gt;=$O46),OR(NOT(ISNUMBER($P46)),$V46&lt;=$P46)),"Dentro de rango","Fuera de rango")))</f>
        <v/>
      </c>
      <c r="X46" s="17" t="n"/>
      <c r="Y46" s="18" t="n"/>
      <c r="Z46" s="16">
        <f>IF(OR($U46="",$U46="Conforme",$U46="No aplica",$U46="Pendiente"),"",$N46&amp;IF($W46="Fuera de rango"," Valor medido: "&amp;TEXT($V46,"0.####")&amp;IF($H46="",""," "&amp;$H46)&amp;IF(AND(ISNUMBER($O46),$V46&lt;$O46),", por debajo del límite inferior de "&amp;TEXT($O46,"0.####")&amp;IF($H46="",""," "&amp;$H46),"")&amp;IF(AND(ISNUMBER($P46),$V46&gt;$P46),", por encima del límite superior de "&amp;TEXT($P46,"0.####")&amp;IF($H46="",""," "&amp;$H46),"")&amp;".","")&amp;IF($Y46="",""," "&amp;$Y46&amp;IF(RIGHT($Y46,1)=".","","."))&amp;" Acción recomendada: "&amp;$M46&amp;IF(RIGHT($M46,1)=".","",".")&amp;IF($J46="Bloqueante"," El equipo no se libera hasta resolver este hallazgo.",IF($J46="Cobrable"," Se incluye en la cotización de repuestos y consumibles."," Se deja registrado como observación.")))</f>
        <v/>
      </c>
    </row>
    <row r="47" ht="48" customHeight="1">
      <c r="A47" s="10" t="inlineStr">
        <is>
          <t>6.2.1</t>
        </is>
      </c>
      <c r="B47" s="10" t="inlineStr">
        <is>
          <t>6. Banco de medición y óptica</t>
        </is>
      </c>
      <c r="C47" s="10" t="inlineStr">
        <is>
          <t>6.2 Celda de medida y óptica</t>
        </is>
      </c>
      <c r="D47" s="11" t="inlineStr">
        <is>
          <t>Ventanas de cuarzo de la celda</t>
        </is>
      </c>
      <c r="E47" s="11" t="inlineStr">
        <is>
          <t>Estado de las ventanas ópticas transparentes en los extremos de la celda de absorción</t>
        </is>
      </c>
      <c r="F47" s="12" t="inlineStr">
        <is>
          <t>Con el equipo apagado y frío, acceder a la celda de absorción y examinar las ventanas de cuarzo con linterna, buscando películas, polvo o condensación. No tocarlas con los dedos.</t>
        </is>
      </c>
      <c r="G47" s="10" t="inlineStr">
        <is>
          <t>OK / No OK</t>
        </is>
      </c>
      <c r="H47" s="10" t="inlineStr"/>
      <c r="I47" s="11" t="inlineStr">
        <is>
          <t>Ventanas limpias, libres de polvo, películas de grasa o condensación de agua</t>
        </is>
      </c>
      <c r="J47" s="13" t="inlineStr">
        <is>
          <t>Cobrable</t>
        </is>
      </c>
      <c r="K47" s="14" t="inlineStr">
        <is>
          <t>Depósitos o condensación sobre el cuarzo: atenúan el haz</t>
        </is>
      </c>
      <c r="L47" s="15" t="inlineStr">
        <is>
          <t>4.2.1 ; 6.1.1</t>
        </is>
      </c>
      <c r="M47" s="14" t="inlineStr">
        <is>
          <t>Limpiar las ventanas con material óptico apropiado y eliminar el origen de la humedad</t>
        </is>
      </c>
      <c r="N47" s="16" t="inlineStr">
        <is>
          <t>Las ventanas de cuarzo de la celda de medida presentan depósitos o condensación que atenúan el haz ultravioleta.</t>
        </is>
      </c>
      <c r="O47" s="10" t="n"/>
      <c r="P47" s="10" t="n"/>
      <c r="Q47" s="10" t="inlineStr">
        <is>
          <t>Sí</t>
        </is>
      </c>
      <c r="R47" s="10" t="inlineStr">
        <is>
          <t>Sí</t>
        </is>
      </c>
      <c r="S47" s="11" t="inlineStr"/>
      <c r="T47" s="11" t="inlineStr">
        <is>
          <t>P-ST-002-MAN MTTO APOA370 V2</t>
        </is>
      </c>
      <c r="U47" s="17" t="inlineStr">
        <is>
          <t>Pendiente</t>
        </is>
      </c>
      <c r="V47" s="17" t="n"/>
      <c r="W47" s="10">
        <f>IF($G47&lt;&gt;"Numérico","",IF($V47="","Sin dato",IF(AND(OR(NOT(ISNUMBER($O47)),$V47&gt;=$O47),OR(NOT(ISNUMBER($P47)),$V47&lt;=$P47)),"Dentro de rango","Fuera de rango")))</f>
        <v/>
      </c>
      <c r="X47" s="17" t="n"/>
      <c r="Y47" s="18" t="n"/>
      <c r="Z47" s="16">
        <f>IF(OR($U47="",$U47="Conforme",$U47="No aplica",$U47="Pendiente"),"",$N47&amp;IF($W47="Fuera de rango"," Valor medido: "&amp;TEXT($V47,"0.####")&amp;IF($H47="",""," "&amp;$H47)&amp;IF(AND(ISNUMBER($O47),$V47&lt;$O47),", por debajo del límite inferior de "&amp;TEXT($O47,"0.####")&amp;IF($H47="",""," "&amp;$H47),"")&amp;IF(AND(ISNUMBER($P47),$V47&gt;$P47),", por encima del límite superior de "&amp;TEXT($P47,"0.####")&amp;IF($H47="",""," "&amp;$H47),"")&amp;".","")&amp;IF($Y47="",""," "&amp;$Y47&amp;IF(RIGHT($Y47,1)=".","","."))&amp;" Acción recomendada: "&amp;$M47&amp;IF(RIGHT($M47,1)=".","",".")&amp;IF($J47="Bloqueante"," El equipo no se libera hasta resolver este hallazgo.",IF($J47="Cobrable"," Se incluye en la cotización de repuestos y consumibles."," Se deja registrado como observación.")))</f>
        <v/>
      </c>
    </row>
    <row r="48" ht="48" customHeight="1">
      <c r="A48" s="10" t="inlineStr">
        <is>
          <t>6.2.2</t>
        </is>
      </c>
      <c r="B48" s="10" t="inlineStr">
        <is>
          <t>6. Banco de medición y óptica</t>
        </is>
      </c>
      <c r="C48" s="10" t="inlineStr">
        <is>
          <t>6.2 Celda de medida y óptica</t>
        </is>
      </c>
      <c r="D48" s="11" t="inlineStr">
        <is>
          <t>Sello de empaquetadura de la celda</t>
        </is>
      </c>
      <c r="E48" s="11" t="inlineStr">
        <is>
          <t>Estanqueidad y estado de los empaques de las uniones de la celda</t>
        </is>
      </c>
      <c r="F48" s="12" t="inlineStr">
        <is>
          <t>Con el equipo apagado, inspeccionar las uniones de la celda buscando rastros de fuga. Con la bomba en marcha, aplicar agua jabonosa en las uniones accesibles y observar burbujas.</t>
        </is>
      </c>
      <c r="G48" s="10" t="inlineStr">
        <is>
          <t>OK / No OK</t>
        </is>
      </c>
      <c r="H48" s="10" t="inlineStr"/>
      <c r="I48" s="11" t="inlineStr">
        <is>
          <t>Sin evidencia de fugas en la celda de absorción; sellos continuos sin agrietamiento. Repuesto PENDIENTE DE VALIDAR</t>
        </is>
      </c>
      <c r="J48" s="13" t="inlineStr">
        <is>
          <t>Bloqueante</t>
        </is>
      </c>
      <c r="K48" s="14" t="inlineStr">
        <is>
          <t>Empaque agrietado: fuga en la celda de absorción</t>
        </is>
      </c>
      <c r="L48" s="15" t="inlineStr">
        <is>
          <t>5.2.1 ; 3.4.1</t>
        </is>
      </c>
      <c r="M48" s="14" t="inlineStr">
        <is>
          <t>Reemplazar el empaque de la celda y repetir la prueba de hermeticidad</t>
        </is>
      </c>
      <c r="N48" s="16" t="inlineStr">
        <is>
          <t>La celda de absorción presenta fuga en sus uniones.</t>
        </is>
      </c>
      <c r="O48" s="10" t="n"/>
      <c r="P48" s="10" t="n"/>
      <c r="Q48" s="10" t="inlineStr">
        <is>
          <t>Sí</t>
        </is>
      </c>
      <c r="R48" s="10" t="inlineStr">
        <is>
          <t>Sí</t>
        </is>
      </c>
      <c r="S48" s="11" t="inlineStr"/>
      <c r="T48" s="11" t="inlineStr">
        <is>
          <t>P-ST-002-MAN MTTO APOA370 V2</t>
        </is>
      </c>
      <c r="U48" s="17" t="inlineStr">
        <is>
          <t>Pendiente</t>
        </is>
      </c>
      <c r="V48" s="17" t="n"/>
      <c r="W48" s="10">
        <f>IF($G48&lt;&gt;"Numérico","",IF($V48="","Sin dato",IF(AND(OR(NOT(ISNUMBER($O48)),$V48&gt;=$O48),OR(NOT(ISNUMBER($P48)),$V48&lt;=$P48)),"Dentro de rango","Fuera de rango")))</f>
        <v/>
      </c>
      <c r="X48" s="17" t="n"/>
      <c r="Y48" s="18" t="n"/>
      <c r="Z48" s="16">
        <f>IF(OR($U48="",$U48="Conforme",$U48="No aplica",$U48="Pendiente"),"",$N48&amp;IF($W48="Fuera de rango"," Valor medido: "&amp;TEXT($V48,"0.####")&amp;IF($H48="",""," "&amp;$H48)&amp;IF(AND(ISNUMBER($O48),$V48&lt;$O48),", por debajo del límite inferior de "&amp;TEXT($O48,"0.####")&amp;IF($H48="",""," "&amp;$H48),"")&amp;IF(AND(ISNUMBER($P48),$V48&gt;$P48),", por encima del límite superior de "&amp;TEXT($P48,"0.####")&amp;IF($H48="",""," "&amp;$H48),"")&amp;".","")&amp;IF($Y48="",""," "&amp;$Y48&amp;IF(RIGHT($Y48,1)=".","","."))&amp;" Acción recomendada: "&amp;$M48&amp;IF(RIGHT($M48,1)=".","",".")&amp;IF($J48="Bloqueante"," El equipo no se libera hasta resolver este hallazgo.",IF($J48="Cobrable"," Se incluye en la cotización de repuestos y consumibles."," Se deja registrado como observación.")))</f>
        <v/>
      </c>
    </row>
    <row r="49" ht="48" customHeight="1">
      <c r="A49" s="10" t="inlineStr">
        <is>
          <t>6.2.3</t>
        </is>
      </c>
      <c r="B49" s="10" t="inlineStr">
        <is>
          <t>6. Banco de medición y óptica</t>
        </is>
      </c>
      <c r="C49" s="10" t="inlineStr">
        <is>
          <t>6.2 Celda de medida y óptica</t>
        </is>
      </c>
      <c r="D49" s="11" t="inlineStr">
        <is>
          <t>Alineación de la lámpara UV</t>
        </is>
      </c>
      <c r="E49" s="11" t="inlineStr">
        <is>
          <t>Orientación de la lámpara para máxima intensidad, tras aflojar los tornillos de fijación</t>
        </is>
      </c>
      <c r="F49" s="12" t="inlineStr">
        <is>
          <t>Con la lámpara alimentada y observando el valor LAMP en pantalla, aflojar los tornillos estriados, girar lentamente la lámpara hasta la señal máxima y volver a fijarla en esa posición.</t>
        </is>
      </c>
      <c r="G49" s="10" t="inlineStr">
        <is>
          <t>OK / No OK</t>
        </is>
      </c>
      <c r="H49" s="10" t="inlineStr"/>
      <c r="I49" s="11" t="inlineStr">
        <is>
          <t>Lámpara fijada con sus tornillos estriados en el punto de máxima señal en pantalla</t>
        </is>
      </c>
      <c r="J49" s="13" t="inlineStr">
        <is>
          <t>Cobrable</t>
        </is>
      </c>
      <c r="K49" s="14" t="inlineStr">
        <is>
          <t>Lámpara girada respecto al punto de máxima intensidad tras una intervención</t>
        </is>
      </c>
      <c r="L49" s="15" t="inlineStr">
        <is>
          <t>6.1.1</t>
        </is>
      </c>
      <c r="M49" s="14" t="inlineStr">
        <is>
          <t>Aflojar los tornillos estriados, rotar hasta la señal máxima y volver a fijar</t>
        </is>
      </c>
      <c r="N49" s="16" t="inlineStr">
        <is>
          <t>La lámpara ultravioleta no está orientada en su punto de máxima intensidad.</t>
        </is>
      </c>
      <c r="O49" s="10" t="n"/>
      <c r="P49" s="10" t="n"/>
      <c r="Q49" s="10" t="inlineStr">
        <is>
          <t>Sí</t>
        </is>
      </c>
      <c r="R49" s="10" t="inlineStr">
        <is>
          <t>Sí</t>
        </is>
      </c>
      <c r="S49" s="11" t="inlineStr">
        <is>
          <t>UV Lamp APOA-370 (3014036635; alt. 1000063664)</t>
        </is>
      </c>
      <c r="T49" s="11" t="inlineStr">
        <is>
          <t>P-ST-002-MAN MTTO APOA370 V2</t>
        </is>
      </c>
      <c r="U49" s="17" t="inlineStr">
        <is>
          <t>Pendiente</t>
        </is>
      </c>
      <c r="V49" s="17" t="n"/>
      <c r="W49" s="10">
        <f>IF($G49&lt;&gt;"Numérico","",IF($V49="","Sin dato",IF(AND(OR(NOT(ISNUMBER($O49)),$V49&gt;=$O49),OR(NOT(ISNUMBER($P49)),$V49&lt;=$P49)),"Dentro de rango","Fuera de rango")))</f>
        <v/>
      </c>
      <c r="X49" s="17" t="n"/>
      <c r="Y49" s="18" t="n"/>
      <c r="Z49" s="16">
        <f>IF(OR($U49="",$U49="Conforme",$U49="No aplica",$U49="Pendiente"),"",$N49&amp;IF($W49="Fuera de rango"," Valor medido: "&amp;TEXT($V49,"0.####")&amp;IF($H49="",""," "&amp;$H49)&amp;IF(AND(ISNUMBER($O49),$V49&lt;$O49),", por debajo del límite inferior de "&amp;TEXT($O49,"0.####")&amp;IF($H49="",""," "&amp;$H49),"")&amp;IF(AND(ISNUMBER($P49),$V49&gt;$P49),", por encima del límite superior de "&amp;TEXT($P49,"0.####")&amp;IF($H49="",""," "&amp;$H49),"")&amp;".","")&amp;IF($Y49="",""," "&amp;$Y49&amp;IF(RIGHT($Y49,1)=".","","."))&amp;" Acción recomendada: "&amp;$M49&amp;IF(RIGHT($M49,1)=".","",".")&amp;IF($J49="Bloqueante"," El equipo no se libera hasta resolver este hallazgo.",IF($J49="Cobrable"," Se incluye en la cotización de repuestos y consumibles."," Se deja registrado como observación.")))</f>
        <v/>
      </c>
    </row>
    <row r="50" ht="48" customHeight="1">
      <c r="A50" s="10" t="inlineStr">
        <is>
          <t>6.3.1</t>
        </is>
      </c>
      <c r="B50" s="10" t="inlineStr">
        <is>
          <t>6. Banco de medición y óptica</t>
        </is>
      </c>
      <c r="C50" s="10" t="inlineStr">
        <is>
          <t>6.3 Canal de referencia (deozonizador)</t>
        </is>
      </c>
      <c r="D50" s="11" t="inlineStr">
        <is>
          <t>Unidad catalítica calentada (DO pipe)</t>
        </is>
      </c>
      <c r="E50" s="11" t="inlineStr">
        <is>
          <t>Que el deozonizador caliente y descomponga el O3 para el canal de referencia</t>
        </is>
      </c>
      <c r="F50" s="12" t="inlineStr">
        <is>
          <t>Verificar por tacto con el debido cuidado que el deozonizador esté caliente, e introducir gas patrón de ozono comprobando que la lectura responda y retorne correctamente al cero.</t>
        </is>
      </c>
      <c r="G50" s="10" t="inlineStr">
        <is>
          <t>OK / No OK</t>
        </is>
      </c>
      <c r="H50" s="10" t="inlineStr"/>
      <c r="I50" s="11" t="inlineStr">
        <is>
          <t>Destrucción completa de ozono en el gas de referencia y lecturas de referencia estables</t>
        </is>
      </c>
      <c r="J50" s="13" t="inlineStr">
        <is>
          <t>Bloqueante</t>
        </is>
      </c>
      <c r="K50" s="14" t="inlineStr">
        <is>
          <t>Catalizador DO-5g agotado o contaminado, o calefactor desconectado</t>
        </is>
      </c>
      <c r="L50" s="15" t="inlineStr">
        <is>
          <t>6.3.2 ; 9.2.2 ; 8.2.2 ; 3.4.1</t>
        </is>
      </c>
      <c r="M50" s="14" t="inlineStr">
        <is>
          <t>Si el equipo no vuelve a cero con aire ambiente, el deozonizador ya no destruye el ozono: reemplazarlo</t>
        </is>
      </c>
      <c r="N50" s="16" t="inlineStr">
        <is>
          <t>El deozonizador de la línea de referencia ha perdido eficiencia y ya no destruye el ozono del canal de referencia.</t>
        </is>
      </c>
      <c r="O50" s="10" t="n"/>
      <c r="P50" s="10" t="n"/>
      <c r="Q50" s="10" t="inlineStr">
        <is>
          <t>Sí</t>
        </is>
      </c>
      <c r="R50" s="10" t="inlineStr">
        <is>
          <t>Sí</t>
        </is>
      </c>
      <c r="S50" s="11" t="inlineStr">
        <is>
          <t>DO Pipe 160 °C 12H vacuum processing gas (3014061445)</t>
        </is>
      </c>
      <c r="T50" s="11" t="inlineStr">
        <is>
          <t>P-ST-002-MAN MTTO APOA370 V2</t>
        </is>
      </c>
      <c r="U50" s="17" t="inlineStr">
        <is>
          <t>Pendiente</t>
        </is>
      </c>
      <c r="V50" s="17" t="n"/>
      <c r="W50" s="10">
        <f>IF($G50&lt;&gt;"Numérico","",IF($V50="","Sin dato",IF(AND(OR(NOT(ISNUMBER($O50)),$V50&gt;=$O50),OR(NOT(ISNUMBER($P50)),$V50&lt;=$P50)),"Dentro de rango","Fuera de rango")))</f>
        <v/>
      </c>
      <c r="X50" s="17" t="n"/>
      <c r="Y50" s="18" t="n"/>
      <c r="Z50" s="16">
        <f>IF(OR($U50="",$U50="Conforme",$U50="No aplica",$U50="Pendiente"),"",$N50&amp;IF($W50="Fuera de rango"," Valor medido: "&amp;TEXT($V50,"0.####")&amp;IF($H50="",""," "&amp;$H50)&amp;IF(AND(ISNUMBER($O50),$V50&lt;$O50),", por debajo del límite inferior de "&amp;TEXT($O50,"0.####")&amp;IF($H50="",""," "&amp;$H50),"")&amp;IF(AND(ISNUMBER($P50),$V50&gt;$P50),", por encima del límite superior de "&amp;TEXT($P50,"0.####")&amp;IF($H50="",""," "&amp;$H50),"")&amp;".","")&amp;IF($Y50="",""," "&amp;$Y50&amp;IF(RIGHT($Y50,1)=".","","."))&amp;" Acción recomendada: "&amp;$M50&amp;IF(RIGHT($M50,1)=".","",".")&amp;IF($J50="Bloqueante"," El equipo no se libera hasta resolver este hallazgo.",IF($J50="Cobrable"," Se incluye en la cotización de repuestos y consumibles."," Se deja registrado como observación.")))</f>
        <v/>
      </c>
    </row>
    <row r="51" ht="48" customHeight="1">
      <c r="A51" s="10" t="inlineStr">
        <is>
          <t>6.3.2</t>
        </is>
      </c>
      <c r="B51" s="10" t="inlineStr">
        <is>
          <t>6. Banco de medición y óptica</t>
        </is>
      </c>
      <c r="C51" s="10" t="inlineStr">
        <is>
          <t>6.3 Canal de referencia (deozonizador)</t>
        </is>
      </c>
      <c r="D51" s="11" t="inlineStr">
        <is>
          <t>Conector del catalizador deozonizador</t>
        </is>
      </c>
      <c r="E51" s="11" t="inlineStr">
        <is>
          <t>Estado del enchufe de alimentación de CA del calentador del deozonizador</t>
        </is>
      </c>
      <c r="F51" s="12" t="inlineStr">
        <is>
          <t>Con el equipo apagado, inspeccionar el enchufe de alimentación del calentador del deozonizador buscando decoloración por calor, contactos oxidados o conexión floja.</t>
        </is>
      </c>
      <c r="G51" s="10" t="inlineStr">
        <is>
          <t>OK / No OK</t>
        </is>
      </c>
      <c r="H51" s="10" t="inlineStr"/>
      <c r="I51" s="11" t="inlineStr">
        <is>
          <t>Conector firmemente encajado, contactos sin corrosión ni sobrecalentamiento térmico</t>
        </is>
      </c>
      <c r="J51" s="13" t="inlineStr">
        <is>
          <t>Bloqueante</t>
        </is>
      </c>
      <c r="K51" s="14" t="inlineStr">
        <is>
          <t>Conector flojo, oxidado, o con marcas de sobrecalentamiento</t>
        </is>
      </c>
      <c r="L51" s="15" t="inlineStr">
        <is>
          <t>9.2.2 ; 6.3.1</t>
        </is>
      </c>
      <c r="M51" s="14" t="inlineStr">
        <is>
          <t>Rehacer la conexión de alimentación del calefactor y verificar que caliente</t>
        </is>
      </c>
      <c r="N51" s="16" t="inlineStr">
        <is>
          <t>El conector de alimentación del calefactor del deozonizador está flojo, oxidado o con evidencia de sobrecalentamiento.</t>
        </is>
      </c>
      <c r="O51" s="10" t="n"/>
      <c r="P51" s="10" t="n"/>
      <c r="Q51" s="10" t="inlineStr">
        <is>
          <t>Sí</t>
        </is>
      </c>
      <c r="R51" s="10" t="inlineStr">
        <is>
          <t>Sí</t>
        </is>
      </c>
      <c r="S51" s="11" t="inlineStr"/>
      <c r="T51" s="11" t="inlineStr">
        <is>
          <t>P-ST-002-MAN MTTO APOA370 V2</t>
        </is>
      </c>
      <c r="U51" s="17" t="inlineStr">
        <is>
          <t>Pendiente</t>
        </is>
      </c>
      <c r="V51" s="17" t="n"/>
      <c r="W51" s="10">
        <f>IF($G51&lt;&gt;"Numérico","",IF($V51="","Sin dato",IF(AND(OR(NOT(ISNUMBER($O51)),$V51&gt;=$O51),OR(NOT(ISNUMBER($P51)),$V51&lt;=$P51)),"Dentro de rango","Fuera de rango")))</f>
        <v/>
      </c>
      <c r="X51" s="17" t="n"/>
      <c r="Y51" s="18" t="n"/>
      <c r="Z51" s="16">
        <f>IF(OR($U51="",$U51="Conforme",$U51="No aplica",$U51="Pendiente"),"",$N51&amp;IF($W51="Fuera de rango"," Valor medido: "&amp;TEXT($V51,"0.####")&amp;IF($H51="",""," "&amp;$H51)&amp;IF(AND(ISNUMBER($O51),$V51&lt;$O51),", por debajo del límite inferior de "&amp;TEXT($O51,"0.####")&amp;IF($H51="",""," "&amp;$H51),"")&amp;IF(AND(ISNUMBER($P51),$V51&gt;$P51),", por encima del límite superior de "&amp;TEXT($P51,"0.####")&amp;IF($H51="",""," "&amp;$H51),"")&amp;".","")&amp;IF($Y51="",""," "&amp;$Y51&amp;IF(RIGHT($Y51,1)=".","","."))&amp;" Acción recomendada: "&amp;$M51&amp;IF(RIGHT($M51,1)=".","",".")&amp;IF($J51="Bloqueante"," El equipo no se libera hasta resolver este hallazgo.",IF($J51="Cobrable"," Se incluye en la cotización de repuestos y consumibles."," Se deja registrado como observación.")))</f>
        <v/>
      </c>
    </row>
    <row r="52" ht="48" customHeight="1">
      <c r="A52" s="10" t="inlineStr">
        <is>
          <t>6.4.1</t>
        </is>
      </c>
      <c r="B52" s="10" t="inlineStr">
        <is>
          <t>6. Banco de medición y óptica</t>
        </is>
      </c>
      <c r="C52" s="10" t="inlineStr">
        <is>
          <t>6.4 Detección</t>
        </is>
      </c>
      <c r="D52" s="11" t="inlineStr">
        <is>
          <t>Fotodiodo detector de medición</t>
        </is>
      </c>
      <c r="E52" s="11" t="inlineStr">
        <is>
          <t>Estado de las conexiones soldadas del fotodiodo detector</t>
        </is>
      </c>
      <c r="F52" s="12" t="inlineStr">
        <is>
          <t>Con el equipo apagado, acceder al fotodiodo y examinar sus soldaduras con lupa, buscando soldaduras frías, hilos partidos o sulfatación por humedad.</t>
        </is>
      </c>
      <c r="G52" s="10" t="inlineStr">
        <is>
          <t>OK / No OK</t>
        </is>
      </c>
      <c r="H52" s="10" t="inlineStr"/>
      <c r="I52" s="11" t="inlineStr">
        <is>
          <t>Conexiones firmes, sin sulfatación, falsos contactos ni desprendimiento por humedad</t>
        </is>
      </c>
      <c r="J52" s="13" t="inlineStr">
        <is>
          <t>Bloqueante</t>
        </is>
      </c>
      <c r="K52" s="14" t="inlineStr">
        <is>
          <t>Soldadura fría, hilo partido, o sulfatación por humedad</t>
        </is>
      </c>
      <c r="L52" s="15" t="inlineStr">
        <is>
          <t>6.4.2 ; 6.1.1 ; 6.1.3</t>
        </is>
      </c>
      <c r="M52" s="14" t="inlineStr">
        <is>
          <t>Reemplazar el fotodiodo y su tarjeta si la señal no responde al gas patrón</t>
        </is>
      </c>
      <c r="N52" s="16" t="inlineStr">
        <is>
          <t>El fotodiodo detector presenta soldaduras deficientes, hilos partidos o sulfatación por humedad.</t>
        </is>
      </c>
      <c r="O52" s="10" t="n"/>
      <c r="P52" s="10" t="n"/>
      <c r="Q52" s="10" t="inlineStr">
        <is>
          <t>Sí</t>
        </is>
      </c>
      <c r="R52" s="10" t="inlineStr">
        <is>
          <t>Sí</t>
        </is>
      </c>
      <c r="S52" s="11" t="inlineStr">
        <is>
          <t>Photo Diode (3030051996)</t>
        </is>
      </c>
      <c r="T52" s="11" t="inlineStr">
        <is>
          <t>MT_WKKT596N_APOA370_220225</t>
        </is>
      </c>
      <c r="U52" s="17" t="inlineStr">
        <is>
          <t>Pendiente</t>
        </is>
      </c>
      <c r="V52" s="17" t="n"/>
      <c r="W52" s="10">
        <f>IF($G52&lt;&gt;"Numérico","",IF($V52="","Sin dato",IF(AND(OR(NOT(ISNUMBER($O52)),$V52&gt;=$O52),OR(NOT(ISNUMBER($P52)),$V52&lt;=$P52)),"Dentro de rango","Fuera de rango")))</f>
        <v/>
      </c>
      <c r="X52" s="17" t="n"/>
      <c r="Y52" s="18" t="n"/>
      <c r="Z52" s="16">
        <f>IF(OR($U52="",$U52="Conforme",$U52="No aplica",$U52="Pendiente"),"",$N52&amp;IF($W52="Fuera de rango"," Valor medido: "&amp;TEXT($V52,"0.####")&amp;IF($H52="",""," "&amp;$H52)&amp;IF(AND(ISNUMBER($O52),$V52&lt;$O52),", por debajo del límite inferior de "&amp;TEXT($O52,"0.####")&amp;IF($H52="",""," "&amp;$H52),"")&amp;IF(AND(ISNUMBER($P52),$V52&gt;$P52),", por encima del límite superior de "&amp;TEXT($P52,"0.####")&amp;IF($H52="",""," "&amp;$H52),"")&amp;".","")&amp;IF($Y52="",""," "&amp;$Y52&amp;IF(RIGHT($Y52,1)=".","","."))&amp;" Acción recomendada: "&amp;$M52&amp;IF(RIGHT($M52,1)=".","",".")&amp;IF($J52="Bloqueante"," El equipo no se libera hasta resolver este hallazgo.",IF($J52="Cobrable"," Se incluye en la cotización de repuestos y consumibles."," Se deja registrado como observación.")))</f>
        <v/>
      </c>
    </row>
    <row r="53" ht="48" customHeight="1">
      <c r="A53" s="10" t="inlineStr">
        <is>
          <t>6.4.2</t>
        </is>
      </c>
      <c r="B53" s="10" t="inlineStr">
        <is>
          <t>6. Banco de medición y óptica</t>
        </is>
      </c>
      <c r="C53" s="10" t="inlineStr">
        <is>
          <t>6.4 Detección</t>
        </is>
      </c>
      <c r="D53" s="11" t="inlineStr">
        <is>
          <t>Tarjeta preamplificadora (AP-AMP-06)</t>
        </is>
      </c>
      <c r="E53" s="11" t="inlineStr">
        <is>
          <t>Estado de la PCB del preamplificador óptico montado junto al fotodiodo</t>
        </is>
      </c>
      <c r="F53" s="12" t="inlineStr">
        <is>
          <t>Con el equipo apagado, examinar la PCB del preamplificador con lupa y linterna, buscando humedad, sulfatación en los contactos o componentes decolorados por calor.</t>
        </is>
      </c>
      <c r="G53" s="10" t="inlineStr">
        <is>
          <t>OK / No OK</t>
        </is>
      </c>
      <c r="H53" s="10" t="inlineStr"/>
      <c r="I53" s="11" t="inlineStr">
        <is>
          <t>Placa limpia, libre de humedad, sulfatación o componentes recalentados</t>
        </is>
      </c>
      <c r="J53" s="13" t="inlineStr">
        <is>
          <t>Bloqueante</t>
        </is>
      </c>
      <c r="K53" s="14" t="inlineStr">
        <is>
          <t>Humedad, sulfatación de contactos, o componente recalentado</t>
        </is>
      </c>
      <c r="L53" s="15" t="inlineStr">
        <is>
          <t>6.4.1 ; 7.1.1</t>
        </is>
      </c>
      <c r="M53" s="14" t="inlineStr">
        <is>
          <t>Prueba cruzada antes de reemplazar; el fotodiodo y la tarjeta suelen cambiarse juntos</t>
        </is>
      </c>
      <c r="N53" s="16" t="inlineStr">
        <is>
          <t>La tarjeta preamplificadora del detector presenta humedad, sulfatación de contactos o componentes con daño térmico.</t>
        </is>
      </c>
      <c r="O53" s="10" t="n"/>
      <c r="P53" s="10" t="n"/>
      <c r="Q53" s="10" t="inlineStr">
        <is>
          <t>Sí</t>
        </is>
      </c>
      <c r="R53" s="10" t="inlineStr">
        <is>
          <t>Sí</t>
        </is>
      </c>
      <c r="S53" s="11" t="inlineStr">
        <is>
          <t>Printed Board Assy (3014036688) · Printed Board Unit // AP-PRE-12 (APOA) (3200092494)</t>
        </is>
      </c>
      <c r="T53" s="11" t="inlineStr">
        <is>
          <t>MT_WKKT596N_APOA370_220225</t>
        </is>
      </c>
      <c r="U53" s="17" t="inlineStr">
        <is>
          <t>Pendiente</t>
        </is>
      </c>
      <c r="V53" s="17" t="n"/>
      <c r="W53" s="10">
        <f>IF($G53&lt;&gt;"Numérico","",IF($V53="","Sin dato",IF(AND(OR(NOT(ISNUMBER($O53)),$V53&gt;=$O53),OR(NOT(ISNUMBER($P53)),$V53&lt;=$P53)),"Dentro de rango","Fuera de rango")))</f>
        <v/>
      </c>
      <c r="X53" s="17" t="n"/>
      <c r="Y53" s="18" t="n"/>
      <c r="Z53" s="16">
        <f>IF(OR($U53="",$U53="Conforme",$U53="No aplica",$U53="Pendiente"),"",$N53&amp;IF($W53="Fuera de rango"," Valor medido: "&amp;TEXT($V53,"0.####")&amp;IF($H53="",""," "&amp;$H53)&amp;IF(AND(ISNUMBER($O53),$V53&lt;$O53),", por debajo del límite inferior de "&amp;TEXT($O53,"0.####")&amp;IF($H53="",""," "&amp;$H53),"")&amp;IF(AND(ISNUMBER($P53),$V53&gt;$P53),", por encima del límite superior de "&amp;TEXT($P53,"0.####")&amp;IF($H53="",""," "&amp;$H53),"")&amp;".","")&amp;IF($Y53="",""," "&amp;$Y53&amp;IF(RIGHT($Y53,1)=".","","."))&amp;" Acción recomendada: "&amp;$M53&amp;IF(RIGHT($M53,1)=".","",".")&amp;IF($J53="Bloqueante"," El equipo no se libera hasta resolver este hallazgo.",IF($J53="Cobrable"," Se incluye en la cotización de repuestos y consumibles."," Se deja registrado como observación.")))</f>
        <v/>
      </c>
    </row>
    <row r="54" ht="48" customHeight="1">
      <c r="A54" s="10" t="inlineStr">
        <is>
          <t>6.5.1</t>
        </is>
      </c>
      <c r="B54" s="10" t="inlineStr">
        <is>
          <t>6. Banco de medición y óptica</t>
        </is>
      </c>
      <c r="C54" s="10" t="inlineStr">
        <is>
          <t>6.5 Válvulas de modulación</t>
        </is>
      </c>
      <c r="D54" s="11" t="inlineStr">
        <is>
          <t>Unidad de solenoide de modulación (SV-2)</t>
        </is>
      </c>
      <c r="E54" s="11" t="inlineStr">
        <is>
          <t>Funcionamiento continuo de conmutación de la electroválvula de 3 vías (WTB-3K-NIF-3)</t>
        </is>
      </c>
      <c r="F54" s="12" t="inlineStr">
        <is>
          <t>Con el equipo en operación y la cubierta retirada, escuchar y palpar la electroválvula durante al menos un minuto, confirmando conmutación regular y sin atascos.</t>
        </is>
      </c>
      <c r="G54" s="10" t="inlineStr">
        <is>
          <t>OK / No OK</t>
        </is>
      </c>
      <c r="H54" s="10" t="inlineStr"/>
      <c r="I54" s="11" t="inlineStr">
        <is>
          <t>Válvula solenoide que conmuta herméticamente y sin atascos de manera continua</t>
        </is>
      </c>
      <c r="J54" s="13" t="inlineStr">
        <is>
          <t>Bloqueante</t>
        </is>
      </c>
      <c r="K54" s="14" t="inlineStr">
        <is>
          <t>Bobina quemada, vástago atascado, o fuga interna</t>
        </is>
      </c>
      <c r="L54" s="15" t="inlineStr">
        <is>
          <t>1.2.3 ; 7.1.1 ; 8.2.5</t>
        </is>
      </c>
      <c r="M54" s="14" t="inlineStr">
        <is>
          <t>Reemplazar la electroválvula de 3 vías y verificar la modulación a 1 Hz</t>
        </is>
      </c>
      <c r="N54" s="16" t="inlineStr">
        <is>
          <t>La electroválvula de modulación no conmuta correctamente o presenta fuga interna.</t>
        </is>
      </c>
      <c r="O54" s="10" t="n"/>
      <c r="P54" s="10" t="n"/>
      <c r="Q54" s="10" t="inlineStr">
        <is>
          <t>Sí</t>
        </is>
      </c>
      <c r="R54" s="10" t="inlineStr">
        <is>
          <t>Sí</t>
        </is>
      </c>
      <c r="S54" s="11" t="inlineStr">
        <is>
          <t>SV Unit WTB-3K-N1F-3 APMA / APOA (3014034340)</t>
        </is>
      </c>
      <c r="T54" s="11" t="inlineStr">
        <is>
          <t>P-ST-002-MAN MTTO APOA370 V2</t>
        </is>
      </c>
      <c r="U54" s="17" t="inlineStr">
        <is>
          <t>Pendiente</t>
        </is>
      </c>
      <c r="V54" s="17" t="n"/>
      <c r="W54" s="10">
        <f>IF($G54&lt;&gt;"Numérico","",IF($V54="","Sin dato",IF(AND(OR(NOT(ISNUMBER($O54)),$V54&gt;=$O54),OR(NOT(ISNUMBER($P54)),$V54&lt;=$P54)),"Dentro de rango","Fuera de rango")))</f>
        <v/>
      </c>
      <c r="X54" s="17" t="n"/>
      <c r="Y54" s="18" t="n"/>
      <c r="Z54" s="16">
        <f>IF(OR($U54="",$U54="Conforme",$U54="No aplica",$U54="Pendiente"),"",$N54&amp;IF($W54="Fuera de rango"," Valor medido: "&amp;TEXT($V54,"0.####")&amp;IF($H54="",""," "&amp;$H54)&amp;IF(AND(ISNUMBER($O54),$V54&lt;$O54),", por debajo del límite inferior de "&amp;TEXT($O54,"0.####")&amp;IF($H54="",""," "&amp;$H54),"")&amp;IF(AND(ISNUMBER($P54),$V54&gt;$P54),", por encima del límite superior de "&amp;TEXT($P54,"0.####")&amp;IF($H54="",""," "&amp;$H54),"")&amp;".","")&amp;IF($Y54="",""," "&amp;$Y54&amp;IF(RIGHT($Y54,1)=".","","."))&amp;" Acción recomendada: "&amp;$M54&amp;IF(RIGHT($M54,1)=".","",".")&amp;IF($J54="Bloqueante"," El equipo no se libera hasta resolver este hallazgo.",IF($J54="Cobrable"," Se incluye en la cotización de repuestos y consumibles."," Se deja registrado como observación.")))</f>
        <v/>
      </c>
    </row>
    <row r="55" ht="48" customHeight="1">
      <c r="A55" s="10" t="inlineStr">
        <is>
          <t>7.1.1</t>
        </is>
      </c>
      <c r="B55" s="10" t="inlineStr">
        <is>
          <t>7. Electrónica y control</t>
        </is>
      </c>
      <c r="C55" s="10" t="inlineStr">
        <is>
          <t>7.1 Alimentación interna</t>
        </is>
      </c>
      <c r="D55" s="11" t="inlineStr">
        <is>
          <t>Riel de voltaje interno de 24 V (DC 24V)</t>
        </is>
      </c>
      <c r="E55" s="11" t="inlineStr">
        <is>
          <t>Voltaje de alimentación de 24 V en la segunda página de ANALOG INPUT</t>
        </is>
      </c>
      <c r="F55" s="12" t="inlineStr">
        <is>
          <t>Leer el valor DC 24V en la segunda página de ANALOG INPUT. Para verificación independiente, medir con multímetro en el punto de prueba de 24 V de la tarjeta ADC.</t>
        </is>
      </c>
      <c r="G55" s="10" t="inlineStr">
        <is>
          <t>Numérico</t>
        </is>
      </c>
      <c r="H55" s="10" t="inlineStr">
        <is>
          <t>V</t>
        </is>
      </c>
      <c r="I55" s="11" t="inlineStr">
        <is>
          <t>Debe mantenerse estable dentro de la tolerancia nominal de 24 V ± 0,5 V</t>
        </is>
      </c>
      <c r="J55" s="13" t="inlineStr">
        <is>
          <t>Bloqueante</t>
        </is>
      </c>
      <c r="K55" s="14" t="inlineStr">
        <is>
          <t>Fuente degradada o carga excesiva sobre el riel</t>
        </is>
      </c>
      <c r="L55" s="15" t="inlineStr">
        <is>
          <t>7.7.1 ; 7.2.1</t>
        </is>
      </c>
      <c r="M55" s="14" t="inlineStr">
        <is>
          <t>Medir en el punto de prueba de la tarjeta; si la fuente no regula, reemplazarla</t>
        </is>
      </c>
      <c r="N55" s="16" t="inlineStr">
        <is>
          <t>La tensión interna de 24 V del analizador se encuentra fuera de tolerancia.</t>
        </is>
      </c>
      <c r="O55" s="10" t="n">
        <v>23.5</v>
      </c>
      <c r="P55" s="10" t="n">
        <v>24.5</v>
      </c>
      <c r="Q55" s="10" t="inlineStr">
        <is>
          <t>Sí</t>
        </is>
      </c>
      <c r="R55" s="10" t="inlineStr">
        <is>
          <t>No</t>
        </is>
      </c>
      <c r="S55" s="11" t="inlineStr"/>
      <c r="T55" s="11" t="inlineStr">
        <is>
          <t>P-ST-001-MAN OPER APOA 370 V2</t>
        </is>
      </c>
      <c r="U55" s="17" t="inlineStr">
        <is>
          <t>Pendiente</t>
        </is>
      </c>
      <c r="V55" s="17" t="n"/>
      <c r="W55" s="10">
        <f>IF($G55&lt;&gt;"Numérico","",IF($V55="","Sin dato",IF(AND(OR(NOT(ISNUMBER($O55)),$V55&gt;=$O55),OR(NOT(ISNUMBER($P55)),$V55&lt;=$P55)),"Dentro de rango","Fuera de rango")))</f>
        <v/>
      </c>
      <c r="X55" s="17" t="n"/>
      <c r="Y55" s="18" t="n"/>
      <c r="Z55" s="16">
        <f>IF(OR($U55="",$U55="Conforme",$U55="No aplica",$U55="Pendiente"),"",$N55&amp;IF($W55="Fuera de rango"," Valor medido: "&amp;TEXT($V55,"0.####")&amp;IF($H55="",""," "&amp;$H55)&amp;IF(AND(ISNUMBER($O55),$V55&lt;$O55),", por debajo del límite inferior de "&amp;TEXT($O55,"0.####")&amp;IF($H55="",""," "&amp;$H55),"")&amp;IF(AND(ISNUMBER($P55),$V55&gt;$P55),", por encima del límite superior de "&amp;TEXT($P55,"0.####")&amp;IF($H55="",""," "&amp;$H55),"")&amp;".","")&amp;IF($Y55="",""," "&amp;$Y55&amp;IF(RIGHT($Y55,1)=".","","."))&amp;" Acción recomendada: "&amp;$M55&amp;IF(RIGHT($M55,1)=".","",".")&amp;IF($J55="Bloqueante"," El equipo no se libera hasta resolver este hallazgo.",IF($J55="Cobrable"," Se incluye en la cotización de repuestos y consumibles."," Se deja registrado como observación.")))</f>
        <v/>
      </c>
    </row>
    <row r="56" ht="48" customHeight="1">
      <c r="A56" s="10" t="inlineStr">
        <is>
          <t>7.1.2</t>
        </is>
      </c>
      <c r="B56" s="10" t="inlineStr">
        <is>
          <t>7. Electrónica y control</t>
        </is>
      </c>
      <c r="C56" s="10" t="inlineStr">
        <is>
          <t>7.1 Alimentación interna</t>
        </is>
      </c>
      <c r="D56" s="11" t="inlineStr">
        <is>
          <t>Riel de voltaje interno de 5 V (DC 5V)</t>
        </is>
      </c>
      <c r="E56" s="11" t="inlineStr">
        <is>
          <t>Voltaje de alimentación de 5 V en la segunda página de ANALOG INPUT</t>
        </is>
      </c>
      <c r="F56" s="12" t="inlineStr">
        <is>
          <t>Leer el valor DC 5V en la segunda página de ANALOG INPUT. Para verificación independiente, medir con multímetro en el punto de prueba de 5 V de la tarjeta ADC.</t>
        </is>
      </c>
      <c r="G56" s="10" t="inlineStr">
        <is>
          <t>Numérico</t>
        </is>
      </c>
      <c r="H56" s="10" t="inlineStr">
        <is>
          <t>V</t>
        </is>
      </c>
      <c r="I56" s="11" t="inlineStr">
        <is>
          <t>Debe mantenerse estable dentro de la tolerancia nominal de 5 V ± 0,5 V</t>
        </is>
      </c>
      <c r="J56" s="13" t="inlineStr">
        <is>
          <t>Bloqueante</t>
        </is>
      </c>
      <c r="K56" s="14" t="inlineStr">
        <is>
          <t>Regulador de la fuente fuera de tolerancia</t>
        </is>
      </c>
      <c r="L56" s="15" t="inlineStr">
        <is>
          <t>7.7.1 ; 7.2.1</t>
        </is>
      </c>
      <c r="M56" s="14" t="inlineStr">
        <is>
          <t>Medir en el punto de prueba; si está fuera de ±0,5 V, reemplazar la fuente</t>
        </is>
      </c>
      <c r="N56" s="16" t="inlineStr">
        <is>
          <t>La tensión interna de 5 V del analizador se encuentra fuera de tolerancia.</t>
        </is>
      </c>
      <c r="O56" s="10" t="n">
        <v>4.5</v>
      </c>
      <c r="P56" s="10" t="n">
        <v>5.5</v>
      </c>
      <c r="Q56" s="10" t="inlineStr">
        <is>
          <t>Sí</t>
        </is>
      </c>
      <c r="R56" s="10" t="inlineStr">
        <is>
          <t>No</t>
        </is>
      </c>
      <c r="S56" s="11" t="inlineStr"/>
      <c r="T56" s="11" t="inlineStr">
        <is>
          <t>P-ST-001-MAN OPER APOA 370 V2</t>
        </is>
      </c>
      <c r="U56" s="17" t="inlineStr">
        <is>
          <t>Pendiente</t>
        </is>
      </c>
      <c r="V56" s="17" t="n"/>
      <c r="W56" s="10">
        <f>IF($G56&lt;&gt;"Numérico","",IF($V56="","Sin dato",IF(AND(OR(NOT(ISNUMBER($O56)),$V56&gt;=$O56),OR(NOT(ISNUMBER($P56)),$V56&lt;=$P56)),"Dentro de rango","Fuera de rango")))</f>
        <v/>
      </c>
      <c r="X56" s="17" t="n"/>
      <c r="Y56" s="18" t="n"/>
      <c r="Z56" s="16">
        <f>IF(OR($U56="",$U56="Conforme",$U56="No aplica",$U56="Pendiente"),"",$N56&amp;IF($W56="Fuera de rango"," Valor medido: "&amp;TEXT($V56,"0.####")&amp;IF($H56="",""," "&amp;$H56)&amp;IF(AND(ISNUMBER($O56),$V56&lt;$O56),", por debajo del límite inferior de "&amp;TEXT($O56,"0.####")&amp;IF($H56="",""," "&amp;$H56),"")&amp;IF(AND(ISNUMBER($P56),$V56&gt;$P56),", por encima del límite superior de "&amp;TEXT($P56,"0.####")&amp;IF($H56="",""," "&amp;$H56),"")&amp;".","")&amp;IF($Y56="",""," "&amp;$Y56&amp;IF(RIGHT($Y56,1)=".","","."))&amp;" Acción recomendada: "&amp;$M56&amp;IF(RIGHT($M56,1)=".","",".")&amp;IF($J56="Bloqueante"," El equipo no se libera hasta resolver este hallazgo.",IF($J56="Cobrable"," Se incluye en la cotización de repuestos y consumibles."," Se deja registrado como observación.")))</f>
        <v/>
      </c>
    </row>
    <row r="57" ht="48" customHeight="1">
      <c r="A57" s="10" t="inlineStr">
        <is>
          <t>7.1.3</t>
        </is>
      </c>
      <c r="B57" s="10" t="inlineStr">
        <is>
          <t>7. Electrónica y control</t>
        </is>
      </c>
      <c r="C57" s="10" t="inlineStr">
        <is>
          <t>7.1 Alimentación interna</t>
        </is>
      </c>
      <c r="D57" s="11" t="inlineStr">
        <is>
          <t>Riel de voltaje interno de 3,3 V</t>
        </is>
      </c>
      <c r="E57" s="11" t="inlineStr">
        <is>
          <t>Que el LED indicador de +3,3 V en la tarjeta AP-CPU-01 o AP-CPU-02 esté encendido</t>
        </is>
      </c>
      <c r="F57" s="12" t="inlineStr">
        <is>
          <t>Con el equipo energizado y la cubierta retirada, observar el LED de +3,3 V en la tarjeta CPU y confirmar que esté encendido de forma fija.</t>
        </is>
      </c>
      <c r="G57" s="10" t="inlineStr">
        <is>
          <t>OK / No OK</t>
        </is>
      </c>
      <c r="H57" s="10" t="inlineStr"/>
      <c r="I57" s="11" t="inlineStr">
        <is>
          <t>LED indicador del riel de 3,3 V de la CPU encendido fijo, de color verde</t>
        </is>
      </c>
      <c r="J57" s="13" t="inlineStr">
        <is>
          <t>Bloqueante</t>
        </is>
      </c>
      <c r="K57" s="14" t="inlineStr">
        <is>
          <t>Regulador de 3,3 V de la CPU sin salida</t>
        </is>
      </c>
      <c r="L57" s="15" t="inlineStr">
        <is>
          <t>7.1.2 ; 7.2.2</t>
        </is>
      </c>
      <c r="M57" s="14" t="inlineStr">
        <is>
          <t>Verificar la alimentación de entrada antes de reemplazar la CPU</t>
        </is>
      </c>
      <c r="N57" s="16" t="inlineStr">
        <is>
          <t>La tarjeta principal de control no recibe su tensión interna de 3,3 V.</t>
        </is>
      </c>
      <c r="O57" s="10" t="n"/>
      <c r="P57" s="10" t="n"/>
      <c r="Q57" s="10" t="inlineStr">
        <is>
          <t>Sí</t>
        </is>
      </c>
      <c r="R57" s="10" t="inlineStr">
        <is>
          <t>Sí</t>
        </is>
      </c>
      <c r="S57" s="11" t="inlineStr"/>
      <c r="T57" s="11" t="inlineStr">
        <is>
          <t>GZ0000117746B SM E APXX-370 (Service Manual)</t>
        </is>
      </c>
      <c r="U57" s="17" t="inlineStr">
        <is>
          <t>Pendiente</t>
        </is>
      </c>
      <c r="V57" s="17" t="n"/>
      <c r="W57" s="10">
        <f>IF($G57&lt;&gt;"Numérico","",IF($V57="","Sin dato",IF(AND(OR(NOT(ISNUMBER($O57)),$V57&gt;=$O57),OR(NOT(ISNUMBER($P57)),$V57&lt;=$P57)),"Dentro de rango","Fuera de rango")))</f>
        <v/>
      </c>
      <c r="X57" s="17" t="n"/>
      <c r="Y57" s="18" t="n"/>
      <c r="Z57" s="16">
        <f>IF(OR($U57="",$U57="Conforme",$U57="No aplica",$U57="Pendiente"),"",$N57&amp;IF($W57="Fuera de rango"," Valor medido: "&amp;TEXT($V57,"0.####")&amp;IF($H57="",""," "&amp;$H57)&amp;IF(AND(ISNUMBER($O57),$V57&lt;$O57),", por debajo del límite inferior de "&amp;TEXT($O57,"0.####")&amp;IF($H57="",""," "&amp;$H57),"")&amp;IF(AND(ISNUMBER($P57),$V57&gt;$P57),", por encima del límite superior de "&amp;TEXT($P57,"0.####")&amp;IF($H57="",""," "&amp;$H57),"")&amp;".","")&amp;IF($Y57="",""," "&amp;$Y57&amp;IF(RIGHT($Y57,1)=".","","."))&amp;" Acción recomendada: "&amp;$M57&amp;IF(RIGHT($M57,1)=".","",".")&amp;IF($J57="Bloqueante"," El equipo no se libera hasta resolver este hallazgo.",IF($J57="Cobrable"," Se incluye en la cotización de repuestos y consumibles."," Se deja registrado como observación.")))</f>
        <v/>
      </c>
    </row>
    <row r="58" ht="48" customHeight="1">
      <c r="A58" s="10" t="inlineStr">
        <is>
          <t>7.2.1</t>
        </is>
      </c>
      <c r="B58" s="10" t="inlineStr">
        <is>
          <t>7. Electrónica y control</t>
        </is>
      </c>
      <c r="C58" s="10" t="inlineStr">
        <is>
          <t>7.2 Tarjetas electrónicas</t>
        </is>
      </c>
      <c r="D58" s="11" t="inlineStr">
        <is>
          <t>LED de estado en placa AP-ADC-05</t>
        </is>
      </c>
      <c r="E58" s="11" t="inlineStr">
        <is>
          <t>LED de alimentación y diagnóstico de la tarjeta analógica principal</t>
        </is>
      </c>
      <c r="F58" s="12" t="inlineStr">
        <is>
          <t>Con el equipo energizado, observar los LED de la tarjeta AP-ADC-05: los de +24 V y +5 V fijos, y los de PIO conmutando durante el ciclo de operación.</t>
        </is>
      </c>
      <c r="G58" s="10" t="inlineStr">
        <is>
          <t>OK / No OK</t>
        </is>
      </c>
      <c r="H58" s="10" t="inlineStr"/>
      <c r="I58" s="11" t="inlineStr">
        <is>
          <t>LED +24 V y +5 V encendidos; LED de PIO conmutando en ciclo de operación normal</t>
        </is>
      </c>
      <c r="J58" s="13" t="inlineStr">
        <is>
          <t>Bloqueante</t>
        </is>
      </c>
      <c r="K58" s="14" t="inlineStr">
        <is>
          <t>Falta alguna tensión de alimentación, o el bus de datos está flojo</t>
        </is>
      </c>
      <c r="L58" s="15" t="inlineStr">
        <is>
          <t>7.1.1 ; 7.1.2 ; 7.2.2</t>
        </is>
      </c>
      <c r="M58" s="14" t="inlineStr">
        <is>
          <t>Seguir la rama de alimentación y del bus antes de reemplazar la tarjeta</t>
        </is>
      </c>
      <c r="N58" s="16" t="inlineStr">
        <is>
          <t>La tarjeta de conversión analógica no recibe alguna de sus tensiones de alimentación o no muestra actividad normal.</t>
        </is>
      </c>
      <c r="O58" s="10" t="n"/>
      <c r="P58" s="10" t="n"/>
      <c r="Q58" s="10" t="inlineStr">
        <is>
          <t>Sí</t>
        </is>
      </c>
      <c r="R58" s="10" t="inlineStr">
        <is>
          <t>Sí</t>
        </is>
      </c>
      <c r="S58" s="11" t="inlineStr">
        <is>
          <t>AP-ADC-05 (tarjeta; sin artículo en el catálogo)</t>
        </is>
      </c>
      <c r="T58" s="11" t="inlineStr">
        <is>
          <t>GZ0000117746B SM E APXX-370 (Service Manual)</t>
        </is>
      </c>
      <c r="U58" s="17" t="inlineStr">
        <is>
          <t>Pendiente</t>
        </is>
      </c>
      <c r="V58" s="17" t="n"/>
      <c r="W58" s="10">
        <f>IF($G58&lt;&gt;"Numérico","",IF($V58="","Sin dato",IF(AND(OR(NOT(ISNUMBER($O58)),$V58&gt;=$O58),OR(NOT(ISNUMBER($P58)),$V58&lt;=$P58)),"Dentro de rango","Fuera de rango")))</f>
        <v/>
      </c>
      <c r="X58" s="17" t="n"/>
      <c r="Y58" s="18" t="n"/>
      <c r="Z58" s="16">
        <f>IF(OR($U58="",$U58="Conforme",$U58="No aplica",$U58="Pendiente"),"",$N58&amp;IF($W58="Fuera de rango"," Valor medido: "&amp;TEXT($V58,"0.####")&amp;IF($H58="",""," "&amp;$H58)&amp;IF(AND(ISNUMBER($O58),$V58&lt;$O58),", por debajo del límite inferior de "&amp;TEXT($O58,"0.####")&amp;IF($H58="",""," "&amp;$H58),"")&amp;IF(AND(ISNUMBER($P58),$V58&gt;$P58),", por encima del límite superior de "&amp;TEXT($P58,"0.####")&amp;IF($H58="",""," "&amp;$H58),"")&amp;".","")&amp;IF($Y58="",""," "&amp;$Y58&amp;IF(RIGHT($Y58,1)=".","","."))&amp;" Acción recomendada: "&amp;$M58&amp;IF(RIGHT($M58,1)=".","",".")&amp;IF($J58="Bloqueante"," El equipo no se libera hasta resolver este hallazgo.",IF($J58="Cobrable"," Se incluye en la cotización de repuestos y consumibles."," Se deja registrado como observación.")))</f>
        <v/>
      </c>
    </row>
    <row r="59" ht="48" customHeight="1">
      <c r="A59" s="10" t="inlineStr">
        <is>
          <t>7.2.2</t>
        </is>
      </c>
      <c r="B59" s="10" t="inlineStr">
        <is>
          <t>7. Electrónica y control</t>
        </is>
      </c>
      <c r="C59" s="10" t="inlineStr">
        <is>
          <t>7.2 Tarjetas electrónicas</t>
        </is>
      </c>
      <c r="D59" s="11" t="inlineStr">
        <is>
          <t>LED de estado de CPU (AP-CPU-02)</t>
        </is>
      </c>
      <c r="E59" s="11" t="inlineStr">
        <is>
          <t>Que el LED de estado de operación de la CPU parpadee continuamente</t>
        </is>
      </c>
      <c r="F59" s="12" t="inlineStr">
        <is>
          <t>Con el equipo energizado, observar durante al menos 30 segundos el LED de estado de la CPU y confirmar que parpadee de forma continua.</t>
        </is>
      </c>
      <c r="G59" s="10" t="inlineStr">
        <is>
          <t>OK / No OK</t>
        </is>
      </c>
      <c r="H59" s="10" t="inlineStr"/>
      <c r="I59" s="11" t="inlineStr">
        <is>
          <t>LED en destello rítmico constante, indicando que el procesador está corriendo</t>
        </is>
      </c>
      <c r="J59" s="13" t="inlineStr">
        <is>
          <t>Bloqueante</t>
        </is>
      </c>
      <c r="K59" s="14" t="inlineStr">
        <is>
          <t>Firmware congelado, o CPU sin inicializar tras una sustitución</t>
        </is>
      </c>
      <c r="L59" s="15" t="inlineStr">
        <is>
          <t>7.6.2 ; 7.6.1 ; 7.4.1</t>
        </is>
      </c>
      <c r="M59" s="14" t="inlineStr">
        <is>
          <t>Verificar SW1 en NORM; si sigue sin destellar, inicializar la CPU y ejecutar el memory scan</t>
        </is>
      </c>
      <c r="N59" s="16" t="inlineStr">
        <is>
          <t>El procesador principal del analizador no muestra actividad: el firmware se encuentra detenido.</t>
        </is>
      </c>
      <c r="O59" s="10" t="n"/>
      <c r="P59" s="10" t="n"/>
      <c r="Q59" s="10" t="inlineStr">
        <is>
          <t>Sí</t>
        </is>
      </c>
      <c r="R59" s="10" t="inlineStr">
        <is>
          <t>Sí</t>
        </is>
      </c>
      <c r="S59" s="11" t="inlineStr">
        <is>
          <t>Printed Board Inst. AP-CPU-02 (AP-370) (3200629662)</t>
        </is>
      </c>
      <c r="T59" s="11" t="inlineStr">
        <is>
          <t>GZ0000117746B SM E APXX-370 (Service Manual)</t>
        </is>
      </c>
      <c r="U59" s="17" t="inlineStr">
        <is>
          <t>Pendiente</t>
        </is>
      </c>
      <c r="V59" s="17" t="n"/>
      <c r="W59" s="10">
        <f>IF($G59&lt;&gt;"Numérico","",IF($V59="","Sin dato",IF(AND(OR(NOT(ISNUMBER($O59)),$V59&gt;=$O59),OR(NOT(ISNUMBER($P59)),$V59&lt;=$P59)),"Dentro de rango","Fuera de rango")))</f>
        <v/>
      </c>
      <c r="X59" s="17" t="n"/>
      <c r="Y59" s="18" t="n"/>
      <c r="Z59" s="16">
        <f>IF(OR($U59="",$U59="Conforme",$U59="No aplica",$U59="Pendiente"),"",$N59&amp;IF($W59="Fuera de rango"," Valor medido: "&amp;TEXT($V59,"0.####")&amp;IF($H59="",""," "&amp;$H59)&amp;IF(AND(ISNUMBER($O59),$V59&lt;$O59),", por debajo del límite inferior de "&amp;TEXT($O59,"0.####")&amp;IF($H59="",""," "&amp;$H59),"")&amp;IF(AND(ISNUMBER($P59),$V59&gt;$P59),", por encima del límite superior de "&amp;TEXT($P59,"0.####")&amp;IF($H59="",""," "&amp;$H59),"")&amp;".","")&amp;IF($Y59="",""," "&amp;$Y59&amp;IF(RIGHT($Y59,1)=".","","."))&amp;" Acción recomendada: "&amp;$M59&amp;IF(RIGHT($M59,1)=".","",".")&amp;IF($J59="Bloqueante"," El equipo no se libera hasta resolver este hallazgo.",IF($J59="Cobrable"," Se incluye en la cotización de repuestos y consumibles."," Se deja registrado como observación.")))</f>
        <v/>
      </c>
    </row>
    <row r="60" ht="48" customHeight="1">
      <c r="A60" s="10" t="inlineStr">
        <is>
          <t>7.2.3</t>
        </is>
      </c>
      <c r="B60" s="10" t="inlineStr">
        <is>
          <t>7. Electrónica y control</t>
        </is>
      </c>
      <c r="C60" s="10" t="inlineStr">
        <is>
          <t>7.2 Tarjetas electrónicas</t>
        </is>
      </c>
      <c r="D60" s="11" t="inlineStr">
        <is>
          <t>LED de comunicación en tarjeta AP-RPL-02A</t>
        </is>
      </c>
      <c r="E60" s="11" t="inlineStr">
        <is>
          <t>LED ST0 (I2C) y ST1 (H8) de la placa de relés, para evaluar comunicación interna</t>
        </is>
      </c>
      <c r="F60" s="12" t="inlineStr">
        <is>
          <t>Con el equipo energizado, observar durante al menos 30 segundos los LED ST0 y ST1 de la tarjeta RPL y registrar si parpadean, quedan fijos o apagados.</t>
        </is>
      </c>
      <c r="G60" s="10" t="inlineStr">
        <is>
          <t>OK / No OK</t>
        </is>
      </c>
      <c r="H60" s="10" t="inlineStr"/>
      <c r="I60" s="11" t="inlineStr">
        <is>
          <t>ST1 parpadeando en ciclo normal y ST0 destellando, indicando comunicación activa con la CPU</t>
        </is>
      </c>
      <c r="J60" s="13" t="inlineStr">
        <is>
          <t>Bloqueante</t>
        </is>
      </c>
      <c r="K60" s="14" t="inlineStr">
        <is>
          <t>Cinta plana I2C floja, o microprocesador H8 bloqueado</t>
        </is>
      </c>
      <c r="L60" s="15" t="inlineStr">
        <is>
          <t>7.2.2 ; 9.4.1</t>
        </is>
      </c>
      <c r="M60" s="14" t="inlineStr">
        <is>
          <t>Reasentar la cinta I2C; si ST1 sigue fijo, reemplazar la tarjeta AP-RPL-02A</t>
        </is>
      </c>
      <c r="N60" s="16" t="inlineStr">
        <is>
          <t>La comunicación interna entre la tarjeta de control y la tarjeta de relés se encuentra interrumpida.</t>
        </is>
      </c>
      <c r="O60" s="10" t="n"/>
      <c r="P60" s="10" t="n"/>
      <c r="Q60" s="10" t="inlineStr">
        <is>
          <t>Sí</t>
        </is>
      </c>
      <c r="R60" s="10" t="inlineStr">
        <is>
          <t>Sí</t>
        </is>
      </c>
      <c r="S60" s="11" t="inlineStr">
        <is>
          <t>AP-RPL-02A (tarjeta; sin artículo en el catálogo)</t>
        </is>
      </c>
      <c r="T60" s="11" t="inlineStr">
        <is>
          <t>GZ0000117746B SM E APXX-370 (Service Manual)</t>
        </is>
      </c>
      <c r="U60" s="17" t="inlineStr">
        <is>
          <t>Pendiente</t>
        </is>
      </c>
      <c r="V60" s="17" t="n"/>
      <c r="W60" s="10">
        <f>IF($G60&lt;&gt;"Numérico","",IF($V60="","Sin dato",IF(AND(OR(NOT(ISNUMBER($O60)),$V60&gt;=$O60),OR(NOT(ISNUMBER($P60)),$V60&lt;=$P60)),"Dentro de rango","Fuera de rango")))</f>
        <v/>
      </c>
      <c r="X60" s="17" t="n"/>
      <c r="Y60" s="18" t="n"/>
      <c r="Z60" s="16">
        <f>IF(OR($U60="",$U60="Conforme",$U60="No aplica",$U60="Pendiente"),"",$N60&amp;IF($W60="Fuera de rango"," Valor medido: "&amp;TEXT($V60,"0.####")&amp;IF($H60="",""," "&amp;$H60)&amp;IF(AND(ISNUMBER($O60),$V60&lt;$O60),", por debajo del límite inferior de "&amp;TEXT($O60,"0.####")&amp;IF($H60="",""," "&amp;$H60),"")&amp;IF(AND(ISNUMBER($P60),$V60&gt;$P60),", por encima del límite superior de "&amp;TEXT($P60,"0.####")&amp;IF($H60="",""," "&amp;$H60),"")&amp;".","")&amp;IF($Y60="",""," "&amp;$Y60&amp;IF(RIGHT($Y60,1)=".","","."))&amp;" Acción recomendada: "&amp;$M60&amp;IF(RIGHT($M60,1)=".","",".")&amp;IF($J60="Bloqueante"," El equipo no se libera hasta resolver este hallazgo.",IF($J60="Cobrable"," Se incluye en la cotización de repuestos y consumibles."," Se deja registrado como observación.")))</f>
        <v/>
      </c>
    </row>
    <row r="61" ht="48" customHeight="1">
      <c r="A61" s="10" t="inlineStr">
        <is>
          <t>7.3.1</t>
        </is>
      </c>
      <c r="B61" s="10" t="inlineStr">
        <is>
          <t>7. Electrónica y control</t>
        </is>
      </c>
      <c r="C61" s="10" t="inlineStr">
        <is>
          <t>7.3 Display</t>
        </is>
      </c>
      <c r="D61" s="11" t="inlineStr">
        <is>
          <t>Respuesta al toque del panel táctil</t>
        </is>
      </c>
      <c r="E61" s="11" t="inlineStr">
        <is>
          <t>Que los botones del visualizador táctil respondan con precisión a la presión física</t>
        </is>
      </c>
      <c r="F61" s="12" t="inlineStr">
        <is>
          <t>Recorrer los menús presionando botones en las cuatro esquinas y en el centro de la pantalla, verificando que la selección responda en el punto exacto donde se presiona.</t>
        </is>
      </c>
      <c r="G61" s="10" t="inlineStr">
        <is>
          <t>OK / No OK</t>
        </is>
      </c>
      <c r="H61" s="10" t="inlineStr"/>
      <c r="I61" s="11" t="inlineStr">
        <is>
          <t>Entrada táctil calibrada; las capas de la pantalla sin separación, burbujas ni sulfatación</t>
        </is>
      </c>
      <c r="J61" s="13" t="inlineStr">
        <is>
          <t>Cobrable</t>
        </is>
      </c>
      <c r="K61" s="14" t="inlineStr">
        <is>
          <t>Delaminación del panel por humedad, o desgaste por objetos punzantes</t>
        </is>
      </c>
      <c r="L61" s="15" t="inlineStr">
        <is>
          <t>10.3.2 ; 1.1.2</t>
        </is>
      </c>
      <c r="M61" s="14" t="inlineStr">
        <is>
          <t>Recalibrar el panel; si no responde, reemplazarlo y controlar la humedad de la cabina</t>
        </is>
      </c>
      <c r="N61" s="16" t="inlineStr">
        <is>
          <t>El panel táctil no responde con precisión al tacto o presenta zonas inoperantes.</t>
        </is>
      </c>
      <c r="O61" s="10" t="n"/>
      <c r="P61" s="10" t="n"/>
      <c r="Q61" s="10" t="inlineStr">
        <is>
          <t>Sí</t>
        </is>
      </c>
      <c r="R61" s="10" t="inlineStr">
        <is>
          <t>Sí</t>
        </is>
      </c>
      <c r="S61" s="11" t="inlineStr">
        <is>
          <t>LCD Unit (Apen LCD + Touch Panel) (3014035613) · Touch Panel // TP3214S1F0 (AST-057 With Tape) (3010040585)</t>
        </is>
      </c>
      <c r="T61" s="11" t="inlineStr">
        <is>
          <t>P-ST-002-MAN MTTO APOA370 V2</t>
        </is>
      </c>
      <c r="U61" s="17" t="inlineStr">
        <is>
          <t>Pendiente</t>
        </is>
      </c>
      <c r="V61" s="17" t="n"/>
      <c r="W61" s="10">
        <f>IF($G61&lt;&gt;"Numérico","",IF($V61="","Sin dato",IF(AND(OR(NOT(ISNUMBER($O61)),$V61&gt;=$O61),OR(NOT(ISNUMBER($P61)),$V61&lt;=$P61)),"Dentro de rango","Fuera de rango")))</f>
        <v/>
      </c>
      <c r="X61" s="17" t="n"/>
      <c r="Y61" s="18" t="n"/>
      <c r="Z61" s="16">
        <f>IF(OR($U61="",$U61="Conforme",$U61="No aplica",$U61="Pendiente"),"",$N61&amp;IF($W61="Fuera de rango"," Valor medido: "&amp;TEXT($V61,"0.####")&amp;IF($H61="",""," "&amp;$H61)&amp;IF(AND(ISNUMBER($O61),$V61&lt;$O61),", por debajo del límite inferior de "&amp;TEXT($O61,"0.####")&amp;IF($H61="",""," "&amp;$H61),"")&amp;IF(AND(ISNUMBER($P61),$V61&gt;$P61),", por encima del límite superior de "&amp;TEXT($P61,"0.####")&amp;IF($H61="",""," "&amp;$H61),"")&amp;".","")&amp;IF($Y61="",""," "&amp;$Y61&amp;IF(RIGHT($Y61,1)=".","","."))&amp;" Acción recomendada: "&amp;$M61&amp;IF(RIGHT($M61,1)=".","",".")&amp;IF($J61="Bloqueante"," El equipo no se libera hasta resolver este hallazgo.",IF($J61="Cobrable"," Se incluye en la cotización de repuestos y consumibles."," Se deja registrado como observación.")))</f>
        <v/>
      </c>
    </row>
    <row r="62" ht="48" customHeight="1">
      <c r="A62" s="10" t="inlineStr">
        <is>
          <t>7.4.1</t>
        </is>
      </c>
      <c r="B62" s="10" t="inlineStr">
        <is>
          <t>7. Electrónica y control</t>
        </is>
      </c>
      <c r="C62" s="10" t="inlineStr">
        <is>
          <t>7.4 Respaldo de reloj y memoria</t>
        </is>
      </c>
      <c r="D62" s="11" t="inlineStr">
        <is>
          <t>Batería de reloj en placa CPU (CR2032)</t>
        </is>
      </c>
      <c r="E62" s="11" t="inlineStr">
        <is>
          <t>Que la batería no presente corrosión y que la alarma BATT no esté activa</t>
        </is>
      </c>
      <c r="F62" s="12" t="inlineStr">
        <is>
          <t>Con el equipo apagado, inspeccionar la pila y su portapilas buscando sulfatación o fuga de electrolito. Verificar además que la hora y la fecha se conserven tras un ciclo de apagado.</t>
        </is>
      </c>
      <c r="G62" s="10" t="inlineStr">
        <is>
          <t>OK / No OK</t>
        </is>
      </c>
      <c r="H62" s="10" t="inlineStr"/>
      <c r="I62" s="11" t="inlineStr">
        <is>
          <t>Batería de litio libre de fugas de electrolito y con retención correcta de hora y fecha del RTC</t>
        </is>
      </c>
      <c r="J62" s="13" t="inlineStr">
        <is>
          <t>Cobrable</t>
        </is>
      </c>
      <c r="K62" s="14" t="inlineStr">
        <is>
          <t>Pila al final de su vida útil (unos 3 años de servicio)</t>
        </is>
      </c>
      <c r="L62" s="15" t="inlineStr">
        <is>
          <t>8.1.3</t>
        </is>
      </c>
      <c r="M62" s="14" t="inlineStr">
        <is>
          <t>Reemplazar la CR2032 y reprogramar fecha, hora y secuencia de calibración</t>
        </is>
      </c>
      <c r="N62" s="16" t="inlineStr">
        <is>
          <t>La batería de respaldo del reloj está agotada o presenta corrosión: el analizador pierde fecha y hora al desconectarse.</t>
        </is>
      </c>
      <c r="O62" s="10" t="n"/>
      <c r="P62" s="10" t="n"/>
      <c r="Q62" s="10" t="inlineStr">
        <is>
          <t>Sí</t>
        </is>
      </c>
      <c r="R62" s="10" t="inlineStr">
        <is>
          <t>Sí</t>
        </is>
      </c>
      <c r="S62" s="11" t="inlineStr">
        <is>
          <t>Batería CR2032 para Horiba AP Series (3200043671)</t>
        </is>
      </c>
      <c r="T62" s="11" t="inlineStr">
        <is>
          <t>P-ST-002-MAN MTTO APOA370 V2</t>
        </is>
      </c>
      <c r="U62" s="17" t="inlineStr">
        <is>
          <t>Pendiente</t>
        </is>
      </c>
      <c r="V62" s="17" t="n"/>
      <c r="W62" s="10">
        <f>IF($G62&lt;&gt;"Numérico","",IF($V62="","Sin dato",IF(AND(OR(NOT(ISNUMBER($O62)),$V62&gt;=$O62),OR(NOT(ISNUMBER($P62)),$V62&lt;=$P62)),"Dentro de rango","Fuera de rango")))</f>
        <v/>
      </c>
      <c r="X62" s="17" t="n"/>
      <c r="Y62" s="18" t="n"/>
      <c r="Z62" s="16">
        <f>IF(OR($U62="",$U62="Conforme",$U62="No aplica",$U62="Pendiente"),"",$N62&amp;IF($W62="Fuera de rango"," Valor medido: "&amp;TEXT($V62,"0.####")&amp;IF($H62="",""," "&amp;$H62)&amp;IF(AND(ISNUMBER($O62),$V62&lt;$O62),", por debajo del límite inferior de "&amp;TEXT($O62,"0.####")&amp;IF($H62="",""," "&amp;$H62),"")&amp;IF(AND(ISNUMBER($P62),$V62&gt;$P62),", por encima del límite superior de "&amp;TEXT($P62,"0.####")&amp;IF($H62="",""," "&amp;$H62),"")&amp;".","")&amp;IF($Y62="",""," "&amp;$Y62&amp;IF(RIGHT($Y62,1)=".","","."))&amp;" Acción recomendada: "&amp;$M62&amp;IF(RIGHT($M62,1)=".","",".")&amp;IF($J62="Bloqueante"," El equipo no se libera hasta resolver este hallazgo.",IF($J62="Cobrable"," Se incluye en la cotización de repuestos y consumibles."," Se deja registrado como observación.")))</f>
        <v/>
      </c>
    </row>
    <row r="63" ht="48" customHeight="1">
      <c r="A63" s="10" t="inlineStr">
        <is>
          <t>7.5.1</t>
        </is>
      </c>
      <c r="B63" s="10" t="inlineStr">
        <is>
          <t>7. Electrónica y control</t>
        </is>
      </c>
      <c r="C63" s="10" t="inlineStr">
        <is>
          <t>7.5 Comunicaciones y almacenamiento</t>
        </is>
      </c>
      <c r="D63" s="11" t="inlineStr">
        <is>
          <t>Inserción de la tarjeta CompactFlash (CF)</t>
        </is>
      </c>
      <c r="E63" s="11" t="inlineStr">
        <is>
          <t>Que la tarjeta CF esté instalada en su ranura y el LED indicador esté encendido</t>
        </is>
      </c>
      <c r="F63" s="12" t="inlineStr">
        <is>
          <t>Con el equipo energizado, verificar que la CF card esté insertada a fondo y observar el LED de identificación en la tarjeta CPU, que debe estar encendido.</t>
        </is>
      </c>
      <c r="G63" s="10" t="inlineStr">
        <is>
          <t>Sí/No</t>
        </is>
      </c>
      <c r="H63" s="10" t="inlineStr"/>
      <c r="I63" s="11" t="inlineStr">
        <is>
          <t>Tarjeta identificada sin alarmas de lectura o escritura (alarma CF ALM inactiva)</t>
        </is>
      </c>
      <c r="J63" s="13" t="inlineStr">
        <is>
          <t>Alerta</t>
        </is>
      </c>
      <c r="K63" s="14" t="inlineStr">
        <is>
          <t>Tarjeta ausente, sin espacio, o no homologada por el fabricante</t>
        </is>
      </c>
      <c r="L63" s="15" t="inlineStr">
        <is>
          <t>7.2.2</t>
        </is>
      </c>
      <c r="M63" s="14" t="inlineStr">
        <is>
          <t>Insertar una CF homologada con espacio libre; sin ella no se guardan promedios ni calibraciones</t>
        </is>
      </c>
      <c r="N63" s="16" t="inlineStr">
        <is>
          <t>La tarjeta de memoria no está presente o no es reconocida, por lo que el analizador no almacena promedios ni calibraciones.</t>
        </is>
      </c>
      <c r="O63" s="10" t="n"/>
      <c r="P63" s="10" t="n"/>
      <c r="Q63" s="10" t="inlineStr">
        <is>
          <t>Sí</t>
        </is>
      </c>
      <c r="R63" s="10" t="inlineStr">
        <is>
          <t>No</t>
        </is>
      </c>
      <c r="S63" s="11" t="inlineStr">
        <is>
          <t>CF card (H3068068001 / 3200381086) — sin artículo en el catálogo</t>
        </is>
      </c>
      <c r="T63" s="11" t="inlineStr">
        <is>
          <t>GZ0000117746B SM E APXX-370 (Service Manual)</t>
        </is>
      </c>
      <c r="U63" s="17" t="inlineStr">
        <is>
          <t>Pendiente</t>
        </is>
      </c>
      <c r="V63" s="17" t="n"/>
      <c r="W63" s="10">
        <f>IF($G63&lt;&gt;"Numérico","",IF($V63="","Sin dato",IF(AND(OR(NOT(ISNUMBER($O63)),$V63&gt;=$O63),OR(NOT(ISNUMBER($P63)),$V63&lt;=$P63)),"Dentro de rango","Fuera de rango")))</f>
        <v/>
      </c>
      <c r="X63" s="17" t="n"/>
      <c r="Y63" s="18" t="n"/>
      <c r="Z63" s="16">
        <f>IF(OR($U63="",$U63="Conforme",$U63="No aplica",$U63="Pendiente"),"",$N63&amp;IF($W63="Fuera de rango"," Valor medido: "&amp;TEXT($V63,"0.####")&amp;IF($H63="",""," "&amp;$H63)&amp;IF(AND(ISNUMBER($O63),$V63&lt;$O63),", por debajo del límite inferior de "&amp;TEXT($O63,"0.####")&amp;IF($H63="",""," "&amp;$H63),"")&amp;IF(AND(ISNUMBER($P63),$V63&gt;$P63),", por encima del límite superior de "&amp;TEXT($P63,"0.####")&amp;IF($H63="",""," "&amp;$H63),"")&amp;".","")&amp;IF($Y63="",""," "&amp;$Y63&amp;IF(RIGHT($Y63,1)=".","","."))&amp;" Acción recomendada: "&amp;$M63&amp;IF(RIGHT($M63,1)=".","",".")&amp;IF($J63="Bloqueante"," El equipo no se libera hasta resolver este hallazgo.",IF($J63="Cobrable"," Se incluye en la cotización de repuestos y consumibles."," Se deja registrado como observación.")))</f>
        <v/>
      </c>
    </row>
    <row r="64" ht="48" customHeight="1">
      <c r="A64" s="10" t="inlineStr">
        <is>
          <t>7.5.2</t>
        </is>
      </c>
      <c r="B64" s="10" t="inlineStr">
        <is>
          <t>7. Electrónica y control</t>
        </is>
      </c>
      <c r="C64" s="10" t="inlineStr">
        <is>
          <t>7.5 Comunicaciones y almacenamiento</t>
        </is>
      </c>
      <c r="D64" s="11" t="inlineStr">
        <is>
          <t>Puerto RS-232C de mantenimiento frontal</t>
        </is>
      </c>
      <c r="E64" s="11" t="inlineStr">
        <is>
          <t>Comunicación conectando el software ApCpuConfig.exe mediante cable cruzado de 9 pines</t>
        </is>
      </c>
      <c r="F64" s="12" t="inlineStr">
        <is>
          <t>Conectar un PC al puerto RS-232C frontal con cable cruzado de 9 pines, abrir el software de configuración a 19200 bps y verificar que establezca comunicación con el equipo.</t>
        </is>
      </c>
      <c r="G64" s="10" t="inlineStr">
        <is>
          <t>OK / No OK</t>
        </is>
      </c>
      <c r="H64" s="10" t="inlineStr"/>
      <c r="I64" s="11" t="inlineStr">
        <is>
          <t>Enlace serial establecido a 19200 bps, con transmisión bidireccional estable</t>
        </is>
      </c>
      <c r="J64" s="13" t="inlineStr">
        <is>
          <t>Alerta</t>
        </is>
      </c>
      <c r="K64" s="14" t="inlineStr">
        <is>
          <t>Cable recto en lugar de cruzado, o baudios mal configurados</t>
        </is>
      </c>
      <c r="L64" s="15" t="inlineStr">
        <is>
          <t>7.6.1</t>
        </is>
      </c>
      <c r="M64" s="14" t="inlineStr">
        <is>
          <t>Usar cable cruzado de 9 pines y verificar el enlace a 19200 bps</t>
        </is>
      </c>
      <c r="N64" s="16" t="inlineStr">
        <is>
          <t>El puerto de comunicación serial no permite establecer el enlace con el software de servicio.</t>
        </is>
      </c>
      <c r="O64" s="10" t="n"/>
      <c r="P64" s="10" t="n"/>
      <c r="Q64" s="10" t="inlineStr">
        <is>
          <t>Sí</t>
        </is>
      </c>
      <c r="R64" s="10" t="inlineStr">
        <is>
          <t>Sí</t>
        </is>
      </c>
      <c r="S64" s="11" t="inlineStr">
        <is>
          <t>Cable assembly RS-232C (3200216747) · RS-232C (For Horiba AP Series) (3014036951)</t>
        </is>
      </c>
      <c r="T64" s="11" t="inlineStr">
        <is>
          <t>ApCpuConfigManual</t>
        </is>
      </c>
      <c r="U64" s="17" t="inlineStr">
        <is>
          <t>Pendiente</t>
        </is>
      </c>
      <c r="V64" s="17" t="n"/>
      <c r="W64" s="10">
        <f>IF($G64&lt;&gt;"Numérico","",IF($V64="","Sin dato",IF(AND(OR(NOT(ISNUMBER($O64)),$V64&gt;=$O64),OR(NOT(ISNUMBER($P64)),$V64&lt;=$P64)),"Dentro de rango","Fuera de rango")))</f>
        <v/>
      </c>
      <c r="X64" s="17" t="n"/>
      <c r="Y64" s="18" t="n"/>
      <c r="Z64" s="16">
        <f>IF(OR($U64="",$U64="Conforme",$U64="No aplica",$U64="Pendiente"),"",$N64&amp;IF($W64="Fuera de rango"," Valor medido: "&amp;TEXT($V64,"0.####")&amp;IF($H64="",""," "&amp;$H64)&amp;IF(AND(ISNUMBER($O64),$V64&lt;$O64),", por debajo del límite inferior de "&amp;TEXT($O64,"0.####")&amp;IF($H64="",""," "&amp;$H64),"")&amp;IF(AND(ISNUMBER($P64),$V64&gt;$P64),", por encima del límite superior de "&amp;TEXT($P64,"0.####")&amp;IF($H64="",""," "&amp;$H64),"")&amp;".","")&amp;IF($Y64="",""," "&amp;$Y64&amp;IF(RIGHT($Y64,1)=".","","."))&amp;" Acción recomendada: "&amp;$M64&amp;IF(RIGHT($M64,1)=".","",".")&amp;IF($J64="Bloqueante"," El equipo no se libera hasta resolver este hallazgo.",IF($J64="Cobrable"," Se incluye en la cotización de repuestos y consumibles."," Se deja registrado como observación.")))</f>
        <v/>
      </c>
    </row>
    <row r="65" ht="48" customHeight="1">
      <c r="A65" s="10" t="inlineStr">
        <is>
          <t>7.5.3</t>
        </is>
      </c>
      <c r="B65" s="10" t="inlineStr">
        <is>
          <t>7. Electrónica y control</t>
        </is>
      </c>
      <c r="C65" s="10" t="inlineStr">
        <is>
          <t>7.5 Comunicaciones y almacenamiento</t>
        </is>
      </c>
      <c r="D65" s="11" t="inlineStr">
        <is>
          <t>Puerto RJ-45 Ethernet trasero</t>
        </is>
      </c>
      <c r="E65" s="11" t="inlineStr">
        <is>
          <t>Estado físico del puerto de red y de los LED verde y amarillo con el enlace activo</t>
        </is>
      </c>
      <c r="F65" s="12" t="inlineStr">
        <is>
          <t>Inspeccionar el conector RJ-45 trasero buscando pines sucios o clip roto, conectar el patch cord y verificar que el LED de enlace se ilumine de forma fija.</t>
        </is>
      </c>
      <c r="G65" s="10" t="inlineStr">
        <is>
          <t>OK / No OK</t>
        </is>
      </c>
      <c r="H65" s="10" t="inlineStr"/>
      <c r="I65" s="11" t="inlineStr">
        <is>
          <t>Conector RJ-45 limpio y firme; el LED de Link Status se mantiene iluminado fijo</t>
        </is>
      </c>
      <c r="J65" s="13" t="inlineStr">
        <is>
          <t>Alerta</t>
        </is>
      </c>
      <c r="K65" s="14" t="inlineStr">
        <is>
          <t>Conector sucio, clip roto, o enlace de red caído</t>
        </is>
      </c>
      <c r="L65" s="15" t="inlineStr">
        <is>
          <t>7.5.2</t>
        </is>
      </c>
      <c r="M65" s="14" t="inlineStr">
        <is>
          <t>Revisar el patch cord y el puerto del switch de la estación</t>
        </is>
      </c>
      <c r="N65" s="16" t="inlineStr">
        <is>
          <t>El puerto de red del analizador no establece enlace con la red de la estación.</t>
        </is>
      </c>
      <c r="O65" s="10" t="n"/>
      <c r="P65" s="10" t="n"/>
      <c r="Q65" s="10" t="inlineStr">
        <is>
          <t>Sí</t>
        </is>
      </c>
      <c r="R65" s="10" t="inlineStr">
        <is>
          <t>Sí</t>
        </is>
      </c>
      <c r="S65" s="11" t="inlineStr"/>
      <c r="T65" s="11" t="inlineStr">
        <is>
          <t>GZ0000117746B SM E APXX-370 (Service Manual)</t>
        </is>
      </c>
      <c r="U65" s="17" t="inlineStr">
        <is>
          <t>Pendiente</t>
        </is>
      </c>
      <c r="V65" s="17" t="n"/>
      <c r="W65" s="10">
        <f>IF($G65&lt;&gt;"Numérico","",IF($V65="","Sin dato",IF(AND(OR(NOT(ISNUMBER($O65)),$V65&gt;=$O65),OR(NOT(ISNUMBER($P65)),$V65&lt;=$P65)),"Dentro de rango","Fuera de rango")))</f>
        <v/>
      </c>
      <c r="X65" s="17" t="n"/>
      <c r="Y65" s="18" t="n"/>
      <c r="Z65" s="16">
        <f>IF(OR($U65="",$U65="Conforme",$U65="No aplica",$U65="Pendiente"),"",$N65&amp;IF($W65="Fuera de rango"," Valor medido: "&amp;TEXT($V65,"0.####")&amp;IF($H65="",""," "&amp;$H65)&amp;IF(AND(ISNUMBER($O65),$V65&lt;$O65),", por debajo del límite inferior de "&amp;TEXT($O65,"0.####")&amp;IF($H65="",""," "&amp;$H65),"")&amp;IF(AND(ISNUMBER($P65),$V65&gt;$P65),", por encima del límite superior de "&amp;TEXT($P65,"0.####")&amp;IF($H65="",""," "&amp;$H65),"")&amp;".","")&amp;IF($Y65="",""," "&amp;$Y65&amp;IF(RIGHT($Y65,1)=".","","."))&amp;" Acción recomendada: "&amp;$M65&amp;IF(RIGHT($M65,1)=".","",".")&amp;IF($J65="Bloqueante"," El equipo no se libera hasta resolver este hallazgo.",IF($J65="Cobrable"," Se incluye en la cotización de repuestos y consumibles."," Se deja registrado como observación.")))</f>
        <v/>
      </c>
    </row>
    <row r="66" ht="48" customHeight="1">
      <c r="A66" s="10" t="inlineStr">
        <is>
          <t>7.6.1</t>
        </is>
      </c>
      <c r="B66" s="10" t="inlineStr">
        <is>
          <t>7. Electrónica y control</t>
        </is>
      </c>
      <c r="C66" s="10" t="inlineStr">
        <is>
          <t>7.6 Configuración de hardware</t>
        </is>
      </c>
      <c r="D66" s="11" t="inlineStr">
        <is>
          <t>DIP switch SW5 en placa AP-CPU-01/02</t>
        </is>
      </c>
      <c r="E66" s="11" t="inlineStr">
        <is>
          <t>Configuración física del interruptor de 8 vías SW5 de la tarjeta CPU</t>
        </is>
      </c>
      <c r="F66" s="12" t="inlineStr">
        <is>
          <t>Con el equipo apagado, ubicar el bloque SW5 en la tarjeta CPU y leer la posición de los ocho interruptores. Fotografiar la configuración antes de modificar nada.</t>
        </is>
      </c>
      <c r="G66" s="10" t="inlineStr">
        <is>
          <t>OK / No OK</t>
        </is>
      </c>
      <c r="H66" s="10" t="inlineStr"/>
      <c r="I66" s="11" t="inlineStr">
        <is>
          <t>Interruptores en OFF para operación normal, tras el mantenimiento o la inicialización</t>
        </is>
      </c>
      <c r="J66" s="13" t="inlineStr">
        <is>
          <t>Alerta</t>
        </is>
      </c>
      <c r="K66" s="14" t="inlineStr">
        <is>
          <t>Configuración de comunicaciones alterada tras una intervención</t>
        </is>
      </c>
      <c r="L66" s="15" t="inlineStr">
        <is>
          <t>7.2.2 ; 7.5.2</t>
        </is>
      </c>
      <c r="M66" s="14" t="inlineStr">
        <is>
          <t>Restituir la configuración documentada de SW5 y reiniciar el equipo</t>
        </is>
      </c>
      <c r="N66" s="16" t="inlineStr">
        <is>
          <t>La configuración de la tarjeta principal de control no corresponde a la documentada para operación normal.</t>
        </is>
      </c>
      <c r="O66" s="10" t="n"/>
      <c r="P66" s="10" t="n"/>
      <c r="Q66" s="10" t="inlineStr">
        <is>
          <t>Sí</t>
        </is>
      </c>
      <c r="R66" s="10" t="inlineStr">
        <is>
          <t>Sí</t>
        </is>
      </c>
      <c r="S66" s="11" t="inlineStr"/>
      <c r="T66" s="11" t="inlineStr">
        <is>
          <t>GZ0000117746B SM E APXX-370 (Service Manual)</t>
        </is>
      </c>
      <c r="U66" s="17" t="inlineStr">
        <is>
          <t>Pendiente</t>
        </is>
      </c>
      <c r="V66" s="17" t="n"/>
      <c r="W66" s="10">
        <f>IF($G66&lt;&gt;"Numérico","",IF($V66="","Sin dato",IF(AND(OR(NOT(ISNUMBER($O66)),$V66&gt;=$O66),OR(NOT(ISNUMBER($P66)),$V66&lt;=$P66)),"Dentro de rango","Fuera de rango")))</f>
        <v/>
      </c>
      <c r="X66" s="17" t="n"/>
      <c r="Y66" s="18" t="n"/>
      <c r="Z66" s="16">
        <f>IF(OR($U66="",$U66="Conforme",$U66="No aplica",$U66="Pendiente"),"",$N66&amp;IF($W66="Fuera de rango"," Valor medido: "&amp;TEXT($V66,"0.####")&amp;IF($H66="",""," "&amp;$H66)&amp;IF(AND(ISNUMBER($O66),$V66&lt;$O66),", por debajo del límite inferior de "&amp;TEXT($O66,"0.####")&amp;IF($H66="",""," "&amp;$H66),"")&amp;IF(AND(ISNUMBER($P66),$V66&gt;$P66),", por encima del límite superior de "&amp;TEXT($P66,"0.####")&amp;IF($H66="",""," "&amp;$H66),"")&amp;".","")&amp;IF($Y66="",""," "&amp;$Y66&amp;IF(RIGHT($Y66,1)=".","","."))&amp;" Acción recomendada: "&amp;$M66&amp;IF(RIGHT($M66,1)=".","",".")&amp;IF($J66="Bloqueante"," El equipo no se libera hasta resolver este hallazgo.",IF($J66="Cobrable"," Se incluye en la cotización de repuestos y consumibles."," Se deja registrado como observación.")))</f>
        <v/>
      </c>
    </row>
    <row r="67" ht="36" customHeight="1">
      <c r="A67" s="10" t="inlineStr">
        <is>
          <t>7.6.2</t>
        </is>
      </c>
      <c r="B67" s="10" t="inlineStr">
        <is>
          <t>7. Electrónica y control</t>
        </is>
      </c>
      <c r="C67" s="10" t="inlineStr">
        <is>
          <t>7.6 Configuración de hardware</t>
        </is>
      </c>
      <c r="D67" s="11" t="inlineStr">
        <is>
          <t>DIP switch SW1 de inicialización de CPU</t>
        </is>
      </c>
      <c r="E67" s="11" t="inlineStr">
        <is>
          <t>Posición física del switch de modo de arranque de la CPU</t>
        </is>
      </c>
      <c r="F67" s="12" t="inlineStr">
        <is>
          <t>Con el equipo apagado, ubicar el switch SW1 en la tarjeta CPU y verificar que esté en la posición NORM.</t>
        </is>
      </c>
      <c r="G67" s="10" t="inlineStr">
        <is>
          <t>OK / No OK</t>
        </is>
      </c>
      <c r="H67" s="10" t="inlineStr"/>
      <c r="I67" s="11" t="inlineStr">
        <is>
          <t>Debe estar en NORM para operación de campo; INIT solo para reset</t>
        </is>
      </c>
      <c r="J67" s="13" t="inlineStr">
        <is>
          <t>Alerta</t>
        </is>
      </c>
      <c r="K67" s="14" t="inlineStr">
        <is>
          <t>Switch dejado en INIT tras una intervención de servicio</t>
        </is>
      </c>
      <c r="L67" s="15" t="inlineStr">
        <is>
          <t>7.2.2</t>
        </is>
      </c>
      <c r="M67" s="14" t="inlineStr">
        <is>
          <t>Devolver SW1 a NORM y reiniciar el equipo</t>
        </is>
      </c>
      <c r="N67" s="16" t="inlineStr">
        <is>
          <t>El selector de arranque de la tarjeta principal quedó en posición de inicialización y no en operación normal.</t>
        </is>
      </c>
      <c r="O67" s="10" t="n"/>
      <c r="P67" s="10" t="n"/>
      <c r="Q67" s="10" t="inlineStr">
        <is>
          <t>Sí</t>
        </is>
      </c>
      <c r="R67" s="10" t="inlineStr">
        <is>
          <t>Sí</t>
        </is>
      </c>
      <c r="S67" s="11" t="inlineStr"/>
      <c r="T67" s="11" t="inlineStr">
        <is>
          <t>GZ0000117746B SM E APXX-370 (Service Manual)</t>
        </is>
      </c>
      <c r="U67" s="17" t="inlineStr">
        <is>
          <t>Pendiente</t>
        </is>
      </c>
      <c r="V67" s="17" t="n"/>
      <c r="W67" s="10">
        <f>IF($G67&lt;&gt;"Numérico","",IF($V67="","Sin dato",IF(AND(OR(NOT(ISNUMBER($O67)),$V67&gt;=$O67),OR(NOT(ISNUMBER($P67)),$V67&lt;=$P67)),"Dentro de rango","Fuera de rango")))</f>
        <v/>
      </c>
      <c r="X67" s="17" t="n"/>
      <c r="Y67" s="18" t="n"/>
      <c r="Z67" s="16">
        <f>IF(OR($U67="",$U67="Conforme",$U67="No aplica",$U67="Pendiente"),"",$N67&amp;IF($W67="Fuera de rango"," Valor medido: "&amp;TEXT($V67,"0.####")&amp;IF($H67="",""," "&amp;$H67)&amp;IF(AND(ISNUMBER($O67),$V67&lt;$O67),", por debajo del límite inferior de "&amp;TEXT($O67,"0.####")&amp;IF($H67="",""," "&amp;$H67),"")&amp;IF(AND(ISNUMBER($P67),$V67&gt;$P67),", por encima del límite superior de "&amp;TEXT($P67,"0.####")&amp;IF($H67="",""," "&amp;$H67),"")&amp;".","")&amp;IF($Y67="",""," "&amp;$Y67&amp;IF(RIGHT($Y67,1)=".","","."))&amp;" Acción recomendada: "&amp;$M67&amp;IF(RIGHT($M67,1)=".","",".")&amp;IF($J67="Bloqueante"," El equipo no se libera hasta resolver este hallazgo.",IF($J67="Cobrable"," Se incluye en la cotización de repuestos y consumibles."," Se deja registrado como observación.")))</f>
        <v/>
      </c>
    </row>
    <row r="68" ht="48" customHeight="1">
      <c r="A68" s="10" t="inlineStr">
        <is>
          <t>7.7.1</t>
        </is>
      </c>
      <c r="B68" s="10" t="inlineStr">
        <is>
          <t>7. Electrónica y control</t>
        </is>
      </c>
      <c r="C68" s="10" t="inlineStr">
        <is>
          <t>7.7 Protección eléctrica</t>
        </is>
      </c>
      <c r="D68" s="11" t="inlineStr">
        <is>
          <t>Fusibles traseros de red de CA</t>
        </is>
      </c>
      <c r="E68" s="11" t="inlineStr">
        <is>
          <t>Filamento de los fusibles del receptáculo del AC Inlet</t>
        </is>
      </c>
      <c r="F68" s="12" t="inlineStr">
        <is>
          <t>Con el equipo apagado y desconectado, extraer los fusibles del portafusible del AC Inlet trasero, verificar su continuidad con multímetro y leer el tipo y amperaje impresos.</t>
        </is>
      </c>
      <c r="G68" s="10" t="inlineStr">
        <is>
          <t>OK / No OK</t>
        </is>
      </c>
      <c r="H68" s="10" t="inlineStr"/>
      <c r="I68" s="11" t="inlineStr">
        <is>
          <t>Fusibles del amperaje correcto, continuos y sin rastros de cortocircuito o quemadura. Especificación PENDIENTE DE VALIDAR</t>
        </is>
      </c>
      <c r="J68" s="13" t="inlineStr">
        <is>
          <t>Bloqueante</t>
        </is>
      </c>
      <c r="K68" s="14" t="inlineStr">
        <is>
          <t>Fusible abierto por sobrecorriente o por falla de la fuente</t>
        </is>
      </c>
      <c r="L68" s="15" t="inlineStr">
        <is>
          <t>7.1.1 ; 7.1.2</t>
        </is>
      </c>
      <c r="M68" s="14" t="inlineStr">
        <is>
          <t>Reponer el fusible del tipo y amperaje correctos; si vuelve a abrir, buscar el cortocircuito antes de insistir</t>
        </is>
      </c>
      <c r="N68" s="16" t="inlineStr">
        <is>
          <t>El fusible de protección de la entrada de alimentación se encuentra abierto.</t>
        </is>
      </c>
      <c r="O68" s="10" t="n"/>
      <c r="P68" s="10" t="n"/>
      <c r="Q68" s="10" t="inlineStr">
        <is>
          <t>Sí</t>
        </is>
      </c>
      <c r="R68" s="10" t="inlineStr">
        <is>
          <t>Sí</t>
        </is>
      </c>
      <c r="S68" s="11" t="inlineStr">
        <is>
          <t>Fusibles de red AC — especificación y artículo PENDIENTES DE VALIDAR</t>
        </is>
      </c>
      <c r="T68" s="11" t="inlineStr">
        <is>
          <t>P-ST-001-MAN OPER APOA 370 V2</t>
        </is>
      </c>
      <c r="U68" s="17" t="inlineStr">
        <is>
          <t>Pendiente</t>
        </is>
      </c>
      <c r="V68" s="17" t="n"/>
      <c r="W68" s="10">
        <f>IF($G68&lt;&gt;"Numérico","",IF($V68="","Sin dato",IF(AND(OR(NOT(ISNUMBER($O68)),$V68&gt;=$O68),OR(NOT(ISNUMBER($P68)),$V68&lt;=$P68)),"Dentro de rango","Fuera de rango")))</f>
        <v/>
      </c>
      <c r="X68" s="17" t="n"/>
      <c r="Y68" s="18" t="n"/>
      <c r="Z68" s="16">
        <f>IF(OR($U68="",$U68="Conforme",$U68="No aplica",$U68="Pendiente"),"",$N68&amp;IF($W68="Fuera de rango"," Valor medido: "&amp;TEXT($V68,"0.####")&amp;IF($H68="",""," "&amp;$H68)&amp;IF(AND(ISNUMBER($O68),$V68&lt;$O68),", por debajo del límite inferior de "&amp;TEXT($O68,"0.####")&amp;IF($H68="",""," "&amp;$H68),"")&amp;IF(AND(ISNUMBER($P68),$V68&gt;$P68),", por encima del límite superior de "&amp;TEXT($P68,"0.####")&amp;IF($H68="",""," "&amp;$H68),"")&amp;".","")&amp;IF($Y68="",""," "&amp;$Y68&amp;IF(RIGHT($Y68,1)=".","","."))&amp;" Acción recomendada: "&amp;$M68&amp;IF(RIGHT($M68,1)=".","",".")&amp;IF($J68="Bloqueante"," El equipo no se libera hasta resolver este hallazgo.",IF($J68="Cobrable"," Se incluye en la cotización de repuestos y consumibles."," Se deja registrado como observación.")))</f>
        <v/>
      </c>
    </row>
    <row r="69" ht="48" customHeight="1">
      <c r="A69" s="10" t="inlineStr">
        <is>
          <t>8.1.1</t>
        </is>
      </c>
      <c r="B69" s="10" t="inlineStr">
        <is>
          <t>8. Filtros y consumibles</t>
        </is>
      </c>
      <c r="C69" s="10" t="inlineStr">
        <is>
          <t>8.1 Periodicidad de reemplazo</t>
        </is>
      </c>
      <c r="D69" s="11" t="inlineStr">
        <is>
          <t>Reemplazo del elemento filtrante PA-10L</t>
        </is>
      </c>
      <c r="E69" s="11" t="inlineStr">
        <is>
          <t>Tiempo transcurrido desde la última sustitución del filtro de teflón</t>
        </is>
      </c>
      <c r="F69" s="12" t="inlineStr">
        <is>
          <t>Consultar la etiqueta de cambio pegada en el portafiltros o el registro de mantenimiento, y calcular los días transcurridos desde la última sustitución del elemento.</t>
        </is>
      </c>
      <c r="G69" s="10" t="inlineStr">
        <is>
          <t>Fecha</t>
        </is>
      </c>
      <c r="H69" s="10" t="inlineStr"/>
      <c r="I69" s="11" t="inlineStr">
        <is>
          <t>Frecuencia de cambio no mayor a dos semanas en condiciones estándar de muestreo</t>
        </is>
      </c>
      <c r="J69" s="13" t="inlineStr">
        <is>
          <t>Cobrable</t>
        </is>
      </c>
      <c r="K69" s="14" t="inlineStr">
        <is>
          <t>Más de dos semanas desde el último cambio</t>
        </is>
      </c>
      <c r="L69" s="15" t="inlineStr">
        <is>
          <t>4.1.1</t>
        </is>
      </c>
      <c r="M69" s="14" t="inlineStr">
        <is>
          <t>Reemplazar el elemento y registrar la fecha en el portafiltros</t>
        </is>
      </c>
      <c r="N69" s="16" t="inlineStr">
        <is>
          <t>El filtro de partículas superó el intervalo de reemplazo de dos semanas recomendado por el fabricante.</t>
        </is>
      </c>
      <c r="O69" s="10" t="n"/>
      <c r="P69" s="10" t="n"/>
      <c r="Q69" s="10" t="inlineStr">
        <is>
          <t>Sí</t>
        </is>
      </c>
      <c r="R69" s="10" t="inlineStr">
        <is>
          <t>No</t>
        </is>
      </c>
      <c r="S69" s="11" t="inlineStr">
        <is>
          <t>Filter Element PA-10L diámetro 54*0.5t (24pc/set) (3200043947; alt. 3200043947-1PC)</t>
        </is>
      </c>
      <c r="T69" s="11" t="inlineStr">
        <is>
          <t>P-ST-002-MAN MTTO APOA370 V2</t>
        </is>
      </c>
      <c r="U69" s="17" t="inlineStr">
        <is>
          <t>Pendiente</t>
        </is>
      </c>
      <c r="V69" s="17" t="n"/>
      <c r="W69" s="10">
        <f>IF($G69&lt;&gt;"Numérico","",IF($V69="","Sin dato",IF(AND(OR(NOT(ISNUMBER($O69)),$V69&gt;=$O69),OR(NOT(ISNUMBER($P69)),$V69&lt;=$P69)),"Dentro de rango","Fuera de rango")))</f>
        <v/>
      </c>
      <c r="X69" s="17" t="n"/>
      <c r="Y69" s="18" t="n"/>
      <c r="Z69" s="16">
        <f>IF(OR($U69="",$U69="Conforme",$U69="No aplica",$U69="Pendiente"),"",$N69&amp;IF($W69="Fuera de rango"," Valor medido: "&amp;TEXT($V69,"0.####")&amp;IF($H69="",""," "&amp;$H69)&amp;IF(AND(ISNUMBER($O69),$V69&lt;$O69),", por debajo del límite inferior de "&amp;TEXT($O69,"0.####")&amp;IF($H69="",""," "&amp;$H69),"")&amp;IF(AND(ISNUMBER($P69),$V69&gt;$P69),", por encima del límite superior de "&amp;TEXT($P69,"0.####")&amp;IF($H69="",""," "&amp;$H69),"")&amp;".","")&amp;IF($Y69="",""," "&amp;$Y69&amp;IF(RIGHT($Y69,1)=".","","."))&amp;" Acción recomendada: "&amp;$M69&amp;IF(RIGHT($M69,1)=".","",".")&amp;IF($J69="Bloqueante"," El equipo no se libera hasta resolver este hallazgo.",IF($J69="Cobrable"," Se incluye en la cotización de repuestos y consumibles."," Se deja registrado como observación.")))</f>
        <v/>
      </c>
    </row>
    <row r="70" ht="48" customHeight="1">
      <c r="A70" s="10" t="inlineStr">
        <is>
          <t>8.1.2</t>
        </is>
      </c>
      <c r="B70" s="10" t="inlineStr">
        <is>
          <t>8. Filtros y consumibles</t>
        </is>
      </c>
      <c r="C70" s="10" t="inlineStr">
        <is>
          <t>8.1 Periodicidad de reemplazo</t>
        </is>
      </c>
      <c r="D70" s="11" t="inlineStr">
        <is>
          <t>Reemplazo de la junta tórica O-Ring G50</t>
        </is>
      </c>
      <c r="E70" s="11" t="inlineStr">
        <is>
          <t>Intervalo transcurrido desde el cambio de la junta del portafiltros</t>
        </is>
      </c>
      <c r="F70" s="12" t="inlineStr">
        <is>
          <t>Consultar el registro de mantenimiento del equipo y calcular el tiempo transcurrido desde el último cambio de la junta tórica del portafiltros.</t>
        </is>
      </c>
      <c r="G70" s="10" t="inlineStr">
        <is>
          <t>Fecha</t>
        </is>
      </c>
      <c r="H70" s="10" t="inlineStr"/>
      <c r="I70" s="11" t="inlineStr">
        <is>
          <t>Sustitución recomendada anual, para prevenir fugas y mantener la estanqueidad neumática</t>
        </is>
      </c>
      <c r="J70" s="13" t="inlineStr">
        <is>
          <t>Cobrable</t>
        </is>
      </c>
      <c r="K70" s="14" t="inlineStr">
        <is>
          <t>Más de un año desde el último cambio</t>
        </is>
      </c>
      <c r="L70" s="15" t="inlineStr">
        <is>
          <t>4.1.2</t>
        </is>
      </c>
      <c r="M70" s="14" t="inlineStr">
        <is>
          <t>Reemplazar la junta tórica y registrar la fecha</t>
        </is>
      </c>
      <c r="N70" s="16" t="inlineStr">
        <is>
          <t>La junta tórica del portafiltros superó el intervalo de reemplazo anual recomendado por el fabricante.</t>
        </is>
      </c>
      <c r="O70" s="10" t="n"/>
      <c r="P70" s="10" t="n"/>
      <c r="Q70" s="10" t="inlineStr">
        <is>
          <t>Sí</t>
        </is>
      </c>
      <c r="R70" s="10" t="inlineStr">
        <is>
          <t>No</t>
        </is>
      </c>
      <c r="S70" s="11" t="inlineStr">
        <is>
          <t>O-Ring 160ﾟC12H drawing vacuum APSA / APOA (3014059499)</t>
        </is>
      </c>
      <c r="T70" s="11" t="inlineStr">
        <is>
          <t>P-ST-002-MAN MTTO APOA370 V2</t>
        </is>
      </c>
      <c r="U70" s="17" t="inlineStr">
        <is>
          <t>Pendiente</t>
        </is>
      </c>
      <c r="V70" s="17" t="n"/>
      <c r="W70" s="10">
        <f>IF($G70&lt;&gt;"Numérico","",IF($V70="","Sin dato",IF(AND(OR(NOT(ISNUMBER($O70)),$V70&gt;=$O70),OR(NOT(ISNUMBER($P70)),$V70&lt;=$P70)),"Dentro de rango","Fuera de rango")))</f>
        <v/>
      </c>
      <c r="X70" s="17" t="n"/>
      <c r="Y70" s="18" t="n"/>
      <c r="Z70" s="16">
        <f>IF(OR($U70="",$U70="Conforme",$U70="No aplica",$U70="Pendiente"),"",$N70&amp;IF($W70="Fuera de rango"," Valor medido: "&amp;TEXT($V70,"0.####")&amp;IF($H70="",""," "&amp;$H70)&amp;IF(AND(ISNUMBER($O70),$V70&lt;$O70),", por debajo del límite inferior de "&amp;TEXT($O70,"0.####")&amp;IF($H70="",""," "&amp;$H70),"")&amp;IF(AND(ISNUMBER($P70),$V70&gt;$P70),", por encima del límite superior de "&amp;TEXT($P70,"0.####")&amp;IF($H70="",""," "&amp;$H70),"")&amp;".","")&amp;IF($Y70="",""," "&amp;$Y70&amp;IF(RIGHT($Y70,1)=".","","."))&amp;" Acción recomendada: "&amp;$M70&amp;IF(RIGHT($M70,1)=".","",".")&amp;IF($J70="Bloqueante"," El equipo no se libera hasta resolver este hallazgo.",IF($J70="Cobrable"," Se incluye en la cotización de repuestos y consumibles."," Se deja registrado como observación.")))</f>
        <v/>
      </c>
    </row>
    <row r="71" ht="48" customHeight="1">
      <c r="A71" s="10" t="inlineStr">
        <is>
          <t>8.1.3</t>
        </is>
      </c>
      <c r="B71" s="10" t="inlineStr">
        <is>
          <t>8. Filtros y consumibles</t>
        </is>
      </c>
      <c r="C71" s="10" t="inlineStr">
        <is>
          <t>8.1 Periodicidad de reemplazo</t>
        </is>
      </c>
      <c r="D71" s="11" t="inlineStr">
        <is>
          <t>Vida útil de la batería de litio (CR2032)</t>
        </is>
      </c>
      <c r="E71" s="11" t="inlineStr">
        <is>
          <t>Tiempo transcurrido desde la instalación de la batería de respaldo de la CPU</t>
        </is>
      </c>
      <c r="F71" s="12" t="inlineStr">
        <is>
          <t>Consultar el registro de mantenimiento o la marca de fecha de la batería y calcular el tiempo transcurrido desde su instalación.</t>
        </is>
      </c>
      <c r="G71" s="10" t="inlineStr">
        <is>
          <t>Fecha</t>
        </is>
      </c>
      <c r="H71" s="10" t="inlineStr"/>
      <c r="I71" s="11" t="inlineStr">
        <is>
          <t>Reemplazo recomendado cada 3 años, para evitar pérdida de datos en ciclos de apagado</t>
        </is>
      </c>
      <c r="J71" s="13" t="inlineStr">
        <is>
          <t>Cobrable</t>
        </is>
      </c>
      <c r="K71" s="14" t="inlineStr">
        <is>
          <t>Más de tres años desde la instalación</t>
        </is>
      </c>
      <c r="L71" s="15" t="inlineStr">
        <is>
          <t>7.4.1</t>
        </is>
      </c>
      <c r="M71" s="14" t="inlineStr">
        <is>
          <t>Reemplazar la batería y registrar la fecha</t>
        </is>
      </c>
      <c r="N71" s="16" t="inlineStr">
        <is>
          <t>La batería de respaldo superó el intervalo de reemplazo de tres años recomendado por el fabricante.</t>
        </is>
      </c>
      <c r="O71" s="10" t="n"/>
      <c r="P71" s="10" t="n"/>
      <c r="Q71" s="10" t="inlineStr">
        <is>
          <t>Sí</t>
        </is>
      </c>
      <c r="R71" s="10" t="inlineStr">
        <is>
          <t>No</t>
        </is>
      </c>
      <c r="S71" s="11" t="inlineStr">
        <is>
          <t>Batería CR2032 para Horiba AP Series (3200043671)</t>
        </is>
      </c>
      <c r="T71" s="11" t="inlineStr">
        <is>
          <t>P-ST-002-MAN MTTO APOA370 V2</t>
        </is>
      </c>
      <c r="U71" s="17" t="inlineStr">
        <is>
          <t>Pendiente</t>
        </is>
      </c>
      <c r="V71" s="17" t="n"/>
      <c r="W71" s="10">
        <f>IF($G71&lt;&gt;"Numérico","",IF($V71="","Sin dato",IF(AND(OR(NOT(ISNUMBER($O71)),$V71&gt;=$O71),OR(NOT(ISNUMBER($P71)),$V71&lt;=$P71)),"Dentro de rango","Fuera de rango")))</f>
        <v/>
      </c>
      <c r="X71" s="17" t="n"/>
      <c r="Y71" s="18" t="n"/>
      <c r="Z71" s="16">
        <f>IF(OR($U71="",$U71="Conforme",$U71="No aplica",$U71="Pendiente"),"",$N71&amp;IF($W71="Fuera de rango"," Valor medido: "&amp;TEXT($V71,"0.####")&amp;IF($H71="",""," "&amp;$H71)&amp;IF(AND(ISNUMBER($O71),$V71&lt;$O71),", por debajo del límite inferior de "&amp;TEXT($O71,"0.####")&amp;IF($H71="",""," "&amp;$H71),"")&amp;IF(AND(ISNUMBER($P71),$V71&gt;$P71),", por encima del límite superior de "&amp;TEXT($P71,"0.####")&amp;IF($H71="",""," "&amp;$H71),"")&amp;".","")&amp;IF($Y71="",""," "&amp;$Y71&amp;IF(RIGHT($Y71,1)=".","","."))&amp;" Acción recomendada: "&amp;$M71&amp;IF(RIGHT($M71,1)=".","",".")&amp;IF($J71="Bloqueante"," El equipo no se libera hasta resolver este hallazgo.",IF($J71="Cobrable"," Se incluye en la cotización de repuestos y consumibles."," Se deja registrado como observación.")))</f>
        <v/>
      </c>
    </row>
    <row r="72" ht="48" customHeight="1">
      <c r="A72" s="10" t="inlineStr">
        <is>
          <t>8.2.1</t>
        </is>
      </c>
      <c r="B72" s="10" t="inlineStr">
        <is>
          <t>8. Filtros y consumibles</t>
        </is>
      </c>
      <c r="C72" s="10" t="inlineStr">
        <is>
          <t>8.2 Horómetros de consumibles</t>
        </is>
      </c>
      <c r="D72" s="11" t="inlineStr">
        <is>
          <t>Horómetro del diafragma de bomba (P-1-D)</t>
        </is>
      </c>
      <c r="E72" s="11" t="inlineStr">
        <is>
          <t>Horas acumuladas del diafragma de la bomba en la pantalla MAINTENANCE STATUS</t>
        </is>
      </c>
      <c r="F72" s="12" t="inlineStr">
        <is>
          <t>Ir a MENU / MAINTENANCE / HOUR METER y leer las horas acumuladas del diafragma de bomba (P-1-D). Reiniciar el contador únicamente si se reemplazan los diafragmas.</t>
        </is>
      </c>
      <c r="G72" s="10" t="inlineStr">
        <is>
          <t>Numérico</t>
        </is>
      </c>
      <c r="H72" s="10" t="inlineStr">
        <is>
          <t>horas</t>
        </is>
      </c>
      <c r="I72" s="11" t="inlineStr">
        <is>
          <t>Reemplazo al cumplir el ciclo recomendado por el fabricante (2 años, 17 520 h)</t>
        </is>
      </c>
      <c r="J72" s="13" t="inlineStr">
        <is>
          <t>Cobrable</t>
        </is>
      </c>
      <c r="K72" s="14" t="inlineStr">
        <is>
          <t>Horómetro por encima del intervalo de dos años</t>
        </is>
      </c>
      <c r="L72" s="15" t="inlineStr">
        <is>
          <t>5.1.1</t>
        </is>
      </c>
      <c r="M72" s="14" t="inlineStr">
        <is>
          <t>Reemplazar los diafragmas y reiniciar el contador</t>
        </is>
      </c>
      <c r="N72" s="16" t="inlineStr">
        <is>
          <t>El diafragma de la bomba superó el intervalo de reemplazo recomendado por el fabricante.</t>
        </is>
      </c>
      <c r="O72" s="10" t="n"/>
      <c r="P72" s="10" t="n">
        <v>17520</v>
      </c>
      <c r="Q72" s="10" t="inlineStr">
        <is>
          <t>Sí</t>
        </is>
      </c>
      <c r="R72" s="10" t="inlineStr">
        <is>
          <t>No</t>
        </is>
      </c>
      <c r="S72" s="11" t="inlineStr">
        <is>
          <t>Diaphragm Assy GS, GD series EPDM - APMA / APOA / APHA (3200044033)</t>
        </is>
      </c>
      <c r="T72" s="11" t="inlineStr">
        <is>
          <t>P-ST-002-MAN MTTO APOA370 V2</t>
        </is>
      </c>
      <c r="U72" s="17" t="inlineStr">
        <is>
          <t>Pendiente</t>
        </is>
      </c>
      <c r="V72" s="17" t="n"/>
      <c r="W72" s="10">
        <f>IF($G72&lt;&gt;"Numérico","",IF($V72="","Sin dato",IF(AND(OR(NOT(ISNUMBER($O72)),$V72&gt;=$O72),OR(NOT(ISNUMBER($P72)),$V72&lt;=$P72)),"Dentro de rango","Fuera de rango")))</f>
        <v/>
      </c>
      <c r="X72" s="17" t="n"/>
      <c r="Y72" s="18" t="n"/>
      <c r="Z72" s="16">
        <f>IF(OR($U72="",$U72="Conforme",$U72="No aplica",$U72="Pendiente"),"",$N72&amp;IF($W72="Fuera de rango"," Valor medido: "&amp;TEXT($V72,"0.####")&amp;IF($H72="",""," "&amp;$H72)&amp;IF(AND(ISNUMBER($O72),$V72&lt;$O72),", por debajo del límite inferior de "&amp;TEXT($O72,"0.####")&amp;IF($H72="",""," "&amp;$H72),"")&amp;IF(AND(ISNUMBER($P72),$V72&gt;$P72),", por encima del límite superior de "&amp;TEXT($P72,"0.####")&amp;IF($H72="",""," "&amp;$H72),"")&amp;".","")&amp;IF($Y72="",""," "&amp;$Y72&amp;IF(RIGHT($Y72,1)=".","","."))&amp;" Acción recomendada: "&amp;$M72&amp;IF(RIGHT($M72,1)=".","",".")&amp;IF($J72="Bloqueante"," El equipo no se libera hasta resolver este hallazgo.",IF($J72="Cobrable"," Se incluye en la cotización de repuestos y consumibles."," Se deja registrado como observación.")))</f>
        <v/>
      </c>
    </row>
    <row r="73" ht="48" customHeight="1">
      <c r="A73" s="10" t="inlineStr">
        <is>
          <t>8.2.2</t>
        </is>
      </c>
      <c r="B73" s="10" t="inlineStr">
        <is>
          <t>8. Filtros y consumibles</t>
        </is>
      </c>
      <c r="C73" s="10" t="inlineStr">
        <is>
          <t>8.2 Horómetros de consumibles</t>
        </is>
      </c>
      <c r="D73" s="11" t="inlineStr">
        <is>
          <t>Horómetro del catalizador deozonizador (DO-1)</t>
        </is>
      </c>
      <c r="E73" s="11" t="inlineStr">
        <is>
          <t>Horas acumuladas registradas para el catalizador deozonizador</t>
        </is>
      </c>
      <c r="F73" s="12" t="inlineStr">
        <is>
          <t>En la pantalla HOUR METER, leer las horas acumuladas del catalizador deozonizador (DO-1). Reiniciar el contador únicamente si se reemplaza la unidad.</t>
        </is>
      </c>
      <c r="G73" s="10" t="inlineStr">
        <is>
          <t>Numérico</t>
        </is>
      </c>
      <c r="H73" s="10" t="inlineStr">
        <is>
          <t>horas</t>
        </is>
      </c>
      <c r="I73" s="11" t="inlineStr">
        <is>
          <t>Reemplazo al cumplir las horas acumuladas recomendadas (2 años, 17 520 h)</t>
        </is>
      </c>
      <c r="J73" s="13" t="inlineStr">
        <is>
          <t>Cobrable</t>
        </is>
      </c>
      <c r="K73" s="14" t="inlineStr">
        <is>
          <t>Horómetro por encima del intervalo de dos años</t>
        </is>
      </c>
      <c r="L73" s="15" t="inlineStr">
        <is>
          <t>6.3.1</t>
        </is>
      </c>
      <c r="M73" s="14" t="inlineStr">
        <is>
          <t>Reemplazar el deozonizador y reiniciar el contador</t>
        </is>
      </c>
      <c r="N73" s="16" t="inlineStr">
        <is>
          <t>El deozonizador superó el intervalo de reemplazo recomendado por el fabricante.</t>
        </is>
      </c>
      <c r="O73" s="10" t="n"/>
      <c r="P73" s="10" t="n">
        <v>17520</v>
      </c>
      <c r="Q73" s="10" t="inlineStr">
        <is>
          <t>Sí</t>
        </is>
      </c>
      <c r="R73" s="10" t="inlineStr">
        <is>
          <t>No</t>
        </is>
      </c>
      <c r="S73" s="11" t="inlineStr">
        <is>
          <t>DO Pipe 160 °C 12H vacuum processing gas (3014061445)</t>
        </is>
      </c>
      <c r="T73" s="11" t="inlineStr">
        <is>
          <t>P-ST-002-MAN MTTO APOA370 V2</t>
        </is>
      </c>
      <c r="U73" s="17" t="inlineStr">
        <is>
          <t>Pendiente</t>
        </is>
      </c>
      <c r="V73" s="17" t="n"/>
      <c r="W73" s="10">
        <f>IF($G73&lt;&gt;"Numérico","",IF($V73="","Sin dato",IF(AND(OR(NOT(ISNUMBER($O73)),$V73&gt;=$O73),OR(NOT(ISNUMBER($P73)),$V73&lt;=$P73)),"Dentro de rango","Fuera de rango")))</f>
        <v/>
      </c>
      <c r="X73" s="17" t="n"/>
      <c r="Y73" s="18" t="n"/>
      <c r="Z73" s="16">
        <f>IF(OR($U73="",$U73="Conforme",$U73="No aplica",$U73="Pendiente"),"",$N73&amp;IF($W73="Fuera de rango"," Valor medido: "&amp;TEXT($V73,"0.####")&amp;IF($H73="",""," "&amp;$H73)&amp;IF(AND(ISNUMBER($O73),$V73&lt;$O73),", por debajo del límite inferior de "&amp;TEXT($O73,"0.####")&amp;IF($H73="",""," "&amp;$H73),"")&amp;IF(AND(ISNUMBER($P73),$V73&gt;$P73),", por encima del límite superior de "&amp;TEXT($P73,"0.####")&amp;IF($H73="",""," "&amp;$H73),"")&amp;".","")&amp;IF($Y73="",""," "&amp;$Y73&amp;IF(RIGHT($Y73,1)=".","","."))&amp;" Acción recomendada: "&amp;$M73&amp;IF(RIGHT($M73,1)=".","",".")&amp;IF($J73="Bloqueante"," El equipo no se libera hasta resolver este hallazgo.",IF($J73="Cobrable"," Se incluye en la cotización de repuestos y consumibles."," Se deja registrado como observación.")))</f>
        <v/>
      </c>
    </row>
    <row r="74" ht="48" customHeight="1">
      <c r="A74" s="10" t="inlineStr">
        <is>
          <t>8.2.3</t>
        </is>
      </c>
      <c r="B74" s="10" t="inlineStr">
        <is>
          <t>8. Filtros y consumibles</t>
        </is>
      </c>
      <c r="C74" s="10" t="inlineStr">
        <is>
          <t>8.2 Horómetros de consumibles</t>
        </is>
      </c>
      <c r="D74" s="11" t="inlineStr">
        <is>
          <t>Horómetro de la lámpara UV de medición (LAMP)</t>
        </is>
      </c>
      <c r="E74" s="11" t="inlineStr">
        <is>
          <t>Horas acumuladas de uso de la lámpara de emisión UV en la pantalla de estado</t>
        </is>
      </c>
      <c r="F74" s="12" t="inlineStr">
        <is>
          <t>En la pantalla HOUR METER, leer las horas acumuladas de la lámpara UV y contrastarlas con el voltaje LAMP leído en ANALOG INPUT, que es el criterio real de reemplazo.</t>
        </is>
      </c>
      <c r="G74" s="10" t="inlineStr">
        <is>
          <t>Numérico</t>
        </is>
      </c>
      <c r="H74" s="10" t="inlineStr">
        <is>
          <t>horas</t>
        </is>
      </c>
      <c r="I74" s="11" t="inlineStr">
        <is>
          <t>Reemplazar oportunamente o cuando su voltaje decae por debajo de 200 mV</t>
        </is>
      </c>
      <c r="J74" s="13" t="inlineStr">
        <is>
          <t>Cobrable</t>
        </is>
      </c>
      <c r="K74" s="14" t="inlineStr">
        <is>
          <t>Horas acumuladas altas: la lámpara pierde intensidad de forma progresiva</t>
        </is>
      </c>
      <c r="L74" s="15" t="inlineStr">
        <is>
          <t>6.1.1</t>
        </is>
      </c>
      <c r="M74" s="14" t="inlineStr">
        <is>
          <t>El criterio real de cambio es el voltaje, no las horas: decidir por la lectura de LAMP</t>
        </is>
      </c>
      <c r="N74" s="16" t="inlineStr">
        <is>
          <t>La lámpara ultravioleta acumula un número de horas de servicio que anticipa la pérdida de intensidad.</t>
        </is>
      </c>
      <c r="O74" s="10" t="n"/>
      <c r="P74" s="10" t="n">
        <v>8760</v>
      </c>
      <c r="Q74" s="10" t="inlineStr">
        <is>
          <t>Sí</t>
        </is>
      </c>
      <c r="R74" s="10" t="inlineStr">
        <is>
          <t>No</t>
        </is>
      </c>
      <c r="S74" s="11" t="inlineStr">
        <is>
          <t>UV Lamp APOA-370 (3014036635; alt. 1000063664)</t>
        </is>
      </c>
      <c r="T74" s="11" t="inlineStr">
        <is>
          <t>P-ST-002-MAN MTTO APOA370 V2</t>
        </is>
      </c>
      <c r="U74" s="17" t="inlineStr">
        <is>
          <t>Pendiente</t>
        </is>
      </c>
      <c r="V74" s="17" t="n"/>
      <c r="W74" s="10">
        <f>IF($G74&lt;&gt;"Numérico","",IF($V74="","Sin dato",IF(AND(OR(NOT(ISNUMBER($O74)),$V74&gt;=$O74),OR(NOT(ISNUMBER($P74)),$V74&lt;=$P74)),"Dentro de rango","Fuera de rango")))</f>
        <v/>
      </c>
      <c r="X74" s="17" t="n"/>
      <c r="Y74" s="18" t="n"/>
      <c r="Z74" s="16">
        <f>IF(OR($U74="",$U74="Conforme",$U74="No aplica",$U74="Pendiente"),"",$N74&amp;IF($W74="Fuera de rango"," Valor medido: "&amp;TEXT($V74,"0.####")&amp;IF($H74="",""," "&amp;$H74)&amp;IF(AND(ISNUMBER($O74),$V74&lt;$O74),", por debajo del límite inferior de "&amp;TEXT($O74,"0.####")&amp;IF($H74="",""," "&amp;$H74),"")&amp;IF(AND(ISNUMBER($P74),$V74&gt;$P74),", por encima del límite superior de "&amp;TEXT($P74,"0.####")&amp;IF($H74="",""," "&amp;$H74),"")&amp;".","")&amp;IF($Y74="",""," "&amp;$Y74&amp;IF(RIGHT($Y74,1)=".","","."))&amp;" Acción recomendada: "&amp;$M74&amp;IF(RIGHT($M74,1)=".","",".")&amp;IF($J74="Bloqueante"," El equipo no se libera hasta resolver este hallazgo.",IF($J74="Cobrable"," Se incluye en la cotización de repuestos y consumibles."," Se deja registrado como observación.")))</f>
        <v/>
      </c>
    </row>
    <row r="75" ht="48" customHeight="1">
      <c r="A75" s="10" t="inlineStr">
        <is>
          <t>8.2.4</t>
        </is>
      </c>
      <c r="B75" s="10" t="inlineStr">
        <is>
          <t>8. Filtros y consumibles</t>
        </is>
      </c>
      <c r="C75" s="10" t="inlineStr">
        <is>
          <t>8.2 Horómetros de consumibles</t>
        </is>
      </c>
      <c r="D75" s="11" t="inlineStr">
        <is>
          <t>Horómetro de la bomba completa (P-1-B)</t>
        </is>
      </c>
      <c r="E75" s="11" t="inlineStr">
        <is>
          <t>Horas acumuladas registradas para la unidad motora de la bomba</t>
        </is>
      </c>
      <c r="F75" s="12" t="inlineStr">
        <is>
          <t>En la pantalla HOUR METER, leer las horas acumuladas de la unidad de bomba (P-1-B). Reiniciar el contador únicamente si se reemplaza la bomba.</t>
        </is>
      </c>
      <c r="G75" s="10" t="inlineStr">
        <is>
          <t>Numérico</t>
        </is>
      </c>
      <c r="H75" s="10" t="inlineStr">
        <is>
          <t>horas</t>
        </is>
      </c>
      <c r="I75" s="11" t="inlineStr">
        <is>
          <t>La bomba de diafragma completa (GS-6EH) debe reemplazarse para prevenir fatiga mecánica</t>
        </is>
      </c>
      <c r="J75" s="13" t="inlineStr">
        <is>
          <t>Cobrable</t>
        </is>
      </c>
      <c r="K75" s="14" t="inlineStr">
        <is>
          <t>Horómetro por encima del intervalo de dos años</t>
        </is>
      </c>
      <c r="L75" s="15" t="inlineStr">
        <is>
          <t>5.2.1 ; 5.1.3</t>
        </is>
      </c>
      <c r="M75" s="14" t="inlineStr">
        <is>
          <t>Programar el reemplazo de la unidad de bomba y reiniciar el contador</t>
        </is>
      </c>
      <c r="N75" s="16" t="inlineStr">
        <is>
          <t>La bomba de muestreo superó el intervalo de reemplazo recomendado por el fabricante.</t>
        </is>
      </c>
      <c r="O75" s="10" t="n"/>
      <c r="P75" s="10" t="n">
        <v>17520</v>
      </c>
      <c r="Q75" s="10" t="inlineStr">
        <is>
          <t>Sí</t>
        </is>
      </c>
      <c r="R75" s="10" t="inlineStr">
        <is>
          <t>No</t>
        </is>
      </c>
      <c r="S75" s="11" t="inlineStr">
        <is>
          <t>Pump GS-6EH-100 (100～120V) APOA (3014059159) · Pump Unit - GS-6EH-220,220V,APMA/APSA/APOA-360 (3014059160)</t>
        </is>
      </c>
      <c r="T75" s="11" t="inlineStr">
        <is>
          <t>P-ST-002-MAN MTTO APOA370 V2</t>
        </is>
      </c>
      <c r="U75" s="17" t="inlineStr">
        <is>
          <t>Pendiente</t>
        </is>
      </c>
      <c r="V75" s="17" t="n"/>
      <c r="W75" s="10">
        <f>IF($G75&lt;&gt;"Numérico","",IF($V75="","Sin dato",IF(AND(OR(NOT(ISNUMBER($O75)),$V75&gt;=$O75),OR(NOT(ISNUMBER($P75)),$V75&lt;=$P75)),"Dentro de rango","Fuera de rango")))</f>
        <v/>
      </c>
      <c r="X75" s="17" t="n"/>
      <c r="Y75" s="18" t="n"/>
      <c r="Z75" s="16">
        <f>IF(OR($U75="",$U75="Conforme",$U75="No aplica",$U75="Pendiente"),"",$N75&amp;IF($W75="Fuera de rango"," Valor medido: "&amp;TEXT($V75,"0.####")&amp;IF($H75="",""," "&amp;$H75)&amp;IF(AND(ISNUMBER($O75),$V75&lt;$O75),", por debajo del límite inferior de "&amp;TEXT($O75,"0.####")&amp;IF($H75="",""," "&amp;$H75),"")&amp;IF(AND(ISNUMBER($P75),$V75&gt;$P75),", por encima del límite superior de "&amp;TEXT($P75,"0.####")&amp;IF($H75="",""," "&amp;$H75),"")&amp;".","")&amp;IF($Y75="",""," "&amp;$Y75&amp;IF(RIGHT($Y75,1)=".","","."))&amp;" Acción recomendada: "&amp;$M75&amp;IF(RIGHT($M75,1)=".","",".")&amp;IF($J75="Bloqueante"," El equipo no se libera hasta resolver este hallazgo.",IF($J75="Cobrable"," Se incluye en la cotización de repuestos y consumibles."," Se deja registrado como observación.")))</f>
        <v/>
      </c>
    </row>
    <row r="76" ht="48" customHeight="1">
      <c r="A76" s="10" t="inlineStr">
        <is>
          <t>8.2.5</t>
        </is>
      </c>
      <c r="B76" s="10" t="inlineStr">
        <is>
          <t>8. Filtros y consumibles</t>
        </is>
      </c>
      <c r="C76" s="10" t="inlineStr">
        <is>
          <t>8.2 Horómetros de consumibles</t>
        </is>
      </c>
      <c r="D76" s="11" t="inlineStr">
        <is>
          <t>Horómetro de la válvula solenoide (SV-2)</t>
        </is>
      </c>
      <c r="E76" s="11" t="inlineStr">
        <is>
          <t>Horas de conmutación acumuladas de la electroválvula solenoide</t>
        </is>
      </c>
      <c r="F76" s="12" t="inlineStr">
        <is>
          <t>En la pantalla HOUR METER, leer las horas acumuladas de la electroválvula SV-2. Reiniciar el contador únicamente si se reemplaza la válvula.</t>
        </is>
      </c>
      <c r="G76" s="10" t="inlineStr">
        <is>
          <t>Numérico</t>
        </is>
      </c>
      <c r="H76" s="10" t="inlineStr">
        <is>
          <t>horas</t>
        </is>
      </c>
      <c r="I76" s="11" t="inlineStr">
        <is>
          <t>La electroválvula de conmutación de 3 vías debe reemplazarse preventivamente</t>
        </is>
      </c>
      <c r="J76" s="13" t="inlineStr">
        <is>
          <t>Cobrable</t>
        </is>
      </c>
      <c r="K76" s="14" t="inlineStr">
        <is>
          <t>Horómetro por encima del intervalo de dos años</t>
        </is>
      </c>
      <c r="L76" s="15" t="inlineStr">
        <is>
          <t>6.5.1</t>
        </is>
      </c>
      <c r="M76" s="14" t="inlineStr">
        <is>
          <t>Programar el reemplazo de la electroválvula y reiniciar el contador</t>
        </is>
      </c>
      <c r="N76" s="16" t="inlineStr">
        <is>
          <t>La electroválvula de modulación superó el intervalo de reemplazo recomendado por el fabricante.</t>
        </is>
      </c>
      <c r="O76" s="10" t="n"/>
      <c r="P76" s="10" t="n">
        <v>17520</v>
      </c>
      <c r="Q76" s="10" t="inlineStr">
        <is>
          <t>Sí</t>
        </is>
      </c>
      <c r="R76" s="10" t="inlineStr">
        <is>
          <t>No</t>
        </is>
      </c>
      <c r="S76" s="11" t="inlineStr">
        <is>
          <t>SV Unit WTB-3K-N1F-3 APMA / APOA (3014034340)</t>
        </is>
      </c>
      <c r="T76" s="11" t="inlineStr">
        <is>
          <t>P-ST-002-MAN MTTO APOA370 V2</t>
        </is>
      </c>
      <c r="U76" s="17" t="inlineStr">
        <is>
          <t>Pendiente</t>
        </is>
      </c>
      <c r="V76" s="17" t="n"/>
      <c r="W76" s="10">
        <f>IF($G76&lt;&gt;"Numérico","",IF($V76="","Sin dato",IF(AND(OR(NOT(ISNUMBER($O76)),$V76&gt;=$O76),OR(NOT(ISNUMBER($P76)),$V76&lt;=$P76)),"Dentro de rango","Fuera de rango")))</f>
        <v/>
      </c>
      <c r="X76" s="17" t="n"/>
      <c r="Y76" s="18" t="n"/>
      <c r="Z76" s="16">
        <f>IF(OR($U76="",$U76="Conforme",$U76="No aplica",$U76="Pendiente"),"",$N76&amp;IF($W76="Fuera de rango"," Valor medido: "&amp;TEXT($V76,"0.####")&amp;IF($H76="",""," "&amp;$H76)&amp;IF(AND(ISNUMBER($O76),$V76&lt;$O76),", por debajo del límite inferior de "&amp;TEXT($O76,"0.####")&amp;IF($H76="",""," "&amp;$H76),"")&amp;IF(AND(ISNUMBER($P76),$V76&gt;$P76),", por encima del límite superior de "&amp;TEXT($P76,"0.####")&amp;IF($H76="",""," "&amp;$H76),"")&amp;".","")&amp;IF($Y76="",""," "&amp;$Y76&amp;IF(RIGHT($Y76,1)=".","","."))&amp;" Acción recomendada: "&amp;$M76&amp;IF(RIGHT($M76,1)=".","",".")&amp;IF($J76="Bloqueante"," El equipo no se libera hasta resolver este hallazgo.",IF($J76="Cobrable"," Se incluye en la cotización de repuestos y consumibles."," Se deja registrado como observación.")))</f>
        <v/>
      </c>
    </row>
    <row r="77" ht="48" customHeight="1">
      <c r="A77" s="10" t="inlineStr">
        <is>
          <t>9.1.1</t>
        </is>
      </c>
      <c r="B77" s="10" t="inlineStr">
        <is>
          <t>9. Sensores auxiliares</t>
        </is>
      </c>
      <c r="C77" s="10" t="inlineStr">
        <is>
          <t>9.1 Presión</t>
        </is>
      </c>
      <c r="D77" s="11" t="inlineStr">
        <is>
          <t>Lectura de presión ambiente (AMBIENT)</t>
        </is>
      </c>
      <c r="E77" s="11" t="inlineStr">
        <is>
          <t>Presión atmosférica en ANALOG INPUT, comparada con un barómetro patrón</t>
        </is>
      </c>
      <c r="F77" s="12" t="inlineStr">
        <is>
          <t>Ubicar un barómetro patrón calibrado junto al equipo, leer simultáneamente su valor y el AMBIENT en pantalla, y calcular la desviación porcentual entre ambos.</t>
        </is>
      </c>
      <c r="G77" s="10" t="inlineStr">
        <is>
          <t>Numérico</t>
        </is>
      </c>
      <c r="H77" s="10" t="inlineStr">
        <is>
          <t>kPa</t>
        </is>
      </c>
      <c r="I77" s="11" t="inlineStr">
        <is>
          <t>La diferencia entre la lectura interna y el barómetro patrón externo debe ser menor al 2 %</t>
        </is>
      </c>
      <c r="J77" s="13" t="inlineStr">
        <is>
          <t>Bloqueante</t>
        </is>
      </c>
      <c r="K77" s="14" t="inlineStr">
        <is>
          <t>Transductor descalibrado por la altitud del sitio, o dañado</t>
        </is>
      </c>
      <c r="L77" s="15" t="inlineStr">
        <is>
          <t>9.1.2 ; 9.4.1</t>
        </is>
      </c>
      <c r="M77" s="14" t="inlineStr">
        <is>
          <t>Comparar contra barómetro patrón y compensar el intercepto con PRESS ADJUSTMENT</t>
        </is>
      </c>
      <c r="N77" s="16" t="inlineStr">
        <is>
          <t>La lectura de presión barométrica del analizador no corresponde a la presión real del sitio.</t>
        </is>
      </c>
      <c r="O77" s="10" t="n"/>
      <c r="P77" s="10" t="n"/>
      <c r="Q77" s="10" t="inlineStr">
        <is>
          <t>Sí</t>
        </is>
      </c>
      <c r="R77" s="10" t="inlineStr">
        <is>
          <t>No</t>
        </is>
      </c>
      <c r="S77" s="11" t="inlineStr"/>
      <c r="T77" s="11" t="inlineStr">
        <is>
          <t>GZ0000117746B SM E APXX-370 (Service Manual)</t>
        </is>
      </c>
      <c r="U77" s="17" t="inlineStr">
        <is>
          <t>Pendiente</t>
        </is>
      </c>
      <c r="V77" s="17" t="n"/>
      <c r="W77" s="10">
        <f>IF($G77&lt;&gt;"Numérico","",IF($V77="","Sin dato",IF(AND(OR(NOT(ISNUMBER($O77)),$V77&gt;=$O77),OR(NOT(ISNUMBER($P77)),$V77&lt;=$P77)),"Dentro de rango","Fuera de rango")))</f>
        <v/>
      </c>
      <c r="X77" s="17" t="n"/>
      <c r="Y77" s="18" t="n"/>
      <c r="Z77" s="16">
        <f>IF(OR($U77="",$U77="Conforme",$U77="No aplica",$U77="Pendiente"),"",$N77&amp;IF($W77="Fuera de rango"," Valor medido: "&amp;TEXT($V77,"0.####")&amp;IF($H77="",""," "&amp;$H77)&amp;IF(AND(ISNUMBER($O77),$V77&lt;$O77),", por debajo del límite inferior de "&amp;TEXT($O77,"0.####")&amp;IF($H77="",""," "&amp;$H77),"")&amp;IF(AND(ISNUMBER($P77),$V77&gt;$P77),", por encima del límite superior de "&amp;TEXT($P77,"0.####")&amp;IF($H77="",""," "&amp;$H77),"")&amp;".","")&amp;IF($Y77="",""," "&amp;$Y77&amp;IF(RIGHT($Y77,1)=".","","."))&amp;" Acción recomendada: "&amp;$M77&amp;IF(RIGHT($M77,1)=".","",".")&amp;IF($J77="Bloqueante"," El equipo no se libera hasta resolver este hallazgo.",IF($J77="Cobrable"," Se incluye en la cotización de repuestos y consumibles."," Se deja registrado como observación.")))</f>
        <v/>
      </c>
    </row>
    <row r="78" ht="48" customHeight="1">
      <c r="A78" s="10" t="inlineStr">
        <is>
          <t>9.1.2</t>
        </is>
      </c>
      <c r="B78" s="10" t="inlineStr">
        <is>
          <t>9. Sensores auxiliares</t>
        </is>
      </c>
      <c r="C78" s="10" t="inlineStr">
        <is>
          <t>9.1 Presión</t>
        </is>
      </c>
      <c r="D78" s="11" t="inlineStr">
        <is>
          <t>Presión diferencial de celda</t>
        </is>
      </c>
      <c r="E78" s="11" t="inlineStr">
        <is>
          <t>Que el sensor de presión de la celda no registre derivas anómalas ni fallos (alarma PS_1)</t>
        </is>
      </c>
      <c r="F78" s="12" t="inlineStr">
        <is>
          <t>Verificar en pantalla que no esté activa la alarma PS_1 y observar la estabilidad de las lecturas de presión durante varios minutos de operación.</t>
        </is>
      </c>
      <c r="G78" s="10" t="inlineStr">
        <is>
          <t>OK / No OK</t>
        </is>
      </c>
      <c r="H78" s="10" t="inlineStr"/>
      <c r="I78" s="11" t="inlineStr">
        <is>
          <t>Transductor de presión operativo, sin error ni inestabilidad de lectura</t>
        </is>
      </c>
      <c r="J78" s="13" t="inlineStr">
        <is>
          <t>Bloqueante</t>
        </is>
      </c>
      <c r="K78" s="14" t="inlineStr">
        <is>
          <t>Transductor de celda en falla, o cable de señal suelto</t>
        </is>
      </c>
      <c r="L78" s="15" t="inlineStr">
        <is>
          <t>9.4.1 ; 9.1.1</t>
        </is>
      </c>
      <c r="M78" s="14" t="inlineStr">
        <is>
          <t>Reasentar el cable plano antes de sospechar del transductor</t>
        </is>
      </c>
      <c r="N78" s="16" t="inlineStr">
        <is>
          <t>El sensor de presión de la celda presenta deriva o falla de lectura.</t>
        </is>
      </c>
      <c r="O78" s="10" t="n"/>
      <c r="P78" s="10" t="n"/>
      <c r="Q78" s="10" t="inlineStr">
        <is>
          <t>Sí</t>
        </is>
      </c>
      <c r="R78" s="10" t="inlineStr">
        <is>
          <t>Sí</t>
        </is>
      </c>
      <c r="S78" s="11" t="inlineStr"/>
      <c r="T78" s="11" t="inlineStr">
        <is>
          <t>GZ0000117746B SM E APXX-370 (Service Manual)</t>
        </is>
      </c>
      <c r="U78" s="17" t="inlineStr">
        <is>
          <t>Pendiente</t>
        </is>
      </c>
      <c r="V78" s="17" t="n"/>
      <c r="W78" s="10">
        <f>IF($G78&lt;&gt;"Numérico","",IF($V78="","Sin dato",IF(AND(OR(NOT(ISNUMBER($O78)),$V78&gt;=$O78),OR(NOT(ISNUMBER($P78)),$V78&lt;=$P78)),"Dentro de rango","Fuera de rango")))</f>
        <v/>
      </c>
      <c r="X78" s="17" t="n"/>
      <c r="Y78" s="18" t="n"/>
      <c r="Z78" s="16">
        <f>IF(OR($U78="",$U78="Conforme",$U78="No aplica",$U78="Pendiente"),"",$N78&amp;IF($W78="Fuera de rango"," Valor medido: "&amp;TEXT($V78,"0.####")&amp;IF($H78="",""," "&amp;$H78)&amp;IF(AND(ISNUMBER($O78),$V78&lt;$O78),", por debajo del límite inferior de "&amp;TEXT($O78,"0.####")&amp;IF($H78="",""," "&amp;$H78),"")&amp;IF(AND(ISNUMBER($P78),$V78&gt;$P78),", por encima del límite superior de "&amp;TEXT($P78,"0.####")&amp;IF($H78="",""," "&amp;$H78),"")&amp;".","")&amp;IF($Y78="",""," "&amp;$Y78&amp;IF(RIGHT($Y78,1)=".","","."))&amp;" Acción recomendada: "&amp;$M78&amp;IF(RIGHT($M78,1)=".","",".")&amp;IF($J78="Bloqueante"," El equipo no se libera hasta resolver este hallazgo.",IF($J78="Cobrable"," Se incluye en la cotización de repuestos y consumibles."," Se deja registrado como observación.")))</f>
        <v/>
      </c>
    </row>
    <row r="79" ht="48" customHeight="1">
      <c r="A79" s="10" t="inlineStr">
        <is>
          <t>9.2.1</t>
        </is>
      </c>
      <c r="B79" s="10" t="inlineStr">
        <is>
          <t>9. Sensores auxiliares</t>
        </is>
      </c>
      <c r="C79" s="10" t="inlineStr">
        <is>
          <t>9.2 Temperatura</t>
        </is>
      </c>
      <c r="D79" s="11" t="inlineStr">
        <is>
          <t>Termistor de temperatura de celda (TS_1)</t>
        </is>
      </c>
      <c r="E79" s="11" t="inlineStr">
        <is>
          <t>Que el sensor de temperatura de la celda registre valores estables y consistentes</t>
        </is>
      </c>
      <c r="F79" s="12" t="inlineStr">
        <is>
          <t>Verificar en pantalla que no esté activa la alarma TS_1 y observar la lectura CELL durante varios minutos, comprobando que sea estable y coherente con la temperatura ambiente.</t>
        </is>
      </c>
      <c r="G79" s="10" t="inlineStr">
        <is>
          <t>OK / No OK</t>
        </is>
      </c>
      <c r="H79" s="10" t="inlineStr"/>
      <c r="I79" s="11" t="inlineStr">
        <is>
          <t>Termistor de la celda en correcto estado físico y entregando lectura lógica</t>
        </is>
      </c>
      <c r="J79" s="13" t="inlineStr">
        <is>
          <t>Bloqueante</t>
        </is>
      </c>
      <c r="K79" s="14" t="inlineStr">
        <is>
          <t>Termistor abierto o en cortocircuito, o cable plano suelto</t>
        </is>
      </c>
      <c r="L79" s="15" t="inlineStr">
        <is>
          <t>6.1.2 ; 9.4.1</t>
        </is>
      </c>
      <c r="M79" s="14" t="inlineStr">
        <is>
          <t>Reasentar el cable; si la lectura sigue absurda, reemplazar el termistor</t>
        </is>
      </c>
      <c r="N79" s="16" t="inlineStr">
        <is>
          <t>El sensor de temperatura de la celda entrega una lectura inconsistente o se encuentra en falla.</t>
        </is>
      </c>
      <c r="O79" s="10" t="n"/>
      <c r="P79" s="10" t="n"/>
      <c r="Q79" s="10" t="inlineStr">
        <is>
          <t>Sí</t>
        </is>
      </c>
      <c r="R79" s="10" t="inlineStr">
        <is>
          <t>Sí</t>
        </is>
      </c>
      <c r="S79" s="11" t="inlineStr"/>
      <c r="T79" s="11" t="inlineStr">
        <is>
          <t>GZ0000117746B SM E APXX-370 (Service Manual)</t>
        </is>
      </c>
      <c r="U79" s="17" t="inlineStr">
        <is>
          <t>Pendiente</t>
        </is>
      </c>
      <c r="V79" s="17" t="n"/>
      <c r="W79" s="10">
        <f>IF($G79&lt;&gt;"Numérico","",IF($V79="","Sin dato",IF(AND(OR(NOT(ISNUMBER($O79)),$V79&gt;=$O79),OR(NOT(ISNUMBER($P79)),$V79&lt;=$P79)),"Dentro de rango","Fuera de rango")))</f>
        <v/>
      </c>
      <c r="X79" s="17" t="n"/>
      <c r="Y79" s="18" t="n"/>
      <c r="Z79" s="16">
        <f>IF(OR($U79="",$U79="Conforme",$U79="No aplica",$U79="Pendiente"),"",$N79&amp;IF($W79="Fuera de rango"," Valor medido: "&amp;TEXT($V79,"0.####")&amp;IF($H79="",""," "&amp;$H79)&amp;IF(AND(ISNUMBER($O79),$V79&lt;$O79),", por debajo del límite inferior de "&amp;TEXT($O79,"0.####")&amp;IF($H79="",""," "&amp;$H79),"")&amp;IF(AND(ISNUMBER($P79),$V79&gt;$P79),", por encima del límite superior de "&amp;TEXT($P79,"0.####")&amp;IF($H79="",""," "&amp;$H79),"")&amp;".","")&amp;IF($Y79="",""," "&amp;$Y79&amp;IF(RIGHT($Y79,1)=".","","."))&amp;" Acción recomendada: "&amp;$M79&amp;IF(RIGHT($M79,1)=".","",".")&amp;IF($J79="Bloqueante"," El equipo no se libera hasta resolver este hallazgo.",IF($J79="Cobrable"," Se incluye en la cotización de repuestos y consumibles."," Se deja registrado como observación.")))</f>
        <v/>
      </c>
    </row>
    <row r="80" ht="48" customHeight="1">
      <c r="A80" s="10" t="inlineStr">
        <is>
          <t>9.2.2</t>
        </is>
      </c>
      <c r="B80" s="10" t="inlineStr">
        <is>
          <t>9. Sensores auxiliares</t>
        </is>
      </c>
      <c r="C80" s="10" t="inlineStr">
        <is>
          <t>9.2 Temperatura</t>
        </is>
      </c>
      <c r="D80" s="11" t="inlineStr">
        <is>
          <t>Termistor de temperatura del deozonizador</t>
        </is>
      </c>
      <c r="E80" s="11" t="inlineStr">
        <is>
          <t>Que el deozonizador estabilice su temperatura y no reporte alarmas de calentador</t>
        </is>
      </c>
      <c r="F80" s="12" t="inlineStr">
        <is>
          <t>Verificar en pantalla que no esté activa la alarma de deozonizador y, con el debido cuidado, confirmar por tacto que la unidad esté caliente y su temperatura sea estable.</t>
        </is>
      </c>
      <c r="G80" s="10" t="inlineStr">
        <is>
          <t>OK / No OK</t>
        </is>
      </c>
      <c r="H80" s="10" t="inlineStr"/>
      <c r="I80" s="11" t="inlineStr">
        <is>
          <t>Sensor del deozonizador en correcto estado y temperatura de control dentro de límites</t>
        </is>
      </c>
      <c r="J80" s="13" t="inlineStr">
        <is>
          <t>Bloqueante</t>
        </is>
      </c>
      <c r="K80" s="14" t="inlineStr">
        <is>
          <t>Sensor abierto, resistencia calefactora quemada, o falta de calentamiento</t>
        </is>
      </c>
      <c r="L80" s="15" t="inlineStr">
        <is>
          <t>1.3.1 ; 6.3.1 ; 6.3.2</t>
        </is>
      </c>
      <c r="M80" s="14" t="inlineStr">
        <is>
          <t>Esperar el calentamiento; si la alarma persiste, medir continuidad de resistencia y sensor</t>
        </is>
      </c>
      <c r="N80" s="16" t="inlineStr">
        <is>
          <t>El lazo de control de temperatura del deozonizador no alcanza o no mantiene su valor de operación.</t>
        </is>
      </c>
      <c r="O80" s="10" t="n"/>
      <c r="P80" s="10" t="n"/>
      <c r="Q80" s="10" t="inlineStr">
        <is>
          <t>Sí</t>
        </is>
      </c>
      <c r="R80" s="10" t="inlineStr">
        <is>
          <t>Sí</t>
        </is>
      </c>
      <c r="S80" s="11" t="inlineStr"/>
      <c r="T80" s="11" t="inlineStr">
        <is>
          <t>GZ0000117746B SM E APXX-370 (Service Manual)</t>
        </is>
      </c>
      <c r="U80" s="17" t="inlineStr">
        <is>
          <t>Pendiente</t>
        </is>
      </c>
      <c r="V80" s="17" t="n"/>
      <c r="W80" s="10">
        <f>IF($G80&lt;&gt;"Numérico","",IF($V80="","Sin dato",IF(AND(OR(NOT(ISNUMBER($O80)),$V80&gt;=$O80),OR(NOT(ISNUMBER($P80)),$V80&lt;=$P80)),"Dentro de rango","Fuera de rango")))</f>
        <v/>
      </c>
      <c r="X80" s="17" t="n"/>
      <c r="Y80" s="18" t="n"/>
      <c r="Z80" s="16">
        <f>IF(OR($U80="",$U80="Conforme",$U80="No aplica",$U80="Pendiente"),"",$N80&amp;IF($W80="Fuera de rango"," Valor medido: "&amp;TEXT($V80,"0.####")&amp;IF($H80="",""," "&amp;$H80)&amp;IF(AND(ISNUMBER($O80),$V80&lt;$O80),", por debajo del límite inferior de "&amp;TEXT($O80,"0.####")&amp;IF($H80="",""," "&amp;$H80),"")&amp;IF(AND(ISNUMBER($P80),$V80&gt;$P80),", por encima del límite superior de "&amp;TEXT($P80,"0.####")&amp;IF($H80="",""," "&amp;$H80),"")&amp;".","")&amp;IF($Y80="",""," "&amp;$Y80&amp;IF(RIGHT($Y80,1)=".","","."))&amp;" Acción recomendada: "&amp;$M80&amp;IF(RIGHT($M80,1)=".","",".")&amp;IF($J80="Bloqueante"," El equipo no se libera hasta resolver este hallazgo.",IF($J80="Cobrable"," Se incluye en la cotización de repuestos y consumibles."," Se deja registrado como observación.")))</f>
        <v/>
      </c>
    </row>
    <row r="81" ht="48" customHeight="1">
      <c r="A81" s="10" t="inlineStr">
        <is>
          <t>9.3.1</t>
        </is>
      </c>
      <c r="B81" s="10" t="inlineStr">
        <is>
          <t>9. Sensores auxiliares</t>
        </is>
      </c>
      <c r="C81" s="10" t="inlineStr">
        <is>
          <t>9.3 Caudal</t>
        </is>
      </c>
      <c r="D81" s="11" t="inlineStr">
        <is>
          <t>Lectura del sensor de caudal de muestra (opcional)</t>
        </is>
      </c>
      <c r="E81" s="11" t="inlineStr">
        <is>
          <t>Lectura de caudal en la segunda pantalla de ANALOG INPUT</t>
        </is>
      </c>
      <c r="F81" s="12" t="inlineStr">
        <is>
          <t>Leer el valor SAMPLE en la segunda página de ANALOG INPUT con el equipo en operación normal, y anotarlo junto con la presión de bomba medida en el mismo momento.</t>
        </is>
      </c>
      <c r="G81" s="10" t="inlineStr">
        <is>
          <t>Numérico</t>
        </is>
      </c>
      <c r="H81" s="10" t="inlineStr">
        <is>
          <t>L/min</t>
        </is>
      </c>
      <c r="I81" s="11" t="inlineStr">
        <is>
          <t>Caudal estable en rango nominal; alarma FLO1 si está fuera de 0,4 a 1,0 L/min</t>
        </is>
      </c>
      <c r="J81" s="13" t="inlineStr">
        <is>
          <t>Bloqueante</t>
        </is>
      </c>
      <c r="K81" s="14" t="inlineStr">
        <is>
          <t>Transductor de caudal opcional descalibrado o en falla</t>
        </is>
      </c>
      <c r="L81" s="15" t="inlineStr">
        <is>
          <t>5.3.2 ; 5.3.1</t>
        </is>
      </c>
      <c r="M81" s="14" t="inlineStr">
        <is>
          <t>Contrastar con flujómetro de burbuja: si el caudal real es correcto, el problema es el sensor</t>
        </is>
      </c>
      <c r="N81" s="16" t="inlineStr">
        <is>
          <t>La lectura del sensor de caudal no corresponde al caudal real medido con instrumento patrón.</t>
        </is>
      </c>
      <c r="O81" s="10" t="n">
        <v>0.5</v>
      </c>
      <c r="P81" s="10" t="n">
        <v>0.9</v>
      </c>
      <c r="Q81" s="10" t="inlineStr">
        <is>
          <t>Sí</t>
        </is>
      </c>
      <c r="R81" s="10" t="inlineStr">
        <is>
          <t>No</t>
        </is>
      </c>
      <c r="S81" s="11" t="inlineStr"/>
      <c r="T81" s="11" t="inlineStr">
        <is>
          <t>GZ0000117746B SM E APXX-370 (Service Manual)</t>
        </is>
      </c>
      <c r="U81" s="17" t="inlineStr">
        <is>
          <t>Pendiente</t>
        </is>
      </c>
      <c r="V81" s="17" t="n"/>
      <c r="W81" s="10">
        <f>IF($G81&lt;&gt;"Numérico","",IF($V81="","Sin dato",IF(AND(OR(NOT(ISNUMBER($O81)),$V81&gt;=$O81),OR(NOT(ISNUMBER($P81)),$V81&lt;=$P81)),"Dentro de rango","Fuera de rango")))</f>
        <v/>
      </c>
      <c r="X81" s="17" t="n"/>
      <c r="Y81" s="18" t="n"/>
      <c r="Z81" s="16">
        <f>IF(OR($U81="",$U81="Conforme",$U81="No aplica",$U81="Pendiente"),"",$N81&amp;IF($W81="Fuera de rango"," Valor medido: "&amp;TEXT($V81,"0.####")&amp;IF($H81="",""," "&amp;$H81)&amp;IF(AND(ISNUMBER($O81),$V81&lt;$O81),", por debajo del límite inferior de "&amp;TEXT($O81,"0.####")&amp;IF($H81="",""," "&amp;$H81),"")&amp;IF(AND(ISNUMBER($P81),$V81&gt;$P81),", por encima del límite superior de "&amp;TEXT($P81,"0.####")&amp;IF($H81="",""," "&amp;$H81),"")&amp;".","")&amp;IF($Y81="",""," "&amp;$Y81&amp;IF(RIGHT($Y81,1)=".","","."))&amp;" Acción recomendada: "&amp;$M81&amp;IF(RIGHT($M81,1)=".","",".")&amp;IF($J81="Bloqueante"," El equipo no se libera hasta resolver este hallazgo.",IF($J81="Cobrable"," Se incluye en la cotización de repuestos y consumibles."," Se deja registrado como observación.")))</f>
        <v/>
      </c>
    </row>
    <row r="82" ht="48" customHeight="1">
      <c r="A82" s="10" t="inlineStr">
        <is>
          <t>9.4.1</t>
        </is>
      </c>
      <c r="B82" s="10" t="inlineStr">
        <is>
          <t>9. Sensores auxiliares</t>
        </is>
      </c>
      <c r="C82" s="10" t="inlineStr">
        <is>
          <t>9.4 Cableado de sensores</t>
        </is>
      </c>
      <c r="D82" s="11" t="inlineStr">
        <is>
          <t>Integridad de cables planos de transductores</t>
        </is>
      </c>
      <c r="E82" s="11" t="inlineStr">
        <is>
          <t>Acople físico de los conectores de cinta de los sensores de presión a la placa ADC-05</t>
        </is>
      </c>
      <c r="F82" s="12" t="inlineStr">
        <is>
          <t>Con el equipo apagado, verificar que cada conector de cinta de los sensores de presión esté encajado a fondo en la tarjeta ADC-05 y examinar el cable buscando hilos sueltos.</t>
        </is>
      </c>
      <c r="G82" s="10" t="inlineStr">
        <is>
          <t>OK / No OK</t>
        </is>
      </c>
      <c r="H82" s="10" t="inlineStr"/>
      <c r="I82" s="11" t="inlineStr">
        <is>
          <t>Conectores planos perfectamente encajados, sin hilos sueltos ni daño en el aislamiento</t>
        </is>
      </c>
      <c r="J82" s="13" t="inlineStr">
        <is>
          <t>Bloqueante</t>
        </is>
      </c>
      <c r="K82" s="14" t="inlineStr">
        <is>
          <t>Conector de cinta mal asentado, o hilo partido</t>
        </is>
      </c>
      <c r="L82" s="15" t="inlineStr">
        <is>
          <t>7.2.1 ; 9.1.2 ; 9.2.1</t>
        </is>
      </c>
      <c r="M82" s="14" t="inlineStr">
        <is>
          <t>Reasentar todos los conectores de cinta en la tarjeta ADC-05 antes de cambiar sensores</t>
        </is>
      </c>
      <c r="N82" s="16" t="inlineStr">
        <is>
          <t>Los cables de señal de los sensores presentan conectores mal asentados o conductores dañados.</t>
        </is>
      </c>
      <c r="O82" s="10" t="n"/>
      <c r="P82" s="10" t="n"/>
      <c r="Q82" s="10" t="inlineStr">
        <is>
          <t>Sí</t>
        </is>
      </c>
      <c r="R82" s="10" t="inlineStr">
        <is>
          <t>Sí</t>
        </is>
      </c>
      <c r="S82" s="11" t="inlineStr"/>
      <c r="T82" s="11" t="inlineStr">
        <is>
          <t>GZ0000117746B SM E APXX-370 (Service Manual)</t>
        </is>
      </c>
      <c r="U82" s="17" t="inlineStr">
        <is>
          <t>Pendiente</t>
        </is>
      </c>
      <c r="V82" s="17" t="n"/>
      <c r="W82" s="10">
        <f>IF($G82&lt;&gt;"Numérico","",IF($V82="","Sin dato",IF(AND(OR(NOT(ISNUMBER($O82)),$V82&gt;=$O82),OR(NOT(ISNUMBER($P82)),$V82&lt;=$P82)),"Dentro de rango","Fuera de rango")))</f>
        <v/>
      </c>
      <c r="X82" s="17" t="n"/>
      <c r="Y82" s="18" t="n"/>
      <c r="Z82" s="16">
        <f>IF(OR($U82="",$U82="Conforme",$U82="No aplica",$U82="Pendiente"),"",$N82&amp;IF($W82="Fuera de rango"," Valor medido: "&amp;TEXT($V82,"0.####")&amp;IF($H82="",""," "&amp;$H82)&amp;IF(AND(ISNUMBER($O82),$V82&lt;$O82),", por debajo del límite inferior de "&amp;TEXT($O82,"0.####")&amp;IF($H82="",""," "&amp;$H82),"")&amp;IF(AND(ISNUMBER($P82),$V82&gt;$P82),", por encima del límite superior de "&amp;TEXT($P82,"0.####")&amp;IF($H82="",""," "&amp;$H82),"")&amp;".","")&amp;IF($Y82="",""," "&amp;$Y82&amp;IF(RIGHT($Y82,1)=".","","."))&amp;" Acción recomendada: "&amp;$M82&amp;IF(RIGHT($M82,1)=".","",".")&amp;IF($J82="Bloqueante"," El equipo no se libera hasta resolver este hallazgo.",IF($J82="Cobrable"," Se incluye en la cotización de repuestos y consumibles."," Se deja registrado como observación.")))</f>
        <v/>
      </c>
    </row>
    <row r="83" ht="48" customHeight="1">
      <c r="A83" s="10" t="inlineStr">
        <is>
          <t>10.1.1</t>
        </is>
      </c>
      <c r="B83" s="10" t="inlineStr">
        <is>
          <t>10. Gabinete, montaje e instalación</t>
        </is>
      </c>
      <c r="C83" s="10" t="inlineStr">
        <is>
          <t>10.1 Chasis y puerta frontal</t>
        </is>
      </c>
      <c r="D83" s="11" t="inlineStr">
        <is>
          <t>Puerta delantera y cierres</t>
        </is>
      </c>
      <c r="E83" s="11" t="inlineStr">
        <is>
          <t>Ajuste y alineación de la puerta frontal del analizador y firmeza del cierre</t>
        </is>
      </c>
      <c r="F83" s="12" t="inlineStr">
        <is>
          <t>Abrir y cerrar la puerta frontal varias veces, verificar que encaje sin forzar y que el pestillo asegure con firmeza, sin holgura ni desalineación.</t>
        </is>
      </c>
      <c r="G83" s="10" t="inlineStr">
        <is>
          <t>OK / No OK</t>
        </is>
      </c>
      <c r="H83" s="10" t="inlineStr"/>
      <c r="I83" s="11" t="inlineStr">
        <is>
          <t>La puerta delantera debe cerrar correctamente y su pestillo asegurar de manera firme</t>
        </is>
      </c>
      <c r="J83" s="13" t="inlineStr">
        <is>
          <t>Cobrable</t>
        </is>
      </c>
      <c r="K83" s="14" t="inlineStr">
        <is>
          <t>Pestillo desajustado o bisagra descolgada</t>
        </is>
      </c>
      <c r="L83" s="15" t="inlineStr">
        <is>
          <t>10.1.2</t>
        </is>
      </c>
      <c r="M83" s="14" t="inlineStr">
        <is>
          <t>Ajustar el pestillo y realinear la puerta</t>
        </is>
      </c>
      <c r="N83" s="16" t="inlineStr">
        <is>
          <t>La puerta frontal del analizador no cierra alineada o su pestillo no asegura correctamente.</t>
        </is>
      </c>
      <c r="O83" s="10" t="n"/>
      <c r="P83" s="10" t="n"/>
      <c r="Q83" s="10" t="inlineStr">
        <is>
          <t>Sí</t>
        </is>
      </c>
      <c r="R83" s="10" t="inlineStr">
        <is>
          <t>Sí</t>
        </is>
      </c>
      <c r="S83" s="11" t="inlineStr">
        <is>
          <t>Door (3012298155) · Latch, Mini, Screw Type, TL-297-7, NO.1 (3011017097) · Panel, Lock 60 °C 12H F022711600 (3014059988)</t>
        </is>
      </c>
      <c r="T83" s="11" t="inlineStr">
        <is>
          <t>MT_3X0ND064_APOA370_241204</t>
        </is>
      </c>
      <c r="U83" s="17" t="inlineStr">
        <is>
          <t>Pendiente</t>
        </is>
      </c>
      <c r="V83" s="17" t="n"/>
      <c r="W83" s="10">
        <f>IF($G83&lt;&gt;"Numérico","",IF($V83="","Sin dato",IF(AND(OR(NOT(ISNUMBER($O83)),$V83&gt;=$O83),OR(NOT(ISNUMBER($P83)),$V83&lt;=$P83)),"Dentro de rango","Fuera de rango")))</f>
        <v/>
      </c>
      <c r="X83" s="17" t="n"/>
      <c r="Y83" s="18" t="n"/>
      <c r="Z83" s="16">
        <f>IF(OR($U83="",$U83="Conforme",$U83="No aplica",$U83="Pendiente"),"",$N83&amp;IF($W83="Fuera de rango"," Valor medido: "&amp;TEXT($V83,"0.####")&amp;IF($H83="",""," "&amp;$H83)&amp;IF(AND(ISNUMBER($O83),$V83&lt;$O83),", por debajo del límite inferior de "&amp;TEXT($O83,"0.####")&amp;IF($H83="",""," "&amp;$H83),"")&amp;IF(AND(ISNUMBER($P83),$V83&gt;$P83),", por encima del límite superior de "&amp;TEXT($P83,"0.####")&amp;IF($H83="",""," "&amp;$H83),"")&amp;".","")&amp;IF($Y83="",""," "&amp;$Y83&amp;IF(RIGHT($Y83,1)=".","","."))&amp;" Acción recomendada: "&amp;$M83&amp;IF(RIGHT($M83,1)=".","",".")&amp;IF($J83="Bloqueante"," El equipo no se libera hasta resolver este hallazgo.",IF($J83="Cobrable"," Se incluye en la cotización de repuestos y consumibles."," Se deja registrado como observación.")))</f>
        <v/>
      </c>
    </row>
    <row r="84" ht="48" customHeight="1">
      <c r="A84" s="10" t="inlineStr">
        <is>
          <t>10.1.2</t>
        </is>
      </c>
      <c r="B84" s="10" t="inlineStr">
        <is>
          <t>10. Gabinete, montaje e instalación</t>
        </is>
      </c>
      <c r="C84" s="10" t="inlineStr">
        <is>
          <t>10.1 Chasis y puerta frontal</t>
        </is>
      </c>
      <c r="D84" s="11" t="inlineStr">
        <is>
          <t>Tornillos de fijación de la cubierta superior</t>
        </is>
      </c>
      <c r="E84" s="11" t="inlineStr">
        <is>
          <t>Presencia y apriete de los tornillos M3 de la tapa superior del chasis</t>
        </is>
      </c>
      <c r="F84" s="12" t="inlineStr">
        <is>
          <t>Verificar visualmente y con destornillador que los 8 tornillos M3 de la tapa superior estén presentes y ajustados, sin apretar en exceso.</t>
        </is>
      </c>
      <c r="G84" s="10" t="inlineStr">
        <is>
          <t>OK / No OK</t>
        </is>
      </c>
      <c r="H84" s="10" t="inlineStr"/>
      <c r="I84" s="11" t="inlineStr">
        <is>
          <t>Los 8 tornillos de la cubierta superior deben estar presentes y ajustados firmemente</t>
        </is>
      </c>
      <c r="J84" s="13" t="inlineStr">
        <is>
          <t>Cobrable</t>
        </is>
      </c>
      <c r="K84" s="14" t="inlineStr">
        <is>
          <t>Tornillos ausentes o flojos por vibración</t>
        </is>
      </c>
      <c r="L84" s="15" t="inlineStr">
        <is>
          <t>10.1.1</t>
        </is>
      </c>
      <c r="M84" s="14" t="inlineStr">
        <is>
          <t>Reponer y ajustar los 8 tornillos M3 de la tapa</t>
        </is>
      </c>
      <c r="N84" s="16" t="inlineStr">
        <is>
          <t>Faltan o están flojos tornillos de la cubierta superior del analizador.</t>
        </is>
      </c>
      <c r="O84" s="10" t="n"/>
      <c r="P84" s="10" t="n"/>
      <c r="Q84" s="10" t="inlineStr">
        <is>
          <t>Sí</t>
        </is>
      </c>
      <c r="R84" s="10" t="inlineStr">
        <is>
          <t>Sí</t>
        </is>
      </c>
      <c r="S84" s="11" t="inlineStr"/>
      <c r="T84" s="11" t="inlineStr">
        <is>
          <t>P-ST-002-MAN MTTO APOA370 V2</t>
        </is>
      </c>
      <c r="U84" s="17" t="inlineStr">
        <is>
          <t>Pendiente</t>
        </is>
      </c>
      <c r="V84" s="17" t="n"/>
      <c r="W84" s="10">
        <f>IF($G84&lt;&gt;"Numérico","",IF($V84="","Sin dato",IF(AND(OR(NOT(ISNUMBER($O84)),$V84&gt;=$O84),OR(NOT(ISNUMBER($P84)),$V84&lt;=$P84)),"Dentro de rango","Fuera de rango")))</f>
        <v/>
      </c>
      <c r="X84" s="17" t="n"/>
      <c r="Y84" s="18" t="n"/>
      <c r="Z84" s="16">
        <f>IF(OR($U84="",$U84="Conforme",$U84="No aplica",$U84="Pendiente"),"",$N84&amp;IF($W84="Fuera de rango"," Valor medido: "&amp;TEXT($V84,"0.####")&amp;IF($H84="",""," "&amp;$H84)&amp;IF(AND(ISNUMBER($O84),$V84&lt;$O84),", por debajo del límite inferior de "&amp;TEXT($O84,"0.####")&amp;IF($H84="",""," "&amp;$H84),"")&amp;IF(AND(ISNUMBER($P84),$V84&gt;$P84),", por encima del límite superior de "&amp;TEXT($P84,"0.####")&amp;IF($H84="",""," "&amp;$H84),"")&amp;".","")&amp;IF($Y84="",""," "&amp;$Y84&amp;IF(RIGHT($Y84,1)=".","","."))&amp;" Acción recomendada: "&amp;$M84&amp;IF(RIGHT($M84,1)=".","",".")&amp;IF($J84="Bloqueante"," El equipo no se libera hasta resolver este hallazgo.",IF($J84="Cobrable"," Se incluye en la cotización de repuestos y consumibles."," Se deja registrado como observación.")))</f>
        <v/>
      </c>
    </row>
    <row r="85" ht="48" customHeight="1">
      <c r="A85" s="10" t="inlineStr">
        <is>
          <t>10.2.1</t>
        </is>
      </c>
      <c r="B85" s="10" t="inlineStr">
        <is>
          <t>10. Gabinete, montaje e instalación</t>
        </is>
      </c>
      <c r="C85" s="10" t="inlineStr">
        <is>
          <t>10.2 Montaje en rack</t>
        </is>
      </c>
      <c r="D85" s="11" t="inlineStr">
        <is>
          <t>Espacio libre vertical en rack de 19 pulgadas</t>
        </is>
      </c>
      <c r="E85" s="11" t="inlineStr">
        <is>
          <t>Espacio vertical disponible en el rack o panel cortado</t>
        </is>
      </c>
      <c r="F85" s="12" t="inlineStr">
        <is>
          <t>Medir con flexómetro la altura libre disponible en el rack para el equipo, entre los perfiles de montaje o los equipos adyacentes.</t>
        </is>
      </c>
      <c r="G85" s="10" t="inlineStr">
        <is>
          <t>Numérico</t>
        </is>
      </c>
      <c r="H85" s="10" t="inlineStr">
        <is>
          <t>mm</t>
        </is>
      </c>
      <c r="I85" s="11" t="inlineStr">
        <is>
          <t>Requiere una altura mínima de 222 mm (5 unidades de rack). Límite superior PENDIENTE DE VALIDAR</t>
        </is>
      </c>
      <c r="J85" s="13" t="inlineStr">
        <is>
          <t>Alerta</t>
        </is>
      </c>
      <c r="K85" s="14" t="inlineStr">
        <is>
          <t>Menos de 222 mm disponibles: el equipo queda forzado</t>
        </is>
      </c>
      <c r="L85" s="15" t="inlineStr">
        <is>
          <t>10.2.2</t>
        </is>
      </c>
      <c r="M85" s="14" t="inlineStr">
        <is>
          <t>Liberar el espacio de 5U antes de instalar el equipo</t>
        </is>
      </c>
      <c r="N85" s="16" t="inlineStr">
        <is>
          <t>El espacio disponible en el rack es inferior al requerido por el analizador.</t>
        </is>
      </c>
      <c r="O85" s="10" t="n">
        <v>222</v>
      </c>
      <c r="P85" s="10" t="n"/>
      <c r="Q85" s="10" t="inlineStr">
        <is>
          <t>Sí</t>
        </is>
      </c>
      <c r="R85" s="10" t="inlineStr">
        <is>
          <t>No</t>
        </is>
      </c>
      <c r="S85" s="11" t="inlineStr"/>
      <c r="T85" s="11" t="inlineStr">
        <is>
          <t>P-ST-001-MAN OPER APOA 370 V2</t>
        </is>
      </c>
      <c r="U85" s="17" t="inlineStr">
        <is>
          <t>Pendiente</t>
        </is>
      </c>
      <c r="V85" s="17" t="n"/>
      <c r="W85" s="10">
        <f>IF($G85&lt;&gt;"Numérico","",IF($V85="","Sin dato",IF(AND(OR(NOT(ISNUMBER($O85)),$V85&gt;=$O85),OR(NOT(ISNUMBER($P85)),$V85&lt;=$P85)),"Dentro de rango","Fuera de rango")))</f>
        <v/>
      </c>
      <c r="X85" s="17" t="n"/>
      <c r="Y85" s="18" t="n"/>
      <c r="Z85" s="16">
        <f>IF(OR($U85="",$U85="Conforme",$U85="No aplica",$U85="Pendiente"),"",$N85&amp;IF($W85="Fuera de rango"," Valor medido: "&amp;TEXT($V85,"0.####")&amp;IF($H85="",""," "&amp;$H85)&amp;IF(AND(ISNUMBER($O85),$V85&lt;$O85),", por debajo del límite inferior de "&amp;TEXT($O85,"0.####")&amp;IF($H85="",""," "&amp;$H85),"")&amp;IF(AND(ISNUMBER($P85),$V85&gt;$P85),", por encima del límite superior de "&amp;TEXT($P85,"0.####")&amp;IF($H85="",""," "&amp;$H85),"")&amp;".","")&amp;IF($Y85="",""," "&amp;$Y85&amp;IF(RIGHT($Y85,1)=".","","."))&amp;" Acción recomendada: "&amp;$M85&amp;IF(RIGHT($M85,1)=".","",".")&amp;IF($J85="Bloqueante"," El equipo no se libera hasta resolver este hallazgo.",IF($J85="Cobrable"," Se incluye en la cotización de repuestos y consumibles."," Se deja registrado como observación.")))</f>
        <v/>
      </c>
    </row>
    <row r="86" ht="48" customHeight="1">
      <c r="A86" s="10" t="inlineStr">
        <is>
          <t>10.2.2</t>
        </is>
      </c>
      <c r="B86" s="10" t="inlineStr">
        <is>
          <t>10. Gabinete, montaje e instalación</t>
        </is>
      </c>
      <c r="C86" s="10" t="inlineStr">
        <is>
          <t>10.2 Montaje en rack</t>
        </is>
      </c>
      <c r="D86" s="11" t="inlineStr">
        <is>
          <t>Base de apoyo e instalación del chasis</t>
        </is>
      </c>
      <c r="E86" s="11" t="inlineStr">
        <is>
          <t>Presencia de platinas laterales de montaje y de una base de soporte en rack o escritorio</t>
        </is>
      </c>
      <c r="F86" s="12" t="inlineStr">
        <is>
          <t>Inspeccionar por debajo y a los lados del equipo la presencia de platinas de montaje y de bandeja o rieles de soporte, y comprobar presionando el frente que no haya flexión.</t>
        </is>
      </c>
      <c r="G86" s="10" t="inlineStr">
        <is>
          <t>Presente / Ausente</t>
        </is>
      </c>
      <c r="H86" s="10" t="inlineStr"/>
      <c r="I86" s="11" t="inlineStr">
        <is>
          <t>Debe estar montado sobre base de apoyo o rieles adecuados para soportar sus 15 kg</t>
        </is>
      </c>
      <c r="J86" s="13" t="inlineStr">
        <is>
          <t>Alerta</t>
        </is>
      </c>
      <c r="K86" s="14" t="inlineStr">
        <is>
          <t>Equipo de 15 kg apoyado solo por el frente: flexión del chasis</t>
        </is>
      </c>
      <c r="L86" s="15" t="inlineStr">
        <is>
          <t>10.2.1</t>
        </is>
      </c>
      <c r="M86" s="14" t="inlineStr">
        <is>
          <t>Instalar bandeja o rieles de soporte antes de cerrar el servicio</t>
        </is>
      </c>
      <c r="N86" s="16" t="inlineStr">
        <is>
          <t>El analizador no cuenta con bandeja o rieles de soporte y queda apoyado únicamente por su frente.</t>
        </is>
      </c>
      <c r="O86" s="10" t="n"/>
      <c r="P86" s="10" t="n"/>
      <c r="Q86" s="10" t="inlineStr">
        <is>
          <t>Sí</t>
        </is>
      </c>
      <c r="R86" s="10" t="inlineStr">
        <is>
          <t>Sí</t>
        </is>
      </c>
      <c r="S86" s="11" t="inlineStr"/>
      <c r="T86" s="11" t="inlineStr">
        <is>
          <t>P-ST-001-MAN OPER APOA 370 V2</t>
        </is>
      </c>
      <c r="U86" s="17" t="inlineStr">
        <is>
          <t>Pendiente</t>
        </is>
      </c>
      <c r="V86" s="17" t="n"/>
      <c r="W86" s="10">
        <f>IF($G86&lt;&gt;"Numérico","",IF($V86="","Sin dato",IF(AND(OR(NOT(ISNUMBER($O86)),$V86&gt;=$O86),OR(NOT(ISNUMBER($P86)),$V86&lt;=$P86)),"Dentro de rango","Fuera de rango")))</f>
        <v/>
      </c>
      <c r="X86" s="17" t="n"/>
      <c r="Y86" s="18" t="n"/>
      <c r="Z86" s="16">
        <f>IF(OR($U86="",$U86="Conforme",$U86="No aplica",$U86="Pendiente"),"",$N86&amp;IF($W86="Fuera de rango"," Valor medido: "&amp;TEXT($V86,"0.####")&amp;IF($H86="",""," "&amp;$H86)&amp;IF(AND(ISNUMBER($O86),$V86&lt;$O86),", por debajo del límite inferior de "&amp;TEXT($O86,"0.####")&amp;IF($H86="",""," "&amp;$H86),"")&amp;IF(AND(ISNUMBER($P86),$V86&gt;$P86),", por encima del límite superior de "&amp;TEXT($P86,"0.####")&amp;IF($H86="",""," "&amp;$H86),"")&amp;".","")&amp;IF($Y86="",""," "&amp;$Y86&amp;IF(RIGHT($Y86,1)=".","","."))&amp;" Acción recomendada: "&amp;$M86&amp;IF(RIGHT($M86,1)=".","",".")&amp;IF($J86="Bloqueante"," El equipo no se libera hasta resolver este hallazgo.",IF($J86="Cobrable"," Se incluye en la cotización de repuestos y consumibles."," Se deja registrado como observación.")))</f>
        <v/>
      </c>
    </row>
    <row r="87" ht="48" customHeight="1">
      <c r="A87" s="10" t="inlineStr">
        <is>
          <t>10.3.1</t>
        </is>
      </c>
      <c r="B87" s="10" t="inlineStr">
        <is>
          <t>10. Gabinete, montaje e instalación</t>
        </is>
      </c>
      <c r="C87" s="10" t="inlineStr">
        <is>
          <t>10.3 Entorno de operación</t>
        </is>
      </c>
      <c r="D87" s="11" t="inlineStr">
        <is>
          <t>Temperatura ambiental del recinto (shelter)</t>
        </is>
      </c>
      <c r="E87" s="11" t="inlineStr">
        <is>
          <t>Temperatura ambiente dentro de la estación de monitoreo o cabina climática</t>
        </is>
      </c>
      <c r="F87" s="12" t="inlineStr">
        <is>
          <t>Medir la temperatura del shelter con termohigrómetro calibrado, a la altura del equipo y alejado de la descarga del aire acondicionado. Registrar el máximo del día si hay datalogger.</t>
        </is>
      </c>
      <c r="G87" s="10" t="inlineStr">
        <is>
          <t>Numérico</t>
        </is>
      </c>
      <c r="H87" s="10" t="inlineStr">
        <is>
          <t>°C</t>
        </is>
      </c>
      <c r="I87" s="11" t="inlineStr">
        <is>
          <t>Debe mantenerse estable para evitar derivas por cambios bruscos superiores a 5 °C</t>
        </is>
      </c>
      <c r="J87" s="13" t="inlineStr">
        <is>
          <t>Alerta</t>
        </is>
      </c>
      <c r="K87" s="14" t="inlineStr">
        <is>
          <t>Aire acondicionado insuficiente o en falla</t>
        </is>
      </c>
      <c r="L87" s="15" t="inlineStr">
        <is>
          <t>6.1.2 ; 10.3.2</t>
        </is>
      </c>
      <c r="M87" s="14" t="inlineStr">
        <is>
          <t>Corregir la climatización del shelter; la deriva no se juzga hasta estabilizar la sala</t>
        </is>
      </c>
      <c r="N87" s="16" t="inlineStr">
        <is>
          <t>La temperatura de la cabina de monitoreo se encuentra fuera del rango de operación especificado para el analizador.</t>
        </is>
      </c>
      <c r="O87" s="10" t="n">
        <v>5</v>
      </c>
      <c r="P87" s="10" t="n">
        <v>40</v>
      </c>
      <c r="Q87" s="10" t="inlineStr">
        <is>
          <t>Sí</t>
        </is>
      </c>
      <c r="R87" s="10" t="inlineStr">
        <is>
          <t>No</t>
        </is>
      </c>
      <c r="S87" s="11" t="inlineStr"/>
      <c r="T87" s="11" t="inlineStr">
        <is>
          <t>P-ST-001-MAN OPER APOA 370 V2</t>
        </is>
      </c>
      <c r="U87" s="17" t="inlineStr">
        <is>
          <t>Pendiente</t>
        </is>
      </c>
      <c r="V87" s="17" t="n"/>
      <c r="W87" s="10">
        <f>IF($G87&lt;&gt;"Numérico","",IF($V87="","Sin dato",IF(AND(OR(NOT(ISNUMBER($O87)),$V87&gt;=$O87),OR(NOT(ISNUMBER($P87)),$V87&lt;=$P87)),"Dentro de rango","Fuera de rango")))</f>
        <v/>
      </c>
      <c r="X87" s="17" t="n"/>
      <c r="Y87" s="18" t="n"/>
      <c r="Z87" s="16">
        <f>IF(OR($U87="",$U87="Conforme",$U87="No aplica",$U87="Pendiente"),"",$N87&amp;IF($W87="Fuera de rango"," Valor medido: "&amp;TEXT($V87,"0.####")&amp;IF($H87="",""," "&amp;$H87)&amp;IF(AND(ISNUMBER($O87),$V87&lt;$O87),", por debajo del límite inferior de "&amp;TEXT($O87,"0.####")&amp;IF($H87="",""," "&amp;$H87),"")&amp;IF(AND(ISNUMBER($P87),$V87&gt;$P87),", por encima del límite superior de "&amp;TEXT($P87,"0.####")&amp;IF($H87="",""," "&amp;$H87),"")&amp;".","")&amp;IF($Y87="",""," "&amp;$Y87&amp;IF(RIGHT($Y87,1)=".","","."))&amp;" Acción recomendada: "&amp;$M87&amp;IF(RIGHT($M87,1)=".","",".")&amp;IF($J87="Bloqueante"," El equipo no se libera hasta resolver este hallazgo.",IF($J87="Cobrable"," Se incluye en la cotización de repuestos y consumibles."," Se deja registrado como observación.")))</f>
        <v/>
      </c>
    </row>
    <row r="88" ht="48" customHeight="1">
      <c r="A88" s="10" t="inlineStr">
        <is>
          <t>10.3.2</t>
        </is>
      </c>
      <c r="B88" s="10" t="inlineStr">
        <is>
          <t>10. Gabinete, montaje e instalación</t>
        </is>
      </c>
      <c r="C88" s="10" t="inlineStr">
        <is>
          <t>10.3 Entorno de operación</t>
        </is>
      </c>
      <c r="D88" s="11" t="inlineStr">
        <is>
          <t>Humedad relativa en la cabina de monitoreo</t>
        </is>
      </c>
      <c r="E88" s="11" t="inlineStr">
        <is>
          <t>Humedad relativa dentro del shelter o recinto de alojamiento</t>
        </is>
      </c>
      <c r="F88" s="12" t="inlineStr">
        <is>
          <t>Medir la humedad relativa con termohigrómetro calibrado junto al equipo y registrarla junto con la temperatura medida en el mismo instante.</t>
        </is>
      </c>
      <c r="G88" s="10" t="inlineStr">
        <is>
          <t>Numérico</t>
        </is>
      </c>
      <c r="H88" s="10" t="inlineStr">
        <is>
          <t>%</t>
        </is>
      </c>
      <c r="I88" s="11" t="inlineStr">
        <is>
          <t>Humedad baja para prevenir condensación en líneas y oxidación de la lámina táctil</t>
        </is>
      </c>
      <c r="J88" s="13" t="inlineStr">
        <is>
          <t>Alerta</t>
        </is>
      </c>
      <c r="K88" s="14" t="inlineStr">
        <is>
          <t>Humedad alta: condensación en líneas y sulfatación del panel táctil</t>
        </is>
      </c>
      <c r="L88" s="15" t="inlineStr">
        <is>
          <t>4.2.1 ; 7.3.1</t>
        </is>
      </c>
      <c r="M88" s="14" t="inlineStr">
        <is>
          <t>Deshumidificar la cabina y revisar la línea de muestreo</t>
        </is>
      </c>
      <c r="N88" s="16" t="inlineStr">
        <is>
          <t>La humedad relativa de la cabina supera el límite admisible, con riesgo de condensación en el analizador.</t>
        </is>
      </c>
      <c r="O88" s="10" t="n"/>
      <c r="P88" s="10" t="n">
        <v>80</v>
      </c>
      <c r="Q88" s="10" t="inlineStr">
        <is>
          <t>Sí</t>
        </is>
      </c>
      <c r="R88" s="10" t="inlineStr">
        <is>
          <t>No</t>
        </is>
      </c>
      <c r="S88" s="11" t="inlineStr"/>
      <c r="T88" s="11" t="inlineStr">
        <is>
          <t>MT_4UFVB4RH_APOA370_221031</t>
        </is>
      </c>
      <c r="U88" s="17" t="inlineStr">
        <is>
          <t>Pendiente</t>
        </is>
      </c>
      <c r="V88" s="17" t="n"/>
      <c r="W88" s="10">
        <f>IF($G88&lt;&gt;"Numérico","",IF($V88="","Sin dato",IF(AND(OR(NOT(ISNUMBER($O88)),$V88&gt;=$O88),OR(NOT(ISNUMBER($P88)),$V88&lt;=$P88)),"Dentro de rango","Fuera de rango")))</f>
        <v/>
      </c>
      <c r="X88" s="17" t="n"/>
      <c r="Y88" s="18" t="n"/>
      <c r="Z88" s="16">
        <f>IF(OR($U88="",$U88="Conforme",$U88="No aplica",$U88="Pendiente"),"",$N88&amp;IF($W88="Fuera de rango"," Valor medido: "&amp;TEXT($V88,"0.####")&amp;IF($H88="",""," "&amp;$H88)&amp;IF(AND(ISNUMBER($O88),$V88&lt;$O88),", por debajo del límite inferior de "&amp;TEXT($O88,"0.####")&amp;IF($H88="",""," "&amp;$H88),"")&amp;IF(AND(ISNUMBER($P88),$V88&gt;$P88),", por encima del límite superior de "&amp;TEXT($P88,"0.####")&amp;IF($H88="",""," "&amp;$H88),"")&amp;".","")&amp;IF($Y88="",""," "&amp;$Y88&amp;IF(RIGHT($Y88,1)=".","","."))&amp;" Acción recomendada: "&amp;$M88&amp;IF(RIGHT($M88,1)=".","",".")&amp;IF($J88="Bloqueante"," El equipo no se libera hasta resolver este hallazgo.",IF($J88="Cobrable"," Se incluye en la cotización de repuestos y consumibles."," Se deja registrado como observación.")))</f>
        <v/>
      </c>
    </row>
  </sheetData>
  <autoFilter ref="A8:Z88"/>
  <conditionalFormatting sqref="U9:U88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W9:W88">
    <cfRule type="cellIs" priority="4" operator="equal" dxfId="1">
      <formula>"Fuera de rango"</formula>
    </cfRule>
  </conditionalFormatting>
  <conditionalFormatting sqref="J9:J88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U9:U88" showDropDown="0" showInputMessage="0" showErrorMessage="0" allowBlank="1" type="list">
      <formula1>Listas!$A$2:$A$6</formula1>
    </dataValidation>
    <dataValidation sqref="X9:X88" showDropDown="0" showInputMessage="0" showErrorMessage="0" allowBlank="1" type="list">
      <formula1>Listas!$B$2:$B$4</formula1>
    </dataValidation>
    <dataValidation sqref="J9:J88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4"/>
  <sheetViews>
    <sheetView showGridLines="0"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2" customWidth="1" min="3" max="3"/>
    <col width="34" customWidth="1" min="4" max="4"/>
    <col width="46" customWidth="1" min="5" max="5"/>
    <col width="62" customWidth="1" min="6" max="6"/>
    <col width="14" customWidth="1" min="7" max="7"/>
    <col width="10" customWidth="1" min="8" max="8"/>
    <col width="52" customWidth="1" min="9" max="9"/>
    <col width="17" customWidth="1" min="10" max="10"/>
    <col width="54" customWidth="1" min="11" max="11"/>
    <col width="22" customWidth="1" min="12" max="12"/>
    <col width="54" customWidth="1" min="13" max="13"/>
    <col width="62" customWidth="1" min="14" max="14"/>
    <col width="10" customWidth="1" min="15" max="15"/>
    <col width="10" customWidth="1" min="16" max="16"/>
    <col width="11" customWidth="1" min="17" max="17"/>
    <col width="14" customWidth="1" min="18" max="18"/>
    <col width="46" customWidth="1" min="19" max="19"/>
    <col width="34" customWidth="1" min="20" max="20"/>
    <col width="19" customWidth="1" min="21" max="21"/>
    <col width="13" customWidth="1" min="22" max="22"/>
    <col width="17" customWidth="1" min="23" max="23"/>
    <col width="12" customWidth="1" min="24" max="24"/>
    <col width="46" customWidth="1" min="25" max="25"/>
    <col width="80" customWidth="1" min="26" max="26"/>
  </cols>
  <sheetData>
    <row r="1" ht="18" customHeight="1">
      <c r="A1" s="5" t="inlineStr">
        <is>
          <t>FASE 1 — INSPECCIÓN FÍSICA DEL EQUIPO · APNA-370 (NOx) (catálogo + captura)</t>
        </is>
      </c>
    </row>
    <row r="3">
      <c r="A3" s="6" t="inlineStr">
        <is>
          <t>Cliente:</t>
        </is>
      </c>
      <c r="B3" s="7" t="n"/>
      <c r="D3" s="6" t="inlineStr">
        <is>
          <t>Principio de medición:</t>
        </is>
      </c>
      <c r="E3" s="7" t="inlineStr">
        <is>
          <t>Quimiluminiscencia en fase reducida</t>
        </is>
      </c>
    </row>
    <row r="4">
      <c r="A4" s="6" t="inlineStr">
        <is>
          <t>NIT:</t>
        </is>
      </c>
      <c r="B4" s="7" t="n"/>
      <c r="D4" s="6" t="inlineStr">
        <is>
          <t>Fecha de inspección:</t>
        </is>
      </c>
      <c r="E4" s="7" t="n"/>
    </row>
    <row r="5">
      <c r="A5" s="6" t="inlineStr">
        <is>
          <t>Equipo / Modelo:</t>
        </is>
      </c>
      <c r="B5" s="8" t="inlineStr">
        <is>
          <t>Analizador de óxidos de nitrógeno HORIBA APNA-370</t>
        </is>
      </c>
      <c r="D5" s="6" t="inlineStr">
        <is>
          <t>Técnico responsable:</t>
        </is>
      </c>
      <c r="E5" s="7" t="n"/>
    </row>
    <row r="6">
      <c r="A6" s="6" t="inlineStr">
        <is>
          <t>Número de serie:</t>
        </is>
      </c>
      <c r="B6" s="7" t="n"/>
      <c r="D6" s="6" t="inlineStr">
        <is>
          <t>N.º de informe (MT):</t>
        </is>
      </c>
      <c r="E6" s="7" t="n"/>
    </row>
    <row r="8" ht="31.5" customHeight="1">
      <c r="A8" s="9" t="inlineStr">
        <is>
          <t>ID</t>
        </is>
      </c>
      <c r="B8" s="9" t="inlineStr">
        <is>
          <t>Nivel macro (N1)</t>
        </is>
      </c>
      <c r="C8" s="9" t="inlineStr">
        <is>
          <t>Subnivel (N2)</t>
        </is>
      </c>
      <c r="D8" s="9" t="inlineStr">
        <is>
          <t>Ítem (N3)</t>
        </is>
      </c>
      <c r="E8" s="9" t="inlineStr">
        <is>
          <t>Qué se verifica</t>
        </is>
      </c>
      <c r="F8" s="9" t="inlineStr">
        <is>
          <t>Cómo se realiza la inspección</t>
        </is>
      </c>
      <c r="G8" s="9" t="inlineStr">
        <is>
          <t>Tipo de dato</t>
        </is>
      </c>
      <c r="H8" s="9" t="inlineStr">
        <is>
          <t>Unidad</t>
        </is>
      </c>
      <c r="I8" s="9" t="inlineStr">
        <is>
          <t>Criterio de aceptación</t>
        </is>
      </c>
      <c r="J8" s="9" t="inlineStr">
        <is>
          <t>Criterio de falla</t>
        </is>
      </c>
      <c r="K8" s="9" t="inlineStr">
        <is>
          <t>Si NO OK → causa probable</t>
        </is>
      </c>
      <c r="L8" s="9" t="inlineStr">
        <is>
          <t>Si NO OK → verificar (ID)</t>
        </is>
      </c>
      <c r="M8" s="9" t="inlineStr">
        <is>
          <t>Si NO OK → acción</t>
        </is>
      </c>
      <c r="N8" s="9" t="inlineStr">
        <is>
          <t>Comentario de falla (informe al cliente)</t>
        </is>
      </c>
      <c r="O8" s="9" t="inlineStr">
        <is>
          <t>Límite inferior</t>
        </is>
      </c>
      <c r="P8" s="9" t="inlineStr">
        <is>
          <t>Límite superior</t>
        </is>
      </c>
      <c r="Q8" s="9" t="inlineStr">
        <is>
          <t>Obligatorio</t>
        </is>
      </c>
      <c r="R8" s="9" t="inlineStr">
        <is>
          <t>Evidencia fotográfica requerida</t>
        </is>
      </c>
      <c r="S8" s="9" t="inlineStr">
        <is>
          <t>Repuesto / parte asociada (catálogo Zoho Books)</t>
        </is>
      </c>
      <c r="T8" s="9" t="inlineStr">
        <is>
          <t>Fuente documental</t>
        </is>
      </c>
      <c r="U8" s="9" t="inlineStr">
        <is>
          <t>Resultado</t>
        </is>
      </c>
      <c r="V8" s="9" t="inlineStr">
        <is>
          <t>Valor medido</t>
        </is>
      </c>
      <c r="W8" s="9" t="inlineStr">
        <is>
          <t>Verificación de rango</t>
        </is>
      </c>
      <c r="X8" s="9" t="inlineStr">
        <is>
          <t>Foto adjunta</t>
        </is>
      </c>
      <c r="Y8" s="9" t="inlineStr">
        <is>
          <t>Observación</t>
        </is>
      </c>
      <c r="Z8" s="9" t="inlineStr">
        <is>
          <t>Comentario para el informe (automático)</t>
        </is>
      </c>
    </row>
    <row r="9" ht="48" customHeight="1">
      <c r="A9" s="10" t="inlineStr">
        <is>
          <t>1.1.1</t>
        </is>
      </c>
      <c r="B9" s="10" t="inlineStr">
        <is>
          <t>1. Verificación funcional inicial</t>
        </is>
      </c>
      <c r="C9" s="10" t="inlineStr">
        <is>
          <t>1.1 Encendido y LEDs frontales</t>
        </is>
      </c>
      <c r="D9" s="11" t="inlineStr">
        <is>
          <t>Estado visual del LED frontal de encendido</t>
        </is>
      </c>
      <c r="E9" s="11" t="inlineStr">
        <is>
          <t>Color del LED en la esquina inferior izquierda del panel frontal</t>
        </is>
      </c>
      <c r="F9" s="12" t="inlineStr">
        <is>
          <t>Con el equipo energizado, observar el LED de la esquina inferior izquierda del panel frontal y registrar su color. No requiere abrir el equipo.</t>
        </is>
      </c>
      <c r="G9" s="10" t="inlineStr">
        <is>
          <t>OK / No OK</t>
        </is>
      </c>
      <c r="H9" s="10" t="inlineStr"/>
      <c r="I9" s="11" t="inlineStr">
        <is>
          <t>Debe iluminarse en verde constante (operación normal); en rojo indica condición de alarma</t>
        </is>
      </c>
      <c r="J9" s="13" t="inlineStr">
        <is>
          <t>Alerta</t>
        </is>
      </c>
      <c r="K9" s="14" t="inlineStr">
        <is>
          <t>LED en rojo: hay al menos una alarma activa en el equipo</t>
        </is>
      </c>
      <c r="L9" s="15" t="inlineStr">
        <is>
          <t>1.2.1</t>
        </is>
      </c>
      <c r="M9" s="14" t="inlineStr">
        <is>
          <t>Registrar el color y pasar al listado de alarmas antes de continuar</t>
        </is>
      </c>
      <c r="N9" s="16" t="inlineStr">
        <is>
          <t>El indicador de encendido del panel frontal no muestra el estado normal de operación, lo que señala una condición de alarma activa en el analizador.</t>
        </is>
      </c>
      <c r="O9" s="10" t="n"/>
      <c r="P9" s="10" t="n"/>
      <c r="Q9" s="10" t="inlineStr">
        <is>
          <t>Sí</t>
        </is>
      </c>
      <c r="R9" s="10" t="inlineStr">
        <is>
          <t>Sí</t>
        </is>
      </c>
      <c r="S9" s="11" t="inlineStr"/>
      <c r="T9" s="11" t="inlineStr">
        <is>
          <t>OP_APNA-370 (Manual de Operación)</t>
        </is>
      </c>
      <c r="U9" s="17" t="inlineStr">
        <is>
          <t>Pendiente</t>
        </is>
      </c>
      <c r="V9" s="17" t="n"/>
      <c r="W9" s="10">
        <f>IF($G9&lt;&gt;"Numérico","",IF($V9="","Sin dato",IF(AND(OR(NOT(ISNUMBER($O9)),$V9&gt;=$O9),OR(NOT(ISNUMBER($P9)),$V9&lt;=$P9)),"Dentro de rango","Fuera de rango")))</f>
        <v/>
      </c>
      <c r="X9" s="17" t="n"/>
      <c r="Y9" s="18" t="n"/>
      <c r="Z9" s="16">
        <f>IF(OR($U9="",$U9="Conforme",$U9="No aplica",$U9="Pendiente"),"",$N9&amp;IF($W9="Fuera de rango"," Valor medido: "&amp;TEXT($V9,"0.####")&amp;IF($H9="",""," "&amp;$H9)&amp;IF(AND(ISNUMBER($O9),$V9&lt;$O9),", por debajo del límite inferior de "&amp;TEXT($O9,"0.####")&amp;IF($H9="",""," "&amp;$H9),"")&amp;IF(AND(ISNUMBER($P9),$V9&gt;$P9),", por encima del límite superior de "&amp;TEXT($P9,"0.####")&amp;IF($H9="",""," "&amp;$H9),"")&amp;".","")&amp;IF($Y9="",""," "&amp;$Y9&amp;IF(RIGHT($Y9,1)=".","","."))&amp;" Acción recomendada: "&amp;$M9&amp;IF(RIGHT($M9,1)=".","",".")&amp;IF($J9="Bloqueante"," El equipo no se libera hasta resolver este hallazgo.",IF($J9="Cobrable"," Se incluye en la cotización de repuestos y consumibles."," Se deja registrado como observación.")))</f>
        <v/>
      </c>
    </row>
    <row r="10" ht="48" customHeight="1">
      <c r="A10" s="10" t="inlineStr">
        <is>
          <t>1.1.2</t>
        </is>
      </c>
      <c r="B10" s="10" t="inlineStr">
        <is>
          <t>1. Verificación funcional inicial</t>
        </is>
      </c>
      <c r="C10" s="10" t="inlineStr">
        <is>
          <t>1.1 Encendido y LEDs frontales</t>
        </is>
      </c>
      <c r="D10" s="11" t="inlineStr">
        <is>
          <t>Operación del ozonizador interno</t>
        </is>
      </c>
      <c r="E10" s="11" t="inlineStr">
        <is>
          <t>Que la lámpara de ozono (UV) encienda y genere ozono en el sistema</t>
        </is>
      </c>
      <c r="F10" s="12" t="inlineStr">
        <is>
          <t>Con el equipo en operación y la cubierta retirada, observar la lámpara del ozonizador confirmando la descarga azul, y verificar que el LED de la tarjeta de potencia esté encendido.</t>
        </is>
      </c>
      <c r="G10" s="10" t="inlineStr">
        <is>
          <t>Sí/No</t>
        </is>
      </c>
      <c r="H10" s="10" t="inlineStr"/>
      <c r="I10" s="11" t="inlineStr">
        <is>
          <t>La lámpara UV debe encender (descarga azul) y el LED de la tarjeta de potencia debe brillar</t>
        </is>
      </c>
      <c r="J10" s="13" t="inlineStr">
        <is>
          <t>Bloqueante</t>
        </is>
      </c>
      <c r="K10" s="14" t="inlineStr">
        <is>
          <t>Tarjeta AP-UVP-03 en falla, lámpara de ozono agotada, o apagado de protección por otra alarma activa</t>
        </is>
      </c>
      <c r="L10" s="15" t="inlineStr">
        <is>
          <t>6.3.1 ; 1.2.1 ; 5.2.1 ; 5.5.4</t>
        </is>
      </c>
      <c r="M10" s="14" t="inlineStr">
        <is>
          <t>El ozonizador se apaga solo si hay alarma de flujo, presión o convertidor: resolver esa alarma primero</t>
        </is>
      </c>
      <c r="N10" s="16" t="inlineStr">
        <is>
          <t>El generador de ozono interno no está operando, por lo que el analizador no puede realizar la reacción de medición.</t>
        </is>
      </c>
      <c r="O10" s="10" t="n"/>
      <c r="P10" s="10" t="n"/>
      <c r="Q10" s="10" t="inlineStr">
        <is>
          <t>Sí</t>
        </is>
      </c>
      <c r="R10" s="10" t="inlineStr">
        <is>
          <t>No</t>
        </is>
      </c>
      <c r="S10" s="11" t="inlineStr">
        <is>
          <t>UV Lamp Unit Ozonata unit (3014038054; alt. 3014038054-TCA)</t>
        </is>
      </c>
      <c r="T10" s="11" t="inlineStr">
        <is>
          <t>MT_926L0LFB_APNA370_241118 / MT_AE0FUTTH</t>
        </is>
      </c>
      <c r="U10" s="17" t="inlineStr">
        <is>
          <t>Pendiente</t>
        </is>
      </c>
      <c r="V10" s="17" t="n"/>
      <c r="W10" s="10">
        <f>IF($G10&lt;&gt;"Numérico","",IF($V10="","Sin dato",IF(AND(OR(NOT(ISNUMBER($O10)),$V10&gt;=$O10),OR(NOT(ISNUMBER($P10)),$V10&lt;=$P10)),"Dentro de rango","Fuera de rango")))</f>
        <v/>
      </c>
      <c r="X10" s="17" t="n"/>
      <c r="Y10" s="18" t="n"/>
      <c r="Z10" s="16">
        <f>IF(OR($U10="",$U10="Conforme",$U10="No aplica",$U10="Pendiente"),"",$N10&amp;IF($W10="Fuera de rango"," Valor medido: "&amp;TEXT($V10,"0.####")&amp;IF($H10="",""," "&amp;$H10)&amp;IF(AND(ISNUMBER($O10),$V10&lt;$O10),", por debajo del límite inferior de "&amp;TEXT($O10,"0.####")&amp;IF($H10="",""," "&amp;$H10),"")&amp;IF(AND(ISNUMBER($P10),$V10&gt;$P10),", por encima del límite superior de "&amp;TEXT($P10,"0.####")&amp;IF($H10="",""," "&amp;$H10),"")&amp;".","")&amp;IF($Y10="",""," "&amp;$Y10&amp;IF(RIGHT($Y10,1)=".","","."))&amp;" Acción recomendada: "&amp;$M10&amp;IF(RIGHT($M10,1)=".","",".")&amp;IF($J10="Bloqueante"," El equipo no se libera hasta resolver este hallazgo.",IF($J10="Cobrable"," Se incluye en la cotización de repuestos y consumibles."," Se deja registrado como observación.")))</f>
        <v/>
      </c>
    </row>
    <row r="11" ht="48" customHeight="1">
      <c r="A11" s="10" t="inlineStr">
        <is>
          <t>1.1.3</t>
        </is>
      </c>
      <c r="B11" s="10" t="inlineStr">
        <is>
          <t>1. Verificación funcional inicial</t>
        </is>
      </c>
      <c r="C11" s="10" t="inlineStr">
        <is>
          <t>1.1 Encendido y LEDs frontales</t>
        </is>
      </c>
      <c r="D11" s="11" t="inlineStr">
        <is>
          <t>Estado y brillo del display LCD</t>
        </is>
      </c>
      <c r="E11" s="11" t="inlineStr">
        <is>
          <t>Encendido inicial de la pantalla, sin parpadeos, líneas muertas ni fallas de iluminación</t>
        </is>
      </c>
      <c r="F11" s="12" t="inlineStr">
        <is>
          <t>Encender el equipo y observar la pantalla durante toda la secuencia de arranque, verificando ausencia de parpadeos, líneas muertas o zonas sin retroiluminación.</t>
        </is>
      </c>
      <c r="G11" s="10" t="inlineStr">
        <is>
          <t>OK / No OK</t>
        </is>
      </c>
      <c r="H11" s="10" t="inlineStr"/>
      <c r="I11" s="11" t="inlineStr">
        <is>
          <t>La pantalla LCD táctil debe encender normalmente y mostrar la interfaz gráfica MEAS</t>
        </is>
      </c>
      <c r="J11" s="13" t="inlineStr">
        <is>
          <t>Cobrable</t>
        </is>
      </c>
      <c r="K11" s="14" t="inlineStr">
        <is>
          <t>Unidad LCD, bus de datos, o inversor de retroiluminación en falla</t>
        </is>
      </c>
      <c r="L11" s="15" t="inlineStr">
        <is>
          <t>7.3.1 ; 7.3.2</t>
        </is>
      </c>
      <c r="M11" s="14" t="inlineStr">
        <is>
          <t>Prueba cruzada con unidad LCD de servicio antes de reemplazar</t>
        </is>
      </c>
      <c r="N11" s="16" t="inlineStr">
        <is>
          <t>La pantalla del analizador presenta parpadeos, zonas sin imagen o falla de iluminación.</t>
        </is>
      </c>
      <c r="O11" s="10" t="n"/>
      <c r="P11" s="10" t="n"/>
      <c r="Q11" s="10" t="inlineStr">
        <is>
          <t>Sí</t>
        </is>
      </c>
      <c r="R11" s="10" t="inlineStr">
        <is>
          <t>Sí</t>
        </is>
      </c>
      <c r="S11" s="11" t="inlineStr">
        <is>
          <t>LCD Plate (3200595501) · LCD Unit (Apen LCD + Touch Panel) (3014035613) · LCD Unit / AP-370 is composed of CPU-02 (printed circuit board), chassis, and LCD. (3200627065)</t>
        </is>
      </c>
      <c r="T11" s="11" t="inlineStr">
        <is>
          <t>MT_UMJJYLV9_APNA370_220930 / OP_APNA-370</t>
        </is>
      </c>
      <c r="U11" s="17" t="inlineStr">
        <is>
          <t>Pendiente</t>
        </is>
      </c>
      <c r="V11" s="17" t="n"/>
      <c r="W11" s="10">
        <f>IF($G11&lt;&gt;"Numérico","",IF($V11="","Sin dato",IF(AND(OR(NOT(ISNUMBER($O11)),$V11&gt;=$O11),OR(NOT(ISNUMBER($P11)),$V11&lt;=$P11)),"Dentro de rango","Fuera de rango")))</f>
        <v/>
      </c>
      <c r="X11" s="17" t="n"/>
      <c r="Y11" s="18" t="n"/>
      <c r="Z11" s="16">
        <f>IF(OR($U11="",$U11="Conforme",$U11="No aplica",$U11="Pendiente"),"",$N11&amp;IF($W11="Fuera de rango"," Valor medido: "&amp;TEXT($V11,"0.####")&amp;IF($H11="",""," "&amp;$H11)&amp;IF(AND(ISNUMBER($O11),$V11&lt;$O11),", por debajo del límite inferior de "&amp;TEXT($O11,"0.####")&amp;IF($H11="",""," "&amp;$H11),"")&amp;IF(AND(ISNUMBER($P11),$V11&gt;$P11),", por encima del límite superior de "&amp;TEXT($P11,"0.####")&amp;IF($H11="",""," "&amp;$H11),"")&amp;".","")&amp;IF($Y11="",""," "&amp;$Y11&amp;IF(RIGHT($Y11,1)=".","","."))&amp;" Acción recomendada: "&amp;$M11&amp;IF(RIGHT($M11,1)=".","",".")&amp;IF($J11="Bloqueante"," El equipo no se libera hasta resolver este hallazgo.",IF($J11="Cobrable"," Se incluye en la cotización de repuestos y consumibles."," Se deja registrado como observación.")))</f>
        <v/>
      </c>
    </row>
    <row r="12" ht="48" customHeight="1">
      <c r="A12" s="10" t="inlineStr">
        <is>
          <t>1.2.1</t>
        </is>
      </c>
      <c r="B12" s="10" t="inlineStr">
        <is>
          <t>1. Verificación funcional inicial</t>
        </is>
      </c>
      <c r="C12" s="10" t="inlineStr">
        <is>
          <t>1.2 Autodiagnóstico</t>
        </is>
      </c>
      <c r="D12" s="11" t="inlineStr">
        <is>
          <t>Revisión de alarmas activas</t>
        </is>
      </c>
      <c r="E12" s="11" t="inlineStr">
        <is>
          <t>Presencia del icono ALARM en la esquina inferior derecha de la pantalla MEAS y revisión del histórico</t>
        </is>
      </c>
      <c r="F12" s="12" t="inlineStr">
        <is>
          <t>Observar la esquina inferior derecha de la pantalla MEAS. Si aparece el icono ALARM, presionarlo y anotar los códigos activos y el histórico antes de continuar.</t>
        </is>
      </c>
      <c r="G12" s="10" t="inlineStr">
        <is>
          <t>Presente / Ausente</t>
        </is>
      </c>
      <c r="H12" s="10" t="inlineStr"/>
      <c r="I12" s="11" t="inlineStr">
        <is>
          <t>No deben existir alarmas activas después del periodo de estabilización inicial</t>
        </is>
      </c>
      <c r="J12" s="13" t="inlineStr">
        <is>
          <t>Bloqueante</t>
        </is>
      </c>
      <c r="K12" s="14" t="inlineStr">
        <is>
          <t>Alarma activa de proceso, de calibración o de tarjeta</t>
        </is>
      </c>
      <c r="L12" s="15" t="inlineStr">
        <is>
          <t>5.2.1 ; 5.5.4 ; 3.3.1 ; 9.1.1</t>
        </is>
      </c>
      <c r="M12" s="14" t="inlineStr">
        <is>
          <t>Anotar el código en MENU/ALARM y entrar por la rama que corresponda</t>
        </is>
      </c>
      <c r="N12" s="16" t="inlineStr">
        <is>
          <t>El analizador presenta al menos una alarma activa al momento de la inspección.</t>
        </is>
      </c>
      <c r="O12" s="10" t="n"/>
      <c r="P12" s="10" t="n"/>
      <c r="Q12" s="10" t="inlineStr">
        <is>
          <t>Sí</t>
        </is>
      </c>
      <c r="R12" s="10" t="inlineStr">
        <is>
          <t>Sí</t>
        </is>
      </c>
      <c r="S12" s="11" t="inlineStr"/>
      <c r="T12" s="11" t="inlineStr">
        <is>
          <t>OP_APNA-370 (Manual de Operación)</t>
        </is>
      </c>
      <c r="U12" s="17" t="inlineStr">
        <is>
          <t>Pendiente</t>
        </is>
      </c>
      <c r="V12" s="17" t="n"/>
      <c r="W12" s="10">
        <f>IF($G12&lt;&gt;"Numérico","",IF($V12="","Sin dato",IF(AND(OR(NOT(ISNUMBER($O12)),$V12&gt;=$O12),OR(NOT(ISNUMBER($P12)),$V12&lt;=$P12)),"Dentro de rango","Fuera de rango")))</f>
        <v/>
      </c>
      <c r="X12" s="17" t="n"/>
      <c r="Y12" s="18" t="n"/>
      <c r="Z12" s="16">
        <f>IF(OR($U12="",$U12="Conforme",$U12="No aplica",$U12="Pendiente"),"",$N12&amp;IF($W12="Fuera de rango"," Valor medido: "&amp;TEXT($V12,"0.####")&amp;IF($H12="",""," "&amp;$H12)&amp;IF(AND(ISNUMBER($O12),$V12&lt;$O12),", por debajo del límite inferior de "&amp;TEXT($O12,"0.####")&amp;IF($H12="",""," "&amp;$H12),"")&amp;IF(AND(ISNUMBER($P12),$V12&gt;$P12),", por encima del límite superior de "&amp;TEXT($P12,"0.####")&amp;IF($H12="",""," "&amp;$H12),"")&amp;".","")&amp;IF($Y12="",""," "&amp;$Y12&amp;IF(RIGHT($Y12,1)=".","","."))&amp;" Acción recomendada: "&amp;$M12&amp;IF(RIGHT($M12,1)=".","",".")&amp;IF($J12="Bloqueante"," El equipo no se libera hasta resolver este hallazgo.",IF($J12="Cobrable"," Se incluye en la cotización de repuestos y consumibles."," Se deja registrado como observación.")))</f>
        <v/>
      </c>
    </row>
    <row r="13" ht="48" customHeight="1">
      <c r="A13" s="10" t="inlineStr">
        <is>
          <t>1.3.1</t>
        </is>
      </c>
      <c r="B13" s="10" t="inlineStr">
        <is>
          <t>1. Verificación funcional inicial</t>
        </is>
      </c>
      <c r="C13" s="10" t="inlineStr">
        <is>
          <t>1.3 Estabilización térmica</t>
        </is>
      </c>
      <c r="D13" s="11" t="inlineStr">
        <is>
          <t>Tiempo de calentamiento posterior al encendido</t>
        </is>
      </c>
      <c r="E13" s="11" t="inlineStr">
        <is>
          <t>Tiempo transcurrido desde el encendido, para estabilización térmica del convertidor y del detector</t>
        </is>
      </c>
      <c r="F13" s="12" t="inlineStr">
        <is>
          <t>Anotar la hora de encendido del equipo y calcular las horas transcurridas hasta la inspección o la calibración. Si el equipo llevaba operando, registrar que ya estaba estabilizado.</t>
        </is>
      </c>
      <c r="G13" s="10" t="inlineStr">
        <is>
          <t>Numérico</t>
        </is>
      </c>
      <c r="H13" s="10" t="inlineStr">
        <is>
          <t>horas</t>
        </is>
      </c>
      <c r="I13" s="11" t="inlineStr">
        <is>
          <t>Mínimo 3 h antes de medir o calibrar; se recomienda 24 a 48 h</t>
        </is>
      </c>
      <c r="J13" s="13" t="inlineStr">
        <is>
          <t>Alerta</t>
        </is>
      </c>
      <c r="K13" s="14" t="inlineStr">
        <is>
          <t>Equipo encendido hace menos de 3 h: convertidor y detector aún inestables</t>
        </is>
      </c>
      <c r="L13" s="15" t="inlineStr">
        <is>
          <t>9.1.1 ; 6.2.1</t>
        </is>
      </c>
      <c r="M13" s="14" t="inlineStr">
        <is>
          <t>Esperar el calentamiento completo (24 a 48 h recomendadas) antes de calibrar</t>
        </is>
      </c>
      <c r="N13" s="16" t="inlineStr">
        <is>
          <t>El analizador no ha completado el tiempo mínimo de calentamiento, por lo que sus lecturas aún no son representativas.</t>
        </is>
      </c>
      <c r="O13" s="10" t="n">
        <v>3</v>
      </c>
      <c r="P13" s="10" t="n">
        <v>48</v>
      </c>
      <c r="Q13" s="10" t="inlineStr">
        <is>
          <t>Sí</t>
        </is>
      </c>
      <c r="R13" s="10" t="inlineStr">
        <is>
          <t>No</t>
        </is>
      </c>
      <c r="S13" s="11" t="inlineStr"/>
      <c r="T13" s="11" t="inlineStr">
        <is>
          <t>GZ0000117746B SM E APXX-370 (Service Manual)</t>
        </is>
      </c>
      <c r="U13" s="17" t="inlineStr">
        <is>
          <t>Pendiente</t>
        </is>
      </c>
      <c r="V13" s="17" t="n"/>
      <c r="W13" s="10">
        <f>IF($G13&lt;&gt;"Numérico","",IF($V13="","Sin dato",IF(AND(OR(NOT(ISNUMBER($O13)),$V13&gt;=$O13),OR(NOT(ISNUMBER($P13)),$V13&lt;=$P13)),"Dentro de rango","Fuera de rango")))</f>
        <v/>
      </c>
      <c r="X13" s="17" t="n"/>
      <c r="Y13" s="18" t="n"/>
      <c r="Z13" s="16">
        <f>IF(OR($U13="",$U13="Conforme",$U13="No aplica",$U13="Pendiente"),"",$N13&amp;IF($W13="Fuera de rango"," Valor medido: "&amp;TEXT($V13,"0.####")&amp;IF($H13="",""," "&amp;$H13)&amp;IF(AND(ISNUMBER($O13),$V13&lt;$O13),", por debajo del límite inferior de "&amp;TEXT($O13,"0.####")&amp;IF($H13="",""," "&amp;$H13),"")&amp;IF(AND(ISNUMBER($P13),$V13&gt;$P13),", por encima del límite superior de "&amp;TEXT($P13,"0.####")&amp;IF($H13="",""," "&amp;$H13),"")&amp;".","")&amp;IF($Y13="",""," "&amp;$Y13&amp;IF(RIGHT($Y13,1)=".","","."))&amp;" Acción recomendada: "&amp;$M13&amp;IF(RIGHT($M13,1)=".","",".")&amp;IF($J13="Bloqueante"," El equipo no se libera hasta resolver este hallazgo.",IF($J13="Cobrable"," Se incluye en la cotización de repuestos y consumibles."," Se deja registrado como observación.")))</f>
        <v/>
      </c>
    </row>
    <row r="14" ht="48" customHeight="1">
      <c r="A14" s="10" t="inlineStr">
        <is>
          <t>2.1.1</t>
        </is>
      </c>
      <c r="B14" s="10" t="inlineStr">
        <is>
          <t>2. Identificación y trazabilidad</t>
        </is>
      </c>
      <c r="C14" s="10" t="inlineStr">
        <is>
          <t>2.1 Placas e identificación física</t>
        </is>
      </c>
      <c r="D14" s="11" t="inlineStr">
        <is>
          <t>Número de serie y modelo del analizador</t>
        </is>
      </c>
      <c r="E14" s="11" t="inlineStr">
        <is>
          <t>Que la etiqueta posterior de fábrica con modelo y serial esté presente y legible</t>
        </is>
      </c>
      <c r="F14" s="12" t="inlineStr">
        <is>
          <t>Retirar el equipo del rack lo suficiente para ver el panel trasero, o usar espejo de inspección, y leer la etiqueta de fábrica. Contrastar con la orden de servicio y la hoja de vida.</t>
        </is>
      </c>
      <c r="G14" s="10" t="inlineStr">
        <is>
          <t>Texto</t>
        </is>
      </c>
      <c r="H14" s="10" t="inlineStr"/>
      <c r="I14" s="11" t="inlineStr">
        <is>
          <t>Debe coincidir exactamente con el número de serie registrado en las hojas de servicio</t>
        </is>
      </c>
      <c r="J14" s="13" t="inlineStr">
        <is>
          <t>Alerta</t>
        </is>
      </c>
      <c r="K14" s="14" t="inlineStr">
        <is>
          <t>Placa ilegible, o equipo distinto al de la orden de servicio</t>
        </is>
      </c>
      <c r="L14" s="15" t="inlineStr">
        <is>
          <t>2.1.2</t>
        </is>
      </c>
      <c r="M14" s="14" t="inlineStr">
        <is>
          <t>Registrar el serial real, fotografiarlo y corregir la hoja de vida</t>
        </is>
      </c>
      <c r="N14" s="16" t="inlineStr">
        <is>
          <t>La placa de identificación del fabricante no es legible o no coincide con el equipo registrado en la orden de servicio.</t>
        </is>
      </c>
      <c r="O14" s="10" t="n"/>
      <c r="P14" s="10" t="n"/>
      <c r="Q14" s="10" t="inlineStr">
        <is>
          <t>Sí</t>
        </is>
      </c>
      <c r="R14" s="10" t="inlineStr">
        <is>
          <t>No</t>
        </is>
      </c>
      <c r="S14" s="11" t="inlineStr"/>
      <c r="T14" s="11" t="inlineStr">
        <is>
          <t>MT_1XT65JR5_APNA370_240909 / Cables ports</t>
        </is>
      </c>
      <c r="U14" s="17" t="inlineStr">
        <is>
          <t>Pendiente</t>
        </is>
      </c>
      <c r="V14" s="17" t="n"/>
      <c r="W14" s="10">
        <f>IF($G14&lt;&gt;"Numérico","",IF($V14="","Sin dato",IF(AND(OR(NOT(ISNUMBER($O14)),$V14&gt;=$O14),OR(NOT(ISNUMBER($P14)),$V14&lt;=$P14)),"Dentro de rango","Fuera de rango")))</f>
        <v/>
      </c>
      <c r="X14" s="17" t="n"/>
      <c r="Y14" s="18" t="n"/>
      <c r="Z14" s="16">
        <f>IF(OR($U14="",$U14="Conforme",$U14="No aplica",$U14="Pendiente"),"",$N14&amp;IF($W14="Fuera de rango"," Valor medido: "&amp;TEXT($V14,"0.####")&amp;IF($H14="",""," "&amp;$H14)&amp;IF(AND(ISNUMBER($O14),$V14&lt;$O14),", por debajo del límite inferior de "&amp;TEXT($O14,"0.####")&amp;IF($H14="",""," "&amp;$H14),"")&amp;IF(AND(ISNUMBER($P14),$V14&gt;$P14),", por encima del límite superior de "&amp;TEXT($P14,"0.####")&amp;IF($H14="",""," "&amp;$H14),"")&amp;".","")&amp;IF($Y14="",""," "&amp;$Y14&amp;IF(RIGHT($Y14,1)=".","","."))&amp;" Acción recomendada: "&amp;$M14&amp;IF(RIGHT($M14,1)=".","",".")&amp;IF($J14="Bloqueante"," El equipo no se libera hasta resolver este hallazgo.",IF($J14="Cobrable"," Se incluye en la cotización de repuestos y consumibles."," Se deja registrado como observación.")))</f>
        <v/>
      </c>
    </row>
    <row r="15" ht="48" customHeight="1">
      <c r="A15" s="10" t="inlineStr">
        <is>
          <t>2.1.2</t>
        </is>
      </c>
      <c r="B15" s="10" t="inlineStr">
        <is>
          <t>2. Identificación y trazabilidad</t>
        </is>
      </c>
      <c r="C15" s="10" t="inlineStr">
        <is>
          <t>2.1 Placas e identificación física</t>
        </is>
      </c>
      <c r="D15" s="11" t="inlineStr">
        <is>
          <t>Etiqueta de inventario o control del cliente</t>
        </is>
      </c>
      <c r="E15" s="11" t="inlineStr">
        <is>
          <t>Presencia de la etiqueta de control de inventario en la puerta frontal</t>
        </is>
      </c>
      <c r="F15" s="12" t="inlineStr">
        <is>
          <t>Inspeccionar la puerta frontal y verificar la presencia y legibilidad de la etiqueta de control de inventario del cliente. Fotografiarla y anotar el serial.</t>
        </is>
      </c>
      <c r="G15" s="10" t="inlineStr">
        <is>
          <t>Presente / Ausente</t>
        </is>
      </c>
      <c r="H15" s="10" t="inlineStr"/>
      <c r="I15" s="11" t="inlineStr">
        <is>
          <t>Etiqueta presente y legible, con el serial de control del cliente</t>
        </is>
      </c>
      <c r="J15" s="13" t="inlineStr">
        <is>
          <t>Alerta</t>
        </is>
      </c>
      <c r="K15" s="14" t="inlineStr">
        <is>
          <t>Etiqueta ausente o ilegible: se pierde la trazabilidad con el cliente</t>
        </is>
      </c>
      <c r="L15" s="15" t="inlineStr">
        <is>
          <t>2.1.1</t>
        </is>
      </c>
      <c r="M15" s="14" t="inlineStr">
        <is>
          <t>Reponer la etiqueta de control y registrar el serial del cliente</t>
        </is>
      </c>
      <c r="N15" s="16" t="inlineStr">
        <is>
          <t>Falta o no es legible la etiqueta de control de inventario del cliente sobre el analizador.</t>
        </is>
      </c>
      <c r="O15" s="10" t="n"/>
      <c r="P15" s="10" t="n"/>
      <c r="Q15" s="10" t="inlineStr">
        <is>
          <t>Sí</t>
        </is>
      </c>
      <c r="R15" s="10" t="inlineStr">
        <is>
          <t>Sí</t>
        </is>
      </c>
      <c r="S15" s="11" t="inlineStr"/>
      <c r="T15" s="11" t="inlineStr">
        <is>
          <t>MT_US00XLH0_APNA370_251218 / MT_YM7PXU2K</t>
        </is>
      </c>
      <c r="U15" s="17" t="inlineStr">
        <is>
          <t>Pendiente</t>
        </is>
      </c>
      <c r="V15" s="17" t="n"/>
      <c r="W15" s="10">
        <f>IF($G15&lt;&gt;"Numérico","",IF($V15="","Sin dato",IF(AND(OR(NOT(ISNUMBER($O15)),$V15&gt;=$O15),OR(NOT(ISNUMBER($P15)),$V15&lt;=$P15)),"Dentro de rango","Fuera de rango")))</f>
        <v/>
      </c>
      <c r="X15" s="17" t="n"/>
      <c r="Y15" s="18" t="n"/>
      <c r="Z15" s="16">
        <f>IF(OR($U15="",$U15="Conforme",$U15="No aplica",$U15="Pendiente"),"",$N15&amp;IF($W15="Fuera de rango"," Valor medido: "&amp;TEXT($V15,"0.####")&amp;IF($H15="",""," "&amp;$H15)&amp;IF(AND(ISNUMBER($O15),$V15&lt;$O15),", por debajo del límite inferior de "&amp;TEXT($O15,"0.####")&amp;IF($H15="",""," "&amp;$H15),"")&amp;IF(AND(ISNUMBER($P15),$V15&gt;$P15),", por encima del límite superior de "&amp;TEXT($P15,"0.####")&amp;IF($H15="",""," "&amp;$H15),"")&amp;".","")&amp;IF($Y15="",""," "&amp;$Y15&amp;IF(RIGHT($Y15,1)=".","","."))&amp;" Acción recomendada: "&amp;$M15&amp;IF(RIGHT($M15,1)=".","",".")&amp;IF($J15="Bloqueante"," El equipo no se libera hasta resolver este hallazgo.",IF($J15="Cobrable"," Se incluye en la cotización de repuestos y consumibles."," Se deja registrado como observación.")))</f>
        <v/>
      </c>
    </row>
    <row r="16" ht="48" customHeight="1">
      <c r="A16" s="10" t="inlineStr">
        <is>
          <t>2.1.3</t>
        </is>
      </c>
      <c r="B16" s="10" t="inlineStr">
        <is>
          <t>2. Identificación y trazabilidad</t>
        </is>
      </c>
      <c r="C16" s="10" t="inlineStr">
        <is>
          <t>2.1 Placas e identificación física</t>
        </is>
      </c>
      <c r="D16" s="11" t="inlineStr">
        <is>
          <t>Etiqueta de apertura de puerta (Open Label)</t>
        </is>
      </c>
      <c r="E16" s="11" t="inlineStr">
        <is>
          <t>Etiqueta que indica el sentido de apertura o las instrucciones en la puerta delantera</t>
        </is>
      </c>
      <c r="F16" s="12" t="inlineStr">
        <is>
          <t>Inspeccionar la puerta delantera y verificar que la etiqueta Open Label esté adherida, completa y legible, sin desprendimientos en los bordes.</t>
        </is>
      </c>
      <c r="G16" s="10" t="inlineStr">
        <is>
          <t>Presente / Ausente</t>
        </is>
      </c>
      <c r="H16" s="10" t="inlineStr"/>
      <c r="I16" s="11" t="inlineStr">
        <is>
          <t>La etiqueta adhesiva debe estar adherida en la puerta frontal y en buen estado</t>
        </is>
      </c>
      <c r="J16" s="13" t="inlineStr">
        <is>
          <t>Alerta</t>
        </is>
      </c>
      <c r="K16" s="14" t="inlineStr">
        <is>
          <t>Etiqueta desprendida por manipulación repetida</t>
        </is>
      </c>
      <c r="L16" s="15" t="inlineStr">
        <is>
          <t>Nodo terminal — actuar directamente</t>
        </is>
      </c>
      <c r="M16" s="14" t="inlineStr">
        <is>
          <t>Reponer la etiqueta de la puerta</t>
        </is>
      </c>
      <c r="N16" s="16" t="inlineStr">
        <is>
          <t>Falta o no es legible la etiqueta de instrucciones de la puerta frontal.</t>
        </is>
      </c>
      <c r="O16" s="10" t="n"/>
      <c r="P16" s="10" t="n"/>
      <c r="Q16" s="10" t="inlineStr">
        <is>
          <t>Sí</t>
        </is>
      </c>
      <c r="R16" s="10" t="inlineStr">
        <is>
          <t>Sí</t>
        </is>
      </c>
      <c r="S16" s="11" t="inlineStr">
        <is>
          <t>Open Label (3012296756)</t>
        </is>
      </c>
      <c r="T16" s="11" t="inlineStr">
        <is>
          <t>MT_JV765TV0_APNA370_220216</t>
        </is>
      </c>
      <c r="U16" s="17" t="inlineStr">
        <is>
          <t>Pendiente</t>
        </is>
      </c>
      <c r="V16" s="17" t="n"/>
      <c r="W16" s="10">
        <f>IF($G16&lt;&gt;"Numérico","",IF($V16="","Sin dato",IF(AND(OR(NOT(ISNUMBER($O16)),$V16&gt;=$O16),OR(NOT(ISNUMBER($P16)),$V16&lt;=$P16)),"Dentro de rango","Fuera de rango")))</f>
        <v/>
      </c>
      <c r="X16" s="17" t="n"/>
      <c r="Y16" s="18" t="n"/>
      <c r="Z16" s="16">
        <f>IF(OR($U16="",$U16="Conforme",$U16="No aplica",$U16="Pendiente"),"",$N16&amp;IF($W16="Fuera de rango"," Valor medido: "&amp;TEXT($V16,"0.####")&amp;IF($H16="",""," "&amp;$H16)&amp;IF(AND(ISNUMBER($O16),$V16&lt;$O16),", por debajo del límite inferior de "&amp;TEXT($O16,"0.####")&amp;IF($H16="",""," "&amp;$H16),"")&amp;IF(AND(ISNUMBER($P16),$V16&gt;$P16),", por encima del límite superior de "&amp;TEXT($P16,"0.####")&amp;IF($H16="",""," "&amp;$H16),"")&amp;".","")&amp;IF($Y16="",""," "&amp;$Y16&amp;IF(RIGHT($Y16,1)=".","","."))&amp;" Acción recomendada: "&amp;$M16&amp;IF(RIGHT($M16,1)=".","",".")&amp;IF($J16="Bloqueante"," El equipo no se libera hasta resolver este hallazgo.",IF($J16="Cobrable"," Se incluye en la cotización de repuestos y consumibles."," Se deja registrado como observación.")))</f>
        <v/>
      </c>
    </row>
    <row r="17" ht="48" customHeight="1">
      <c r="A17" s="10" t="inlineStr">
        <is>
          <t>2.2.1</t>
        </is>
      </c>
      <c r="B17" s="10" t="inlineStr">
        <is>
          <t>2. Identificación y trazabilidad</t>
        </is>
      </c>
      <c r="C17" s="10" t="inlineStr">
        <is>
          <t>2.2 Trazabilidad de software</t>
        </is>
      </c>
      <c r="D17" s="11" t="inlineStr">
        <is>
          <t>Número de programa HGS/HTS</t>
        </is>
      </c>
      <c r="E17" s="11" t="inlineStr">
        <is>
          <t>Número HGS/HTS del analizador, para validar si aplica programa estándar o especial</t>
        </is>
      </c>
      <c r="F17" s="12" t="inlineStr">
        <is>
          <t>Ir a MENU / SYSTEM / INFORMATION y leer el número de programa en pantalla. Anotarlo textualmente y contrastarlo con el estándar de fábrica.</t>
        </is>
      </c>
      <c r="G17" s="10" t="inlineStr">
        <is>
          <t>Texto</t>
        </is>
      </c>
      <c r="H17" s="10" t="inlineStr"/>
      <c r="I17" s="11" t="inlineStr">
        <is>
          <t>El número de programa estándar para APNA-370 (AP) debe ser P1000878001</t>
        </is>
      </c>
      <c r="J17" s="13" t="inlineStr">
        <is>
          <t>Alerta</t>
        </is>
      </c>
      <c r="K17" s="14" t="inlineStr">
        <is>
          <t>Programa no homologado, o CPU sustituida sin recargar la configuración</t>
        </is>
      </c>
      <c r="L17" s="15" t="inlineStr">
        <is>
          <t>7.1.1</t>
        </is>
      </c>
      <c r="M17" s="14" t="inlineStr">
        <is>
          <t>Confirmar el HGS con fábrica y recargar la configuración desde la CF antes de calibrar</t>
        </is>
      </c>
      <c r="N17" s="16" t="inlineStr">
        <is>
          <t>La versión de programa instalada no corresponde a la versión homologada de fábrica para este analizador.</t>
        </is>
      </c>
      <c r="O17" s="10" t="n"/>
      <c r="P17" s="10" t="n"/>
      <c r="Q17" s="10" t="inlineStr">
        <is>
          <t>Sí</t>
        </is>
      </c>
      <c r="R17" s="10" t="inlineStr">
        <is>
          <t>No</t>
        </is>
      </c>
      <c r="S17" s="11" t="inlineStr"/>
      <c r="T17" s="11" t="inlineStr">
        <is>
          <t>1 - LCD design change AP EN</t>
        </is>
      </c>
      <c r="U17" s="17" t="inlineStr">
        <is>
          <t>Pendiente</t>
        </is>
      </c>
      <c r="V17" s="17" t="n"/>
      <c r="W17" s="10">
        <f>IF($G17&lt;&gt;"Numérico","",IF($V17="","Sin dato",IF(AND(OR(NOT(ISNUMBER($O17)),$V17&gt;=$O17),OR(NOT(ISNUMBER($P17)),$V17&lt;=$P17)),"Dentro de rango","Fuera de rango")))</f>
        <v/>
      </c>
      <c r="X17" s="17" t="n"/>
      <c r="Y17" s="18" t="n"/>
      <c r="Z17" s="16">
        <f>IF(OR($U17="",$U17="Conforme",$U17="No aplica",$U17="Pendiente"),"",$N17&amp;IF($W17="Fuera de rango"," Valor medido: "&amp;TEXT($V17,"0.####")&amp;IF($H17="",""," "&amp;$H17)&amp;IF(AND(ISNUMBER($O17),$V17&lt;$O17),", por debajo del límite inferior de "&amp;TEXT($O17,"0.####")&amp;IF($H17="",""," "&amp;$H17),"")&amp;IF(AND(ISNUMBER($P17),$V17&gt;$P17),", por encima del límite superior de "&amp;TEXT($P17,"0.####")&amp;IF($H17="",""," "&amp;$H17),"")&amp;".","")&amp;IF($Y17="",""," "&amp;$Y17&amp;IF(RIGHT($Y17,1)=".","","."))&amp;" Acción recomendada: "&amp;$M17&amp;IF(RIGHT($M17,1)=".","",".")&amp;IF($J17="Bloqueante"," El equipo no se libera hasta resolver este hallazgo.",IF($J17="Cobrable"," Se incluye en la cotización de repuestos y consumibles."," Se deja registrado como observación.")))</f>
        <v/>
      </c>
    </row>
    <row r="18" ht="48" customHeight="1">
      <c r="A18" s="10" t="inlineStr">
        <is>
          <t>3.1.1</t>
        </is>
      </c>
      <c r="B18" s="10" t="inlineStr">
        <is>
          <t>3. Estado de calibración</t>
        </is>
      </c>
      <c r="C18" s="10" t="inlineStr">
        <is>
          <t>3.1 Coeficientes de calibración</t>
        </is>
      </c>
      <c r="D18" s="11" t="inlineStr">
        <is>
          <t>Coeficiente de calibración de cero</t>
        </is>
      </c>
      <c r="E18" s="11" t="inlineStr">
        <is>
          <t>Coeficiente digital resultante de la calibración de cero, en la pantalla CAL.</t>
        </is>
      </c>
      <c r="F18" s="12" t="inlineStr">
        <is>
          <t>Ir a MENU / CAL. y leer el valor del coeficiente ZERO en pantalla. Anotarlo antes de realizar cualquier calibración.</t>
        </is>
      </c>
      <c r="G18" s="10" t="inlineStr">
        <is>
          <t>Numérico</t>
        </is>
      </c>
      <c r="H18" s="10" t="inlineStr">
        <is>
          <t>counts</t>
        </is>
      </c>
      <c r="I18" s="11" t="inlineStr">
        <is>
          <t>Debe encontrarse dentro de la tolerancia de desvío del fabricante para que la calibración sea exitosa</t>
        </is>
      </c>
      <c r="J18" s="13" t="inlineStr">
        <is>
          <t>Bloqueante</t>
        </is>
      </c>
      <c r="K18" s="14" t="inlineStr">
        <is>
          <t>Aire cero contaminado, fuga neumática, o desviación basal de la celda</t>
        </is>
      </c>
      <c r="L18" s="15" t="inlineStr">
        <is>
          <t>1.3.1 ; 10.2.1 ; 4.1.3 ; 3.2.1</t>
        </is>
      </c>
      <c r="M18" s="14" t="inlineStr">
        <is>
          <t>Inyectar aire cero certificado libre de NOx; si persiste, buscar fugas en portafiltros y racores</t>
        </is>
      </c>
      <c r="N18" s="16" t="inlineStr">
        <is>
          <t>El coeficiente de calibración de cero se encuentra fuera del rango admisible, por lo que la calibración del punto cero no es válida.</t>
        </is>
      </c>
      <c r="O18" s="10" t="n">
        <v>-3500</v>
      </c>
      <c r="P18" s="10" t="n">
        <v>3500</v>
      </c>
      <c r="Q18" s="10" t="inlineStr">
        <is>
          <t>Sí</t>
        </is>
      </c>
      <c r="R18" s="10" t="inlineStr">
        <is>
          <t>No</t>
        </is>
      </c>
      <c r="S18" s="11" t="inlineStr"/>
      <c r="T18" s="11" t="inlineStr">
        <is>
          <t>OP_APNA-370 (Manual de Operación)</t>
        </is>
      </c>
      <c r="U18" s="17" t="inlineStr">
        <is>
          <t>Pendiente</t>
        </is>
      </c>
      <c r="V18" s="17" t="n"/>
      <c r="W18" s="10">
        <f>IF($G18&lt;&gt;"Numérico","",IF($V18="","Sin dato",IF(AND(OR(NOT(ISNUMBER($O18)),$V18&gt;=$O18),OR(NOT(ISNUMBER($P18)),$V18&lt;=$P18)),"Dentro de rango","Fuera de rango")))</f>
        <v/>
      </c>
      <c r="X18" s="17" t="n"/>
      <c r="Y18" s="18" t="n"/>
      <c r="Z18" s="16">
        <f>IF(OR($U18="",$U18="Conforme",$U18="No aplica",$U18="Pendiente"),"",$N18&amp;IF($W18="Fuera de rango"," Valor medido: "&amp;TEXT($V18,"0.####")&amp;IF($H18="",""," "&amp;$H18)&amp;IF(AND(ISNUMBER($O18),$V18&lt;$O18),", por debajo del límite inferior de "&amp;TEXT($O18,"0.####")&amp;IF($H18="",""," "&amp;$H18),"")&amp;IF(AND(ISNUMBER($P18),$V18&gt;$P18),", por encima del límite superior de "&amp;TEXT($P18,"0.####")&amp;IF($H18="",""," "&amp;$H18),"")&amp;".","")&amp;IF($Y18="",""," "&amp;$Y18&amp;IF(RIGHT($Y18,1)=".","","."))&amp;" Acción recomendada: "&amp;$M18&amp;IF(RIGHT($M18,1)=".","",".")&amp;IF($J18="Bloqueante"," El equipo no se libera hasta resolver este hallazgo.",IF($J18="Cobrable"," Se incluye en la cotización de repuestos y consumibles."," Se deja registrado como observación.")))</f>
        <v/>
      </c>
    </row>
    <row r="19" ht="48" customHeight="1">
      <c r="A19" s="10" t="inlineStr">
        <is>
          <t>3.1.2</t>
        </is>
      </c>
      <c r="B19" s="10" t="inlineStr">
        <is>
          <t>3. Estado de calibración</t>
        </is>
      </c>
      <c r="C19" s="10" t="inlineStr">
        <is>
          <t>3.1 Coeficientes de calibración</t>
        </is>
      </c>
      <c r="D19" s="11" t="inlineStr">
        <is>
          <t>Coeficiente de cero de fábrica</t>
        </is>
      </c>
      <c r="E19" s="11" t="inlineStr">
        <is>
          <t>Límite de counts admitido para la calibración de cero en modo de fábrica</t>
        </is>
      </c>
      <c r="F19" s="12" t="inlineStr">
        <is>
          <t>Entrar al modo de mantenimiento de servicio, abrir la pantalla F.CAL y leer el coeficiente de cero de fábrica. Requiere clave de servicio; anotar sin modificar.</t>
        </is>
      </c>
      <c r="G19" s="10" t="inlineStr">
        <is>
          <t>Numérico</t>
        </is>
      </c>
      <c r="H19" s="10" t="inlineStr">
        <is>
          <t>counts</t>
        </is>
      </c>
      <c r="I19" s="11" t="inlineStr">
        <is>
          <t>El coeficiente de cero de fábrica debe estar dentro de la tolerancia máxima absoluta</t>
        </is>
      </c>
      <c r="J19" s="13" t="inlineStr">
        <is>
          <t>Bloqueante</t>
        </is>
      </c>
      <c r="K19" s="14" t="inlineStr">
        <is>
          <t>Cuenta ADC saturada: el detector o su cadena de amplificación están fuera de punto</t>
        </is>
      </c>
      <c r="L19" s="15" t="inlineStr">
        <is>
          <t>6.4.1 ; 6.1.1 ; 6.4.2</t>
        </is>
      </c>
      <c r="M19" s="14" t="inlineStr">
        <is>
          <t>Trabajo de modo servicio: no ajustar en campo sin descartar antes el detector</t>
        </is>
      </c>
      <c r="N19" s="16" t="inlineStr">
        <is>
          <t>El coeficiente de cero de fábrica está saturado, lo que indica que el detector o su cadena de amplificación están fuera de su punto de trabajo.</t>
        </is>
      </c>
      <c r="O19" s="10" t="n">
        <v>-7000</v>
      </c>
      <c r="P19" s="10" t="n">
        <v>7000</v>
      </c>
      <c r="Q19" s="10" t="inlineStr">
        <is>
          <t>Sí</t>
        </is>
      </c>
      <c r="R19" s="10" t="inlineStr">
        <is>
          <t>No</t>
        </is>
      </c>
      <c r="S19" s="11" t="inlineStr"/>
      <c r="T19" s="11" t="inlineStr">
        <is>
          <t>GZ0000117746B SM E APXX-370 (Service Manual)</t>
        </is>
      </c>
      <c r="U19" s="17" t="inlineStr">
        <is>
          <t>Pendiente</t>
        </is>
      </c>
      <c r="V19" s="17" t="n"/>
      <c r="W19" s="10">
        <f>IF($G19&lt;&gt;"Numérico","",IF($V19="","Sin dato",IF(AND(OR(NOT(ISNUMBER($O19)),$V19&gt;=$O19),OR(NOT(ISNUMBER($P19)),$V19&lt;=$P19)),"Dentro de rango","Fuera de rango")))</f>
        <v/>
      </c>
      <c r="X19" s="17" t="n"/>
      <c r="Y19" s="18" t="n"/>
      <c r="Z19" s="16">
        <f>IF(OR($U19="",$U19="Conforme",$U19="No aplica",$U19="Pendiente"),"",$N19&amp;IF($W19="Fuera de rango"," Valor medido: "&amp;TEXT($V19,"0.####")&amp;IF($H19="",""," "&amp;$H19)&amp;IF(AND(ISNUMBER($O19),$V19&lt;$O19),", por debajo del límite inferior de "&amp;TEXT($O19,"0.####")&amp;IF($H19="",""," "&amp;$H19),"")&amp;IF(AND(ISNUMBER($P19),$V19&gt;$P19),", por encima del límite superior de "&amp;TEXT($P19,"0.####")&amp;IF($H19="",""," "&amp;$H19),"")&amp;".","")&amp;IF($Y19="",""," "&amp;$Y19&amp;IF(RIGHT($Y19,1)=".","","."))&amp;" Acción recomendada: "&amp;$M19&amp;IF(RIGHT($M19,1)=".","",".")&amp;IF($J19="Bloqueante"," El equipo no se libera hasta resolver este hallazgo.",IF($J19="Cobrable"," Se incluye en la cotización de repuestos y consumibles."," Se deja registrado como observación.")))</f>
        <v/>
      </c>
    </row>
    <row r="20" ht="48" customHeight="1">
      <c r="A20" s="10" t="inlineStr">
        <is>
          <t>3.1.3</t>
        </is>
      </c>
      <c r="B20" s="10" t="inlineStr">
        <is>
          <t>3. Estado de calibración</t>
        </is>
      </c>
      <c r="C20" s="10" t="inlineStr">
        <is>
          <t>3.1 Coeficientes de calibración</t>
        </is>
      </c>
      <c r="D20" s="11" t="inlineStr">
        <is>
          <t>Coeficiente de calibración de span</t>
        </is>
      </c>
      <c r="E20" s="11" t="inlineStr">
        <is>
          <t>Coeficiente digital resultante de la calibración de span, en la pantalla CAL.</t>
        </is>
      </c>
      <c r="F20" s="12" t="inlineStr">
        <is>
          <t>Ir a MENU / CAL. y leer el valor del coeficiente SPAN en pantalla. Anotarlo antes de calibrar y compararlo con el registrado en el servicio anterior.</t>
        </is>
      </c>
      <c r="G20" s="10" t="inlineStr">
        <is>
          <t>Numérico</t>
        </is>
      </c>
      <c r="H20" s="10" t="inlineStr"/>
      <c r="I20" s="11" t="inlineStr">
        <is>
          <t>El factor de span resultante debe estar dentro del rango de ganancia del fabricante</t>
        </is>
      </c>
      <c r="J20" s="13" t="inlineStr">
        <is>
          <t>Bloqueante</t>
        </is>
      </c>
      <c r="K20" s="14" t="inlineStr">
        <is>
          <t>Patrón mal configurado, ozonizador sin generar, o convertidor degradado</t>
        </is>
      </c>
      <c r="L20" s="15" t="inlineStr">
        <is>
          <t>3.1.4 ; 1.1.2 ; 3.3.1 ; 3.2.1</t>
        </is>
      </c>
      <c r="M20" s="14" t="inlineStr">
        <is>
          <t>Verificar que la lámpara UV del ozonizador encienda antes de atribuir el fallo al patrón</t>
        </is>
      </c>
      <c r="N20" s="16" t="inlineStr">
        <is>
          <t>El coeficiente de calibración de span se encuentra fuera del rango admisible, por lo que la calibración de sensibilidad no es válida.</t>
        </is>
      </c>
      <c r="O20" s="10" t="n">
        <v>0.5</v>
      </c>
      <c r="P20" s="10" t="n">
        <v>2</v>
      </c>
      <c r="Q20" s="10" t="inlineStr">
        <is>
          <t>Sí</t>
        </is>
      </c>
      <c r="R20" s="10" t="inlineStr">
        <is>
          <t>No</t>
        </is>
      </c>
      <c r="S20" s="11" t="inlineStr"/>
      <c r="T20" s="11" t="inlineStr">
        <is>
          <t>OP_APNA-370 (Manual de Operación)</t>
        </is>
      </c>
      <c r="U20" s="17" t="inlineStr">
        <is>
          <t>Pendiente</t>
        </is>
      </c>
      <c r="V20" s="17" t="n"/>
      <c r="W20" s="10">
        <f>IF($G20&lt;&gt;"Numérico","",IF($V20="","Sin dato",IF(AND(OR(NOT(ISNUMBER($O20)),$V20&gt;=$O20),OR(NOT(ISNUMBER($P20)),$V20&lt;=$P20)),"Dentro de rango","Fuera de rango")))</f>
        <v/>
      </c>
      <c r="X20" s="17" t="n"/>
      <c r="Y20" s="18" t="n"/>
      <c r="Z20" s="16">
        <f>IF(OR($U20="",$U20="Conforme",$U20="No aplica",$U20="Pendiente"),"",$N20&amp;IF($W20="Fuera de rango"," Valor medido: "&amp;TEXT($V20,"0.####")&amp;IF($H20="",""," "&amp;$H20)&amp;IF(AND(ISNUMBER($O20),$V20&lt;$O20),", por debajo del límite inferior de "&amp;TEXT($O20,"0.####")&amp;IF($H20="",""," "&amp;$H20),"")&amp;IF(AND(ISNUMBER($P20),$V20&gt;$P20),", por encima del límite superior de "&amp;TEXT($P20,"0.####")&amp;IF($H20="",""," "&amp;$H20),"")&amp;".","")&amp;IF($Y20="",""," "&amp;$Y20&amp;IF(RIGHT($Y20,1)=".","","."))&amp;" Acción recomendada: "&amp;$M20&amp;IF(RIGHT($M20,1)=".","",".")&amp;IF($J20="Bloqueante"," El equipo no se libera hasta resolver este hallazgo.",IF($J20="Cobrable"," Se incluye en la cotización de repuestos y consumibles."," Se deja registrado como observación.")))</f>
        <v/>
      </c>
    </row>
    <row r="21" ht="48" customHeight="1">
      <c r="A21" s="10" t="inlineStr">
        <is>
          <t>3.1.4</t>
        </is>
      </c>
      <c r="B21" s="10" t="inlineStr">
        <is>
          <t>3. Estado de calibración</t>
        </is>
      </c>
      <c r="C21" s="10" t="inlineStr">
        <is>
          <t>3.1 Coeficientes de calibración</t>
        </is>
      </c>
      <c r="D21" s="11" t="inlineStr">
        <is>
          <t>Concentración de gas de span configurada</t>
        </is>
      </c>
      <c r="E21" s="11" t="inlineStr">
        <is>
          <t>Que el valor de concentración de span coincida con el cilindro certificado</t>
        </is>
      </c>
      <c r="F21" s="12" t="inlineStr">
        <is>
          <t>Ir a MENU / CAL. / SPAN CONC. y leer el valor configurado. Contrastarlo contra el certificado del cilindro de gas patrón que se va a utilizar.</t>
        </is>
      </c>
      <c r="G21" s="10" t="inlineStr">
        <is>
          <t>Numérico</t>
        </is>
      </c>
      <c r="H21" s="10" t="inlineStr">
        <is>
          <t>ppm</t>
        </is>
      </c>
      <c r="I21" s="11" t="inlineStr">
        <is>
          <t>Rango de configuración permitido por el software</t>
        </is>
      </c>
      <c r="J21" s="13" t="inlineStr">
        <is>
          <t>Bloqueante</t>
        </is>
      </c>
      <c r="K21" s="14" t="inlineStr">
        <is>
          <t>Valor no coincide con el certificado del cilindro en uso</t>
        </is>
      </c>
      <c r="L21" s="15" t="inlineStr">
        <is>
          <t>3.1.3</t>
        </is>
      </c>
      <c r="M21" s="14" t="inlineStr">
        <is>
          <t>Corregir el valor en el menú y repetir la calibración de span</t>
        </is>
      </c>
      <c r="N21" s="16" t="inlineStr">
        <is>
          <t>La concentración de gas patrón configurada en el analizador no coincide con la del cilindro certificado en uso.</t>
        </is>
      </c>
      <c r="O21" s="10" t="n">
        <v>1e-05</v>
      </c>
      <c r="P21" s="10" t="n">
        <v>99999</v>
      </c>
      <c r="Q21" s="10" t="inlineStr">
        <is>
          <t>Sí</t>
        </is>
      </c>
      <c r="R21" s="10" t="inlineStr">
        <is>
          <t>No</t>
        </is>
      </c>
      <c r="S21" s="11" t="inlineStr"/>
      <c r="T21" s="11" t="inlineStr">
        <is>
          <t>OP_APNA-370 (Manual de Operación)</t>
        </is>
      </c>
      <c r="U21" s="17" t="inlineStr">
        <is>
          <t>Pendiente</t>
        </is>
      </c>
      <c r="V21" s="17" t="n"/>
      <c r="W21" s="10">
        <f>IF($G21&lt;&gt;"Numérico","",IF($V21="","Sin dato",IF(AND(OR(NOT(ISNUMBER($O21)),$V21&gt;=$O21),OR(NOT(ISNUMBER($P21)),$V21&lt;=$P21)),"Dentro de rango","Fuera de rango")))</f>
        <v/>
      </c>
      <c r="X21" s="17" t="n"/>
      <c r="Y21" s="18" t="n"/>
      <c r="Z21" s="16">
        <f>IF(OR($U21="",$U21="Conforme",$U21="No aplica",$U21="Pendiente"),"",$N21&amp;IF($W21="Fuera de rango"," Valor medido: "&amp;TEXT($V21,"0.####")&amp;IF($H21="",""," "&amp;$H21)&amp;IF(AND(ISNUMBER($O21),$V21&lt;$O21),", por debajo del límite inferior de "&amp;TEXT($O21,"0.####")&amp;IF($H21="",""," "&amp;$H21),"")&amp;IF(AND(ISNUMBER($P21),$V21&gt;$P21),", por encima del límite superior de "&amp;TEXT($P21,"0.####")&amp;IF($H21="",""," "&amp;$H21),"")&amp;".","")&amp;IF($Y21="",""," "&amp;$Y21&amp;IF(RIGHT($Y21,1)=".","","."))&amp;" Acción recomendada: "&amp;$M21&amp;IF(RIGHT($M21,1)=".","",".")&amp;IF($J21="Bloqueante"," El equipo no se libera hasta resolver este hallazgo.",IF($J21="Cobrable"," Se incluye en la cotización de repuestos y consumibles."," Se deja registrado como observación.")))</f>
        <v/>
      </c>
    </row>
    <row r="22" ht="48" customHeight="1">
      <c r="A22" s="10" t="inlineStr">
        <is>
          <t>3.2.1</t>
        </is>
      </c>
      <c r="B22" s="10" t="inlineStr">
        <is>
          <t>3. Estado de calibración</t>
        </is>
      </c>
      <c r="C22" s="10" t="inlineStr">
        <is>
          <t>3.2 Suministro de gases patrón</t>
        </is>
      </c>
      <c r="D22" s="11" t="inlineStr">
        <is>
          <t>Presión del gas patrón y del gas cero</t>
        </is>
      </c>
      <c r="E22" s="11" t="inlineStr">
        <is>
          <t>Presión de los gases suministrados al analizador, comprobada con manómetro externo</t>
        </is>
      </c>
      <c r="F22" s="12" t="inlineStr">
        <is>
          <t>Conectar un manómetro de baja presión en la línea de gas de calibración, aguas arriba del puerto CAL GAS INLET, y leer la presión con el gas fluyendo.</t>
        </is>
      </c>
      <c r="G22" s="10" t="inlineStr">
        <is>
          <t>Numérico</t>
        </is>
      </c>
      <c r="H22" s="10" t="inlineStr">
        <is>
          <t>kPa</t>
        </is>
      </c>
      <c r="I22" s="11" t="inlineStr">
        <is>
          <t>Debe controlarse ligeramente por encima de la presión atmosférica</t>
        </is>
      </c>
      <c r="J22" s="13" t="inlineStr">
        <is>
          <t>Bloqueante</t>
        </is>
      </c>
      <c r="K22" s="14" t="inlineStr">
        <is>
          <t>Regulador mal ajustado o cilindro despresurizado</t>
        </is>
      </c>
      <c r="L22" s="15" t="inlineStr">
        <is>
          <t>3.1.3 ; 3.1.1</t>
        </is>
      </c>
      <c r="M22" s="14" t="inlineStr">
        <is>
          <t>Reajustar el regulador de doble etapa y repetir la calibración</t>
        </is>
      </c>
      <c r="N22" s="16" t="inlineStr">
        <is>
          <t>La presión de entrega de los gases de calibración no es la adecuada, lo que compromete la validez de la calibración.</t>
        </is>
      </c>
      <c r="O22" s="10" t="n">
        <v>0</v>
      </c>
      <c r="P22" s="10" t="n">
        <v>0.5</v>
      </c>
      <c r="Q22" s="10" t="inlineStr">
        <is>
          <t>Sí</t>
        </is>
      </c>
      <c r="R22" s="10" t="inlineStr">
        <is>
          <t>No</t>
        </is>
      </c>
      <c r="S22" s="11" t="inlineStr"/>
      <c r="T22" s="11" t="inlineStr">
        <is>
          <t>OP_APNA-370 (Manual de Operación)</t>
        </is>
      </c>
      <c r="U22" s="17" t="inlineStr">
        <is>
          <t>Pendiente</t>
        </is>
      </c>
      <c r="V22" s="17" t="n"/>
      <c r="W22" s="10">
        <f>IF($G22&lt;&gt;"Numérico","",IF($V22="","Sin dato",IF(AND(OR(NOT(ISNUMBER($O22)),$V22&gt;=$O22),OR(NOT(ISNUMBER($P22)),$V22&lt;=$P22)),"Dentro de rango","Fuera de rango")))</f>
        <v/>
      </c>
      <c r="X22" s="17" t="n"/>
      <c r="Y22" s="18" t="n"/>
      <c r="Z22" s="16">
        <f>IF(OR($U22="",$U22="Conforme",$U22="No aplica",$U22="Pendiente"),"",$N22&amp;IF($W22="Fuera de rango"," Valor medido: "&amp;TEXT($V22,"0.####")&amp;IF($H22="",""," "&amp;$H22)&amp;IF(AND(ISNUMBER($O22),$V22&lt;$O22),", por debajo del límite inferior de "&amp;TEXT($O22,"0.####")&amp;IF($H22="",""," "&amp;$H22),"")&amp;IF(AND(ISNUMBER($P22),$V22&gt;$P22),", por encima del límite superior de "&amp;TEXT($P22,"0.####")&amp;IF($H22="",""," "&amp;$H22),"")&amp;".","")&amp;IF($Y22="",""," "&amp;$Y22&amp;IF(RIGHT($Y22,1)=".","","."))&amp;" Acción recomendada: "&amp;$M22&amp;IF(RIGHT($M22,1)=".","",".")&amp;IF($J22="Bloqueante"," El equipo no se libera hasta resolver este hallazgo.",IF($J22="Cobrable"," Se incluye en la cotización de repuestos y consumibles."," Se deja registrado como observación.")))</f>
        <v/>
      </c>
    </row>
    <row r="23" ht="48" customHeight="1">
      <c r="A23" s="10" t="inlineStr">
        <is>
          <t>3.2.2</t>
        </is>
      </c>
      <c r="B23" s="10" t="inlineStr">
        <is>
          <t>3. Estado de calibración</t>
        </is>
      </c>
      <c r="C23" s="10" t="inlineStr">
        <is>
          <t>3.2 Suministro de gases patrón</t>
        </is>
      </c>
      <c r="D23" s="11" t="inlineStr">
        <is>
          <t>Presión del gas de muestra</t>
        </is>
      </c>
      <c r="E23" s="11" t="inlineStr">
        <is>
          <t>Que la presión de entrada del gas de muestra en el puerto posterior se mantenga estable</t>
        </is>
      </c>
      <c r="F23" s="12" t="inlineStr">
        <is>
          <t>Conectar un manómetro de baja presión en la línea de muestra, aguas arriba del puerto SAMPLE INLET, y leer la presión con el equipo en operación normal.</t>
        </is>
      </c>
      <c r="G23" s="10" t="inlineStr">
        <is>
          <t>Numérico</t>
        </is>
      </c>
      <c r="H23" s="10" t="inlineStr">
        <is>
          <t>Pa</t>
        </is>
      </c>
      <c r="I23" s="11" t="inlineStr">
        <is>
          <t>La presión en el puerto trasero debe controlarse dentro del límite estable establecido</t>
        </is>
      </c>
      <c r="J23" s="13" t="inlineStr">
        <is>
          <t>Bloqueante</t>
        </is>
      </c>
      <c r="K23" s="14" t="inlineStr">
        <is>
          <t>Restricción o sobrepresión en la línea de entrada</t>
        </is>
      </c>
      <c r="L23" s="15" t="inlineStr">
        <is>
          <t>5.2.1 ; 10.2.1</t>
        </is>
      </c>
      <c r="M23" s="14" t="inlineStr">
        <is>
          <t>Liberar la restricción; una presión de entrada inestable desajusta todo el lazo neumático</t>
        </is>
      </c>
      <c r="N23" s="16" t="inlineStr">
        <is>
          <t>La presión de la línea de muestra en el puerto posterior está fuera del rango estable de operación.</t>
        </is>
      </c>
      <c r="O23" s="10" t="n">
        <v>-980</v>
      </c>
      <c r="P23" s="10" t="n">
        <v>980</v>
      </c>
      <c r="Q23" s="10" t="inlineStr">
        <is>
          <t>Sí</t>
        </is>
      </c>
      <c r="R23" s="10" t="inlineStr">
        <is>
          <t>No</t>
        </is>
      </c>
      <c r="S23" s="11" t="inlineStr"/>
      <c r="T23" s="11" t="inlineStr">
        <is>
          <t>OP_APNA-370 (Manual de Operación)</t>
        </is>
      </c>
      <c r="U23" s="17" t="inlineStr">
        <is>
          <t>Pendiente</t>
        </is>
      </c>
      <c r="V23" s="17" t="n"/>
      <c r="W23" s="10">
        <f>IF($G23&lt;&gt;"Numérico","",IF($V23="","Sin dato",IF(AND(OR(NOT(ISNUMBER($O23)),$V23&gt;=$O23),OR(NOT(ISNUMBER($P23)),$V23&lt;=$P23)),"Dentro de rango","Fuera de rango")))</f>
        <v/>
      </c>
      <c r="X23" s="17" t="n"/>
      <c r="Y23" s="18" t="n"/>
      <c r="Z23" s="16">
        <f>IF(OR($U23="",$U23="Conforme",$U23="No aplica",$U23="Pendiente"),"",$N23&amp;IF($W23="Fuera de rango"," Valor medido: "&amp;TEXT($V23,"0.####")&amp;IF($H23="",""," "&amp;$H23)&amp;IF(AND(ISNUMBER($O23),$V23&lt;$O23),", por debajo del límite inferior de "&amp;TEXT($O23,"0.####")&amp;IF($H23="",""," "&amp;$H23),"")&amp;IF(AND(ISNUMBER($P23),$V23&gt;$P23),", por encima del límite superior de "&amp;TEXT($P23,"0.####")&amp;IF($H23="",""," "&amp;$H23),"")&amp;".","")&amp;IF($Y23="",""," "&amp;$Y23&amp;IF(RIGHT($Y23,1)=".","","."))&amp;" Acción recomendada: "&amp;$M23&amp;IF(RIGHT($M23,1)=".","",".")&amp;IF($J23="Bloqueante"," El equipo no se libera hasta resolver este hallazgo.",IF($J23="Cobrable"," Se incluye en la cotización de repuestos y consumibles."," Se deja registrado como observación.")))</f>
        <v/>
      </c>
    </row>
    <row r="24" ht="48" customHeight="1">
      <c r="A24" s="10" t="inlineStr">
        <is>
          <t>3.2.3</t>
        </is>
      </c>
      <c r="B24" s="10" t="inlineStr">
        <is>
          <t>3. Estado de calibración</t>
        </is>
      </c>
      <c r="C24" s="10" t="inlineStr">
        <is>
          <t>3.2 Suministro de gases patrón</t>
        </is>
      </c>
      <c r="D24" s="11" t="inlineStr">
        <is>
          <t>Presión del gas de escape</t>
        </is>
      </c>
      <c r="E24" s="11" t="inlineStr">
        <is>
          <t>Que la línea de descarga no presente contrapresión que afecte la cámara de reacción</t>
        </is>
      </c>
      <c r="F24" s="12" t="inlineStr">
        <is>
          <t>Conectar un manómetro de baja presión en la línea de escape aguas abajo del puerto EXHAUST y verificar que no haya contrapresión fuera del rango.</t>
        </is>
      </c>
      <c r="G24" s="10" t="inlineStr">
        <is>
          <t>Numérico</t>
        </is>
      </c>
      <c r="H24" s="10" t="inlineStr">
        <is>
          <t>Pa</t>
        </is>
      </c>
      <c r="I24" s="11" t="inlineStr">
        <is>
          <t>La línea de escape debe liberarse a un lugar seguro, con contrapresión estable dentro del rango</t>
        </is>
      </c>
      <c r="J24" s="13" t="inlineStr">
        <is>
          <t>Alerta</t>
        </is>
      </c>
      <c r="K24" s="14" t="inlineStr">
        <is>
          <t>Línea de escape obstruida o descargando contra presión</t>
        </is>
      </c>
      <c r="L24" s="15" t="inlineStr">
        <is>
          <t>5.5.4</t>
        </is>
      </c>
      <c r="M24" s="14" t="inlineStr">
        <is>
          <t>Liberar la línea de escape a un punto seguro y sin restricción</t>
        </is>
      </c>
      <c r="N24" s="16" t="inlineStr">
        <is>
          <t>La línea de escape presenta contrapresión fuera del rango admisible.</t>
        </is>
      </c>
      <c r="O24" s="10" t="n">
        <v>-980</v>
      </c>
      <c r="P24" s="10" t="n">
        <v>980</v>
      </c>
      <c r="Q24" s="10" t="inlineStr">
        <is>
          <t>Sí</t>
        </is>
      </c>
      <c r="R24" s="10" t="inlineStr">
        <is>
          <t>No</t>
        </is>
      </c>
      <c r="S24" s="11" t="inlineStr"/>
      <c r="T24" s="11" t="inlineStr">
        <is>
          <t>OP_APNA-370 (Manual de Operación)</t>
        </is>
      </c>
      <c r="U24" s="17" t="inlineStr">
        <is>
          <t>Pendiente</t>
        </is>
      </c>
      <c r="V24" s="17" t="n"/>
      <c r="W24" s="10">
        <f>IF($G24&lt;&gt;"Numérico","",IF($V24="","Sin dato",IF(AND(OR(NOT(ISNUMBER($O24)),$V24&gt;=$O24),OR(NOT(ISNUMBER($P24)),$V24&lt;=$P24)),"Dentro de rango","Fuera de rango")))</f>
        <v/>
      </c>
      <c r="X24" s="17" t="n"/>
      <c r="Y24" s="18" t="n"/>
      <c r="Z24" s="16">
        <f>IF(OR($U24="",$U24="Conforme",$U24="No aplica",$U24="Pendiente"),"",$N24&amp;IF($W24="Fuera de rango"," Valor medido: "&amp;TEXT($V24,"0.####")&amp;IF($H24="",""," "&amp;$H24)&amp;IF(AND(ISNUMBER($O24),$V24&lt;$O24),", por debajo del límite inferior de "&amp;TEXT($O24,"0.####")&amp;IF($H24="",""," "&amp;$H24),"")&amp;IF(AND(ISNUMBER($P24),$V24&gt;$P24),", por encima del límite superior de "&amp;TEXT($P24,"0.####")&amp;IF($H24="",""," "&amp;$H24),"")&amp;".","")&amp;IF($Y24="",""," "&amp;$Y24&amp;IF(RIGHT($Y24,1)=".","","."))&amp;" Acción recomendada: "&amp;$M24&amp;IF(RIGHT($M24,1)=".","",".")&amp;IF($J24="Bloqueante"," El equipo no se libera hasta resolver este hallazgo.",IF($J24="Cobrable"," Se incluye en la cotización de repuestos y consumibles."," Se deja registrado como observación.")))</f>
        <v/>
      </c>
    </row>
    <row r="25" ht="48" customHeight="1">
      <c r="A25" s="10" t="inlineStr">
        <is>
          <t>3.3.1</t>
        </is>
      </c>
      <c r="B25" s="10" t="inlineStr">
        <is>
          <t>3. Estado de calibración</t>
        </is>
      </c>
      <c r="C25" s="10" t="inlineStr">
        <is>
          <t>3.3 Eficiencia del convertidor</t>
        </is>
      </c>
      <c r="D25" s="11" t="inlineStr">
        <is>
          <t>Rendimiento del convertidor de NO2 a NO</t>
        </is>
      </c>
      <c r="E25" s="11" t="inlineStr">
        <is>
          <t>Eficiencia de conversión de la celda catalítica, verificada por titulación en fase gas (GPT)</t>
        </is>
      </c>
      <c r="F25" s="12" t="inlineStr">
        <is>
          <t>Calibrar cero y span con gas de NO, introducir luego una mezcla generada por titulación en fase gas (GPT) y ajustar el número de eficiencia hasta que el NOx coincida con el valor previo a la GPT.</t>
        </is>
      </c>
      <c r="G25" s="10" t="inlineStr">
        <is>
          <t>Numérico</t>
        </is>
      </c>
      <c r="H25" s="10" t="inlineStr">
        <is>
          <t>%</t>
        </is>
      </c>
      <c r="I25" s="11" t="inlineStr">
        <is>
          <t>La eficiencia de conversión de NO2 a NO debe ser igual o superior al 96 %</t>
        </is>
      </c>
      <c r="J25" s="13" t="inlineStr">
        <is>
          <t>Bloqueante</t>
        </is>
      </c>
      <c r="K25" s="14" t="inlineStr">
        <is>
          <t>Catalizador COM-1 agotado, fuga en la línea del convertidor, o temperatura incorrecta</t>
        </is>
      </c>
      <c r="L25" s="15" t="inlineStr">
        <is>
          <t>6.2.1 ; 6.1.1 ; 1.3.1</t>
        </is>
      </c>
      <c r="M25" s="14" t="inlineStr">
        <is>
          <t>Repetir la GPT tras estabilizar; si sigue por debajo de 96 %, reemplazar el tubo catalizador COM-1</t>
        </is>
      </c>
      <c r="N25" s="16" t="inlineStr">
        <is>
          <t>La eficiencia del convertidor de dióxido de nitrógeno está por debajo del mínimo exigido, por lo que las lecturas de NO₂ y NOx quedan subestimadas.</t>
        </is>
      </c>
      <c r="O25" s="10" t="n">
        <v>96</v>
      </c>
      <c r="P25" s="10" t="n">
        <v>100</v>
      </c>
      <c r="Q25" s="10" t="inlineStr">
        <is>
          <t>Sí</t>
        </is>
      </c>
      <c r="R25" s="10" t="inlineStr">
        <is>
          <t>No</t>
        </is>
      </c>
      <c r="S25" s="11" t="inlineStr">
        <is>
          <t>Catalyzer Assy APNA-350E NOX Converter (3014056464)</t>
        </is>
      </c>
      <c r="T25" s="11" t="inlineStr">
        <is>
          <t>MNT_APNA-370 (Manual de Mantenimiento)</t>
        </is>
      </c>
      <c r="U25" s="17" t="inlineStr">
        <is>
          <t>Pendiente</t>
        </is>
      </c>
      <c r="V25" s="17" t="n"/>
      <c r="W25" s="10">
        <f>IF($G25&lt;&gt;"Numérico","",IF($V25="","Sin dato",IF(AND(OR(NOT(ISNUMBER($O25)),$V25&gt;=$O25),OR(NOT(ISNUMBER($P25)),$V25&lt;=$P25)),"Dentro de rango","Fuera de rango")))</f>
        <v/>
      </c>
      <c r="X25" s="17" t="n"/>
      <c r="Y25" s="18" t="n"/>
      <c r="Z25" s="16">
        <f>IF(OR($U25="",$U25="Conforme",$U25="No aplica",$U25="Pendiente"),"",$N25&amp;IF($W25="Fuera de rango"," Valor medido: "&amp;TEXT($V25,"0.####")&amp;IF($H25="",""," "&amp;$H25)&amp;IF(AND(ISNUMBER($O25),$V25&lt;$O25),", por debajo del límite inferior de "&amp;TEXT($O25,"0.####")&amp;IF($H25="",""," "&amp;$H25),"")&amp;IF(AND(ISNUMBER($P25),$V25&gt;$P25),", por encima del límite superior de "&amp;TEXT($P25,"0.####")&amp;IF($H25="",""," "&amp;$H25),"")&amp;".","")&amp;IF($Y25="",""," "&amp;$Y25&amp;IF(RIGHT($Y25,1)=".","","."))&amp;" Acción recomendada: "&amp;$M25&amp;IF(RIGHT($M25,1)=".","",".")&amp;IF($J25="Bloqueante"," El equipo no se libera hasta resolver este hallazgo.",IF($J25="Cobrable"," Se incluye en la cotización de repuestos y consumibles."," Se deja registrado como observación.")))</f>
        <v/>
      </c>
    </row>
    <row r="26" ht="48" customHeight="1">
      <c r="A26" s="10" t="inlineStr">
        <is>
          <t>3.4.1</t>
        </is>
      </c>
      <c r="B26" s="10" t="inlineStr">
        <is>
          <t>3. Estado de calibración</t>
        </is>
      </c>
      <c r="C26" s="10" t="inlineStr">
        <is>
          <t>3.4 Deriva y desempeño metrológico</t>
        </is>
      </c>
      <c r="D26" s="11" t="inlineStr">
        <is>
          <t>Deriva del cero diaria (Zero Drift)</t>
        </is>
      </c>
      <c r="E26" s="11" t="inlineStr">
        <is>
          <t>Desviación del punto cero transcurridas 24 h de operación continua</t>
        </is>
      </c>
      <c r="F26" s="12" t="inlineStr">
        <is>
          <t>Introducir gas cero y dejar estabilizar; anotar la lectura, repetir la medición 24 h después en las mismas condiciones y expresar la diferencia como porcentaje del fondo de escala.</t>
        </is>
      </c>
      <c r="G26" s="10" t="inlineStr">
        <is>
          <t>Numérico</t>
        </is>
      </c>
      <c r="H26" s="10" t="inlineStr">
        <is>
          <t>% F.S.</t>
        </is>
      </c>
      <c r="I26" s="11" t="inlineStr">
        <is>
          <t>La deriva de cero en 24 h no debe superar el porcentaje de fondo de escala especificado</t>
        </is>
      </c>
      <c r="J26" s="13" t="inlineStr">
        <is>
          <t>Bloqueante</t>
        </is>
      </c>
      <c r="K26" s="14" t="inlineStr">
        <is>
          <t>Fuga neumática, sílica gel saturada, o inestabilidad térmica de la sala</t>
        </is>
      </c>
      <c r="L26" s="15" t="inlineStr">
        <is>
          <t>10.2.1 ; 6.6.1 ; 10.3.1</t>
        </is>
      </c>
      <c r="M26" s="14" t="inlineStr">
        <is>
          <t>Corregir la causa antes de recalibrar; recalibrar sin corregir solo enmascara la deriva</t>
        </is>
      </c>
      <c r="N26" s="16" t="inlineStr">
        <is>
          <t>La deriva diaria del punto cero supera la tolerancia especificada por el fabricante.</t>
        </is>
      </c>
      <c r="O26" s="10" t="n">
        <v>-1</v>
      </c>
      <c r="P26" s="10" t="n">
        <v>1</v>
      </c>
      <c r="Q26" s="10" t="inlineStr">
        <is>
          <t>Sí</t>
        </is>
      </c>
      <c r="R26" s="10" t="inlineStr">
        <is>
          <t>No</t>
        </is>
      </c>
      <c r="S26" s="11" t="inlineStr"/>
      <c r="T26" s="11" t="inlineStr">
        <is>
          <t>OP_APNA-370 (Manual de Operación)</t>
        </is>
      </c>
      <c r="U26" s="17" t="inlineStr">
        <is>
          <t>Pendiente</t>
        </is>
      </c>
      <c r="V26" s="17" t="n"/>
      <c r="W26" s="10">
        <f>IF($G26&lt;&gt;"Numérico","",IF($V26="","Sin dato",IF(AND(OR(NOT(ISNUMBER($O26)),$V26&gt;=$O26),OR(NOT(ISNUMBER($P26)),$V26&lt;=$P26)),"Dentro de rango","Fuera de rango")))</f>
        <v/>
      </c>
      <c r="X26" s="17" t="n"/>
      <c r="Y26" s="18" t="n"/>
      <c r="Z26" s="16">
        <f>IF(OR($U26="",$U26="Conforme",$U26="No aplica",$U26="Pendiente"),"",$N26&amp;IF($W26="Fuera de rango"," Valor medido: "&amp;TEXT($V26,"0.####")&amp;IF($H26="",""," "&amp;$H26)&amp;IF(AND(ISNUMBER($O26),$V26&lt;$O26),", por debajo del límite inferior de "&amp;TEXT($O26,"0.####")&amp;IF($H26="",""," "&amp;$H26),"")&amp;IF(AND(ISNUMBER($P26),$V26&gt;$P26),", por encima del límite superior de "&amp;TEXT($P26,"0.####")&amp;IF($H26="",""," "&amp;$H26),"")&amp;".","")&amp;IF($Y26="",""," "&amp;$Y26&amp;IF(RIGHT($Y26,1)=".","","."))&amp;" Acción recomendada: "&amp;$M26&amp;IF(RIGHT($M26,1)=".","",".")&amp;IF($J26="Bloqueante"," El equipo no se libera hasta resolver este hallazgo.",IF($J26="Cobrable"," Se incluye en la cotización de repuestos y consumibles."," Se deja registrado como observación.")))</f>
        <v/>
      </c>
    </row>
    <row r="27" ht="48" customHeight="1">
      <c r="A27" s="10" t="inlineStr">
        <is>
          <t>3.4.2</t>
        </is>
      </c>
      <c r="B27" s="10" t="inlineStr">
        <is>
          <t>3. Estado de calibración</t>
        </is>
      </c>
      <c r="C27" s="10" t="inlineStr">
        <is>
          <t>3.4 Deriva y desempeño metrológico</t>
        </is>
      </c>
      <c r="D27" s="11" t="inlineStr">
        <is>
          <t>Deriva del cero semanal (Zero Drift)</t>
        </is>
      </c>
      <c r="E27" s="11" t="inlineStr">
        <is>
          <t>Desviación del punto cero tras una semana de operación con variación de temperatura menor a 5 °C</t>
        </is>
      </c>
      <c r="F27" s="12" t="inlineStr">
        <is>
          <t>Introducir gas cero y anotar la lectura; repetir la medición una semana después en las mismas condiciones, con variación térmica menor a 5 °C, y calcular la diferencia.</t>
        </is>
      </c>
      <c r="G27" s="10" t="inlineStr">
        <is>
          <t>Numérico</t>
        </is>
      </c>
      <c r="H27" s="10" t="inlineStr">
        <is>
          <t>% F.S.</t>
        </is>
      </c>
      <c r="I27" s="11" t="inlineStr">
        <is>
          <t>La deriva de cero en una semana no debe superar el porcentaje de fondo de escala especificado</t>
        </is>
      </c>
      <c r="J27" s="13" t="inlineStr">
        <is>
          <t>Bloqueante</t>
        </is>
      </c>
      <c r="K27" s="14" t="inlineStr">
        <is>
          <t>Degradación progresiva del secador o del deozonizador de escape</t>
        </is>
      </c>
      <c r="L27" s="15" t="inlineStr">
        <is>
          <t>6.6.1 ; 6.5.1</t>
        </is>
      </c>
      <c r="M27" s="14" t="inlineStr">
        <is>
          <t>Reemplazar el consumible agotado y repetir el seguimiento semanal</t>
        </is>
      </c>
      <c r="N27" s="16" t="inlineStr">
        <is>
          <t>La deriva semanal del punto cero supera la tolerancia especificada por el fabricante.</t>
        </is>
      </c>
      <c r="O27" s="10" t="n">
        <v>-2</v>
      </c>
      <c r="P27" s="10" t="n">
        <v>2</v>
      </c>
      <c r="Q27" s="10" t="inlineStr">
        <is>
          <t>Sí</t>
        </is>
      </c>
      <c r="R27" s="10" t="inlineStr">
        <is>
          <t>No</t>
        </is>
      </c>
      <c r="S27" s="11" t="inlineStr"/>
      <c r="T27" s="11" t="inlineStr">
        <is>
          <t>OP_APNA-370 (Manual de Operación)</t>
        </is>
      </c>
      <c r="U27" s="17" t="inlineStr">
        <is>
          <t>Pendiente</t>
        </is>
      </c>
      <c r="V27" s="17" t="n"/>
      <c r="W27" s="10">
        <f>IF($G27&lt;&gt;"Numérico","",IF($V27="","Sin dato",IF(AND(OR(NOT(ISNUMBER($O27)),$V27&gt;=$O27),OR(NOT(ISNUMBER($P27)),$V27&lt;=$P27)),"Dentro de rango","Fuera de rango")))</f>
        <v/>
      </c>
      <c r="X27" s="17" t="n"/>
      <c r="Y27" s="18" t="n"/>
      <c r="Z27" s="16">
        <f>IF(OR($U27="",$U27="Conforme",$U27="No aplica",$U27="Pendiente"),"",$N27&amp;IF($W27="Fuera de rango"," Valor medido: "&amp;TEXT($V27,"0.####")&amp;IF($H27="",""," "&amp;$H27)&amp;IF(AND(ISNUMBER($O27),$V27&lt;$O27),", por debajo del límite inferior de "&amp;TEXT($O27,"0.####")&amp;IF($H27="",""," "&amp;$H27),"")&amp;IF(AND(ISNUMBER($P27),$V27&gt;$P27),", por encima del límite superior de "&amp;TEXT($P27,"0.####")&amp;IF($H27="",""," "&amp;$H27),"")&amp;".","")&amp;IF($Y27="",""," "&amp;$Y27&amp;IF(RIGHT($Y27,1)=".","","."))&amp;" Acción recomendada: "&amp;$M27&amp;IF(RIGHT($M27,1)=".","",".")&amp;IF($J27="Bloqueante"," El equipo no se libera hasta resolver este hallazgo.",IF($J27="Cobrable"," Se incluye en la cotización de repuestos y consumibles."," Se deja registrado como observación.")))</f>
        <v/>
      </c>
    </row>
    <row r="28" ht="48" customHeight="1">
      <c r="A28" s="10" t="inlineStr">
        <is>
          <t>3.4.3</t>
        </is>
      </c>
      <c r="B28" s="10" t="inlineStr">
        <is>
          <t>3. Estado de calibración</t>
        </is>
      </c>
      <c r="C28" s="10" t="inlineStr">
        <is>
          <t>3.4 Deriva y desempeño metrológico</t>
        </is>
      </c>
      <c r="D28" s="11" t="inlineStr">
        <is>
          <t>Deriva del span diaria (Span Drift)</t>
        </is>
      </c>
      <c r="E28" s="11" t="inlineStr">
        <is>
          <t>Desviación del punto de span transcurridas 24 h de operación continua</t>
        </is>
      </c>
      <c r="F28" s="12" t="inlineStr">
        <is>
          <t>Introducir gas patrón de span y anotar la lectura estabilizada; repetir 24 h después con el mismo cilindro y expresar la diferencia como porcentaje del fondo de escala.</t>
        </is>
      </c>
      <c r="G28" s="10" t="inlineStr">
        <is>
          <t>Numérico</t>
        </is>
      </c>
      <c r="H28" s="10" t="inlineStr">
        <is>
          <t>% F.S.</t>
        </is>
      </c>
      <c r="I28" s="11" t="inlineStr">
        <is>
          <t>La deriva de span en 24 h no debe superar el porcentaje de fondo de escala especificado</t>
        </is>
      </c>
      <c r="J28" s="13" t="inlineStr">
        <is>
          <t>Bloqueante</t>
        </is>
      </c>
      <c r="K28" s="14" t="inlineStr">
        <is>
          <t>Ozonizador inestable, óptica sucia, o caudal fluctuante</t>
        </is>
      </c>
      <c r="L28" s="15" t="inlineStr">
        <is>
          <t>1.1.2 ; 6.4.2 ; 5.2.1</t>
        </is>
      </c>
      <c r="M28" s="14" t="inlineStr">
        <is>
          <t>Recorrer la rama del ozonizador y la óptica antes de reajustar el span</t>
        </is>
      </c>
      <c r="N28" s="16" t="inlineStr">
        <is>
          <t>La deriva diaria del punto de span supera la tolerancia especificada por el fabricante.</t>
        </is>
      </c>
      <c r="O28" s="10" t="n">
        <v>-1</v>
      </c>
      <c r="P28" s="10" t="n">
        <v>1</v>
      </c>
      <c r="Q28" s="10" t="inlineStr">
        <is>
          <t>Sí</t>
        </is>
      </c>
      <c r="R28" s="10" t="inlineStr">
        <is>
          <t>No</t>
        </is>
      </c>
      <c r="S28" s="11" t="inlineStr"/>
      <c r="T28" s="11" t="inlineStr">
        <is>
          <t>OP_APNA-370 (Manual de Operación)</t>
        </is>
      </c>
      <c r="U28" s="17" t="inlineStr">
        <is>
          <t>Pendiente</t>
        </is>
      </c>
      <c r="V28" s="17" t="n"/>
      <c r="W28" s="10">
        <f>IF($G28&lt;&gt;"Numérico","",IF($V28="","Sin dato",IF(AND(OR(NOT(ISNUMBER($O28)),$V28&gt;=$O28),OR(NOT(ISNUMBER($P28)),$V28&lt;=$P28)),"Dentro de rango","Fuera de rango")))</f>
        <v/>
      </c>
      <c r="X28" s="17" t="n"/>
      <c r="Y28" s="18" t="n"/>
      <c r="Z28" s="16">
        <f>IF(OR($U28="",$U28="Conforme",$U28="No aplica",$U28="Pendiente"),"",$N28&amp;IF($W28="Fuera de rango"," Valor medido: "&amp;TEXT($V28,"0.####")&amp;IF($H28="",""," "&amp;$H28)&amp;IF(AND(ISNUMBER($O28),$V28&lt;$O28),", por debajo del límite inferior de "&amp;TEXT($O28,"0.####")&amp;IF($H28="",""," "&amp;$H28),"")&amp;IF(AND(ISNUMBER($P28),$V28&gt;$P28),", por encima del límite superior de "&amp;TEXT($P28,"0.####")&amp;IF($H28="",""," "&amp;$H28),"")&amp;".","")&amp;IF($Y28="",""," "&amp;$Y28&amp;IF(RIGHT($Y28,1)=".","","."))&amp;" Acción recomendada: "&amp;$M28&amp;IF(RIGHT($M28,1)=".","",".")&amp;IF($J28="Bloqueante"," El equipo no se libera hasta resolver este hallazgo.",IF($J28="Cobrable"," Se incluye en la cotización de repuestos y consumibles."," Se deja registrado como observación.")))</f>
        <v/>
      </c>
    </row>
    <row r="29" ht="48" customHeight="1">
      <c r="A29" s="10" t="inlineStr">
        <is>
          <t>3.4.4</t>
        </is>
      </c>
      <c r="B29" s="10" t="inlineStr">
        <is>
          <t>3. Estado de calibración</t>
        </is>
      </c>
      <c r="C29" s="10" t="inlineStr">
        <is>
          <t>3.4 Deriva y desempeño metrológico</t>
        </is>
      </c>
      <c r="D29" s="11" t="inlineStr">
        <is>
          <t>Deriva del span semanal (Span Drift)</t>
        </is>
      </c>
      <c r="E29" s="11" t="inlineStr">
        <is>
          <t>Desviación del punto de span tras una semana con variación de temperatura menor a 5 °C</t>
        </is>
      </c>
      <c r="F29" s="12" t="inlineStr">
        <is>
          <t>Introducir gas patrón de span y anotar la lectura estabilizada; repetir una semana después con el mismo cilindro y expresar la diferencia como porcentaje del fondo de escala.</t>
        </is>
      </c>
      <c r="G29" s="10" t="inlineStr">
        <is>
          <t>Numérico</t>
        </is>
      </c>
      <c r="H29" s="10" t="inlineStr">
        <is>
          <t>% F.S.</t>
        </is>
      </c>
      <c r="I29" s="11" t="inlineStr">
        <is>
          <t>La deriva de span en una semana no debe superar el porcentaje de fondo de escala especificado</t>
        </is>
      </c>
      <c r="J29" s="13" t="inlineStr">
        <is>
          <t>Bloqueante</t>
        </is>
      </c>
      <c r="K29" s="14" t="inlineStr">
        <is>
          <t>Envejecimiento de la lámpara del ozonizador o degradación del convertidor</t>
        </is>
      </c>
      <c r="L29" s="15" t="inlineStr">
        <is>
          <t>6.3.2 ; 3.3.1</t>
        </is>
      </c>
      <c r="M29" s="14" t="inlineStr">
        <is>
          <t>Programar el cambio de lámpara del ozonizador y verificar la eficiencia del convertidor</t>
        </is>
      </c>
      <c r="N29" s="16" t="inlineStr">
        <is>
          <t>La deriva semanal del punto de span supera la tolerancia especificada por el fabricante.</t>
        </is>
      </c>
      <c r="O29" s="10" t="n">
        <v>-2</v>
      </c>
      <c r="P29" s="10" t="n">
        <v>2</v>
      </c>
      <c r="Q29" s="10" t="inlineStr">
        <is>
          <t>Sí</t>
        </is>
      </c>
      <c r="R29" s="10" t="inlineStr">
        <is>
          <t>No</t>
        </is>
      </c>
      <c r="S29" s="11" t="inlineStr"/>
      <c r="T29" s="11" t="inlineStr">
        <is>
          <t>OP_APNA-370 (Manual de Operación)</t>
        </is>
      </c>
      <c r="U29" s="17" t="inlineStr">
        <is>
          <t>Pendiente</t>
        </is>
      </c>
      <c r="V29" s="17" t="n"/>
      <c r="W29" s="10">
        <f>IF($G29&lt;&gt;"Numérico","",IF($V29="","Sin dato",IF(AND(OR(NOT(ISNUMBER($O29)),$V29&gt;=$O29),OR(NOT(ISNUMBER($P29)),$V29&lt;=$P29)),"Dentro de rango","Fuera de rango")))</f>
        <v/>
      </c>
      <c r="X29" s="17" t="n"/>
      <c r="Y29" s="18" t="n"/>
      <c r="Z29" s="16">
        <f>IF(OR($U29="",$U29="Conforme",$U29="No aplica",$U29="Pendiente"),"",$N29&amp;IF($W29="Fuera de rango"," Valor medido: "&amp;TEXT($V29,"0.####")&amp;IF($H29="",""," "&amp;$H29)&amp;IF(AND(ISNUMBER($O29),$V29&lt;$O29),", por debajo del límite inferior de "&amp;TEXT($O29,"0.####")&amp;IF($H29="",""," "&amp;$H29),"")&amp;IF(AND(ISNUMBER($P29),$V29&gt;$P29),", por encima del límite superior de "&amp;TEXT($P29,"0.####")&amp;IF($H29="",""," "&amp;$H29),"")&amp;".","")&amp;IF($Y29="",""," "&amp;$Y29&amp;IF(RIGHT($Y29,1)=".","","."))&amp;" Acción recomendada: "&amp;$M29&amp;IF(RIGHT($M29,1)=".","",".")&amp;IF($J29="Bloqueante"," El equipo no se libera hasta resolver este hallazgo.",IF($J29="Cobrable"," Se incluye en la cotización de repuestos y consumibles."," Se deja registrado como observación.")))</f>
        <v/>
      </c>
    </row>
    <row r="30" ht="48" customHeight="1">
      <c r="A30" s="10" t="inlineStr">
        <is>
          <t>3.4.5</t>
        </is>
      </c>
      <c r="B30" s="10" t="inlineStr">
        <is>
          <t>3. Estado de calibración</t>
        </is>
      </c>
      <c r="C30" s="10" t="inlineStr">
        <is>
          <t>3.4 Deriva y desempeño metrológico</t>
        </is>
      </c>
      <c r="D30" s="11" t="inlineStr">
        <is>
          <t>Tiempo de respuesta T90</t>
        </is>
      </c>
      <c r="E30" s="11" t="inlineStr">
        <is>
          <t>Tiempo para alcanzar el 90 % del valor final de concentración desde la entrada</t>
        </is>
      </c>
      <c r="F30" s="12" t="inlineStr">
        <is>
          <t>Con el equipo estabilizado en gas cero, conmutar bruscamente a gas patrón y cronometrar el tiempo hasta que la lectura alcance el 90 % del valor final.</t>
        </is>
      </c>
      <c r="G30" s="10" t="inlineStr">
        <is>
          <t>Numérico</t>
        </is>
      </c>
      <c r="H30" s="10" t="inlineStr">
        <is>
          <t>segundos</t>
        </is>
      </c>
      <c r="I30" s="11" t="inlineStr">
        <is>
          <t>El tiempo de respuesta T90 debe ser igual o menor a 120 s</t>
        </is>
      </c>
      <c r="J30" s="13" t="inlineStr">
        <is>
          <t>Bloqueante</t>
        </is>
      </c>
      <c r="K30" s="14" t="inlineStr">
        <is>
          <t>Volumen muerto excesivo, fuga, o caudal por debajo del nominal</t>
        </is>
      </c>
      <c r="L30" s="15" t="inlineStr">
        <is>
          <t>5.2.1 ; 4.2.1 ; 10.2.1</t>
        </is>
      </c>
      <c r="M30" s="14" t="inlineStr">
        <is>
          <t>Acortar la línea de muestreo y restablecer el caudal nominal antes de repetir la prueba</t>
        </is>
      </c>
      <c r="N30" s="16" t="inlineStr">
        <is>
          <t>El tiempo de respuesta del analizador supera el máximo especificado, lo que retarda la detección de variaciones de concentración.</t>
        </is>
      </c>
      <c r="O30" s="10" t="n">
        <v>0</v>
      </c>
      <c r="P30" s="10" t="n">
        <v>120</v>
      </c>
      <c r="Q30" s="10" t="inlineStr">
        <is>
          <t>Sí</t>
        </is>
      </c>
      <c r="R30" s="10" t="inlineStr">
        <is>
          <t>No</t>
        </is>
      </c>
      <c r="S30" s="11" t="inlineStr"/>
      <c r="T30" s="11" t="inlineStr">
        <is>
          <t>OP_APNA-370 (Manual de Operación)</t>
        </is>
      </c>
      <c r="U30" s="17" t="inlineStr">
        <is>
          <t>Pendiente</t>
        </is>
      </c>
      <c r="V30" s="17" t="n"/>
      <c r="W30" s="10">
        <f>IF($G30&lt;&gt;"Numérico","",IF($V30="","Sin dato",IF(AND(OR(NOT(ISNUMBER($O30)),$V30&gt;=$O30),OR(NOT(ISNUMBER($P30)),$V30&lt;=$P30)),"Dentro de rango","Fuera de rango")))</f>
        <v/>
      </c>
      <c r="X30" s="17" t="n"/>
      <c r="Y30" s="18" t="n"/>
      <c r="Z30" s="16">
        <f>IF(OR($U30="",$U30="Conforme",$U30="No aplica",$U30="Pendiente"),"",$N30&amp;IF($W30="Fuera de rango"," Valor medido: "&amp;TEXT($V30,"0.####")&amp;IF($H30="",""," "&amp;$H30)&amp;IF(AND(ISNUMBER($O30),$V30&lt;$O30),", por debajo del límite inferior de "&amp;TEXT($O30,"0.####")&amp;IF($H30="",""," "&amp;$H30),"")&amp;IF(AND(ISNUMBER($P30),$V30&gt;$P30),", por encima del límite superior de "&amp;TEXT($P30,"0.####")&amp;IF($H30="",""," "&amp;$H30),"")&amp;".","")&amp;IF($Y30="",""," "&amp;$Y30&amp;IF(RIGHT($Y30,1)=".","","."))&amp;" Acción recomendada: "&amp;$M30&amp;IF(RIGHT($M30,1)=".","",".")&amp;IF($J30="Bloqueante"," El equipo no se libera hasta resolver este hallazgo.",IF($J30="Cobrable"," Se incluye en la cotización de repuestos y consumibles."," Se deja registrado como observación.")))</f>
        <v/>
      </c>
    </row>
    <row r="31" ht="48" customHeight="1">
      <c r="A31" s="10" t="inlineStr">
        <is>
          <t>3.4.6</t>
        </is>
      </c>
      <c r="B31" s="10" t="inlineStr">
        <is>
          <t>3. Estado de calibración</t>
        </is>
      </c>
      <c r="C31" s="10" t="inlineStr">
        <is>
          <t>3.4 Deriva y desempeño metrológico</t>
        </is>
      </c>
      <c r="D31" s="11" t="inlineStr">
        <is>
          <t>Repetitividad del equipo</t>
        </is>
      </c>
      <c r="E31" s="11" t="inlineStr">
        <is>
          <t>Repetitividad de lecturas bajo condiciones constantes de gas patrón</t>
        </is>
      </c>
      <c r="F31" s="12" t="inlineStr">
        <is>
          <t>Introducir gas patrón y registrar al menos cinco lecturas consecutivas en condiciones constantes; calcular la dispersión y expresarla como porcentaje del fondo de escala.</t>
        </is>
      </c>
      <c r="G31" s="10" t="inlineStr">
        <is>
          <t>Numérico</t>
        </is>
      </c>
      <c r="H31" s="10" t="inlineStr">
        <is>
          <t>% F.S.</t>
        </is>
      </c>
      <c r="I31" s="11" t="inlineStr">
        <is>
          <t>La repetitividad de las mediciones de NOx debe encontrarse dentro de la tolerancia</t>
        </is>
      </c>
      <c r="J31" s="13" t="inlineStr">
        <is>
          <t>Bloqueante</t>
        </is>
      </c>
      <c r="K31" s="14" t="inlineStr">
        <is>
          <t>Ruido óptico, caudal inestable, o ozonizador intermitente</t>
        </is>
      </c>
      <c r="L31" s="15" t="inlineStr">
        <is>
          <t>6.4.1 ; 5.2.1 ; 1.1.2</t>
        </is>
      </c>
      <c r="M31" s="14" t="inlineStr">
        <is>
          <t>Estabilizar el lazo neumático antes de atribuir la dispersión al detector</t>
        </is>
      </c>
      <c r="N31" s="16" t="inlineStr">
        <is>
          <t>La repetitividad de las lecturas supera la tolerancia especificada por el fabricante.</t>
        </is>
      </c>
      <c r="O31" s="10" t="n">
        <v>-1</v>
      </c>
      <c r="P31" s="10" t="n">
        <v>1</v>
      </c>
      <c r="Q31" s="10" t="inlineStr">
        <is>
          <t>Sí</t>
        </is>
      </c>
      <c r="R31" s="10" t="inlineStr">
        <is>
          <t>No</t>
        </is>
      </c>
      <c r="S31" s="11" t="inlineStr"/>
      <c r="T31" s="11" t="inlineStr">
        <is>
          <t>OP_APNA-370 (Manual de Operación)</t>
        </is>
      </c>
      <c r="U31" s="17" t="inlineStr">
        <is>
          <t>Pendiente</t>
        </is>
      </c>
      <c r="V31" s="17" t="n"/>
      <c r="W31" s="10">
        <f>IF($G31&lt;&gt;"Numérico","",IF($V31="","Sin dato",IF(AND(OR(NOT(ISNUMBER($O31)),$V31&gt;=$O31),OR(NOT(ISNUMBER($P31)),$V31&lt;=$P31)),"Dentro de rango","Fuera de rango")))</f>
        <v/>
      </c>
      <c r="X31" s="17" t="n"/>
      <c r="Y31" s="18" t="n"/>
      <c r="Z31" s="16">
        <f>IF(OR($U31="",$U31="Conforme",$U31="No aplica",$U31="Pendiente"),"",$N31&amp;IF($W31="Fuera de rango"," Valor medido: "&amp;TEXT($V31,"0.####")&amp;IF($H31="",""," "&amp;$H31)&amp;IF(AND(ISNUMBER($O31),$V31&lt;$O31),", por debajo del límite inferior de "&amp;TEXT($O31,"0.####")&amp;IF($H31="",""," "&amp;$H31),"")&amp;IF(AND(ISNUMBER($P31),$V31&gt;$P31),", por encima del límite superior de "&amp;TEXT($P31,"0.####")&amp;IF($H31="",""," "&amp;$H31),"")&amp;".","")&amp;IF($Y31="",""," "&amp;$Y31&amp;IF(RIGHT($Y31,1)=".","","."))&amp;" Acción recomendada: "&amp;$M31&amp;IF(RIGHT($M31,1)=".","",".")&amp;IF($J31="Bloqueante"," El equipo no se libera hasta resolver este hallazgo.",IF($J31="Cobrable"," Se incluye en la cotización de repuestos y consumibles."," Se deja registrado como observación.")))</f>
        <v/>
      </c>
    </row>
    <row r="32" ht="48" customHeight="1">
      <c r="A32" s="10" t="inlineStr">
        <is>
          <t>3.4.7</t>
        </is>
      </c>
      <c r="B32" s="10" t="inlineStr">
        <is>
          <t>3. Estado de calibración</t>
        </is>
      </c>
      <c r="C32" s="10" t="inlineStr">
        <is>
          <t>3.4 Deriva y desempeño metrológico</t>
        </is>
      </c>
      <c r="D32" s="11" t="inlineStr">
        <is>
          <t>Linealidad del analizador</t>
        </is>
      </c>
      <c r="E32" s="11" t="inlineStr">
        <is>
          <t>Desviación de la curva lineal en una calibración multipunto</t>
        </is>
      </c>
      <c r="F32" s="12" t="inlineStr">
        <is>
          <t>Realizar una calibración multipunto con dilutor, ajustar la recta de regresión y calcular para cada punto la desviación respecto a la línea de mejor ajuste, en porcentaje del fondo de escala.</t>
        </is>
      </c>
      <c r="G32" s="10" t="inlineStr">
        <is>
          <t>Numérico</t>
        </is>
      </c>
      <c r="H32" s="10" t="inlineStr">
        <is>
          <t>% F.S.</t>
        </is>
      </c>
      <c r="I32" s="11" t="inlineStr">
        <is>
          <t>La linealidad del equipo debe encontrarse dentro de la tolerancia máxima establecida</t>
        </is>
      </c>
      <c r="J32" s="13" t="inlineStr">
        <is>
          <t>Bloqueante</t>
        </is>
      </c>
      <c r="K32" s="14" t="inlineStr">
        <is>
          <t>Dilutor descalibrado, fuga en la línea de calibración, o convertidor degradado</t>
        </is>
      </c>
      <c r="L32" s="15" t="inlineStr">
        <is>
          <t>3.3.1 ; 10.2.1</t>
        </is>
      </c>
      <c r="M32" s="14" t="inlineStr">
        <is>
          <t>Verificar el dilutor con patrón externo antes de atribuir la no linealidad al equipo</t>
        </is>
      </c>
      <c r="N32" s="16" t="inlineStr">
        <is>
          <t>La calibración multipunto presenta una desviación respecto a la recta de mejor ajuste superior a la tolerancia admisible.</t>
        </is>
      </c>
      <c r="O32" s="10" t="n">
        <v>-1</v>
      </c>
      <c r="P32" s="10" t="n">
        <v>1</v>
      </c>
      <c r="Q32" s="10" t="inlineStr">
        <is>
          <t>Sí</t>
        </is>
      </c>
      <c r="R32" s="10" t="inlineStr">
        <is>
          <t>No</t>
        </is>
      </c>
      <c r="S32" s="11" t="inlineStr"/>
      <c r="T32" s="11" t="inlineStr">
        <is>
          <t>OP_APNA-370 (Manual de Operación)</t>
        </is>
      </c>
      <c r="U32" s="17" t="inlineStr">
        <is>
          <t>Pendiente</t>
        </is>
      </c>
      <c r="V32" s="17" t="n"/>
      <c r="W32" s="10">
        <f>IF($G32&lt;&gt;"Numérico","",IF($V32="","Sin dato",IF(AND(OR(NOT(ISNUMBER($O32)),$V32&gt;=$O32),OR(NOT(ISNUMBER($P32)),$V32&lt;=$P32)),"Dentro de rango","Fuera de rango")))</f>
        <v/>
      </c>
      <c r="X32" s="17" t="n"/>
      <c r="Y32" s="18" t="n"/>
      <c r="Z32" s="16">
        <f>IF(OR($U32="",$U32="Conforme",$U32="No aplica",$U32="Pendiente"),"",$N32&amp;IF($W32="Fuera de rango"," Valor medido: "&amp;TEXT($V32,"0.####")&amp;IF($H32="",""," "&amp;$H32)&amp;IF(AND(ISNUMBER($O32),$V32&lt;$O32),", por debajo del límite inferior de "&amp;TEXT($O32,"0.####")&amp;IF($H32="",""," "&amp;$H32),"")&amp;IF(AND(ISNUMBER($P32),$V32&gt;$P32),", por encima del límite superior de "&amp;TEXT($P32,"0.####")&amp;IF($H32="",""," "&amp;$H32),"")&amp;".","")&amp;IF($Y32="",""," "&amp;$Y32&amp;IF(RIGHT($Y32,1)=".","","."))&amp;" Acción recomendada: "&amp;$M32&amp;IF(RIGHT($M32,1)=".","",".")&amp;IF($J32="Bloqueante"," El equipo no se libera hasta resolver este hallazgo.",IF($J32="Cobrable"," Se incluye en la cotización de repuestos y consumibles."," Se deja registrado como observación.")))</f>
        <v/>
      </c>
    </row>
    <row r="33" ht="48" customHeight="1">
      <c r="A33" s="10" t="inlineStr">
        <is>
          <t>4.1.1</t>
        </is>
      </c>
      <c r="B33" s="10" t="inlineStr">
        <is>
          <t>4. Línea de muestreo y acondicionamiento</t>
        </is>
      </c>
      <c r="C33" s="10" t="inlineStr">
        <is>
          <t>4.1 Portafiltros frontal</t>
        </is>
      </c>
      <c r="D33" s="11" t="inlineStr">
        <is>
          <t>Elemento filtrante de muestra (PTFE)</t>
        </is>
      </c>
      <c r="E33" s="11" t="inlineStr">
        <is>
          <t>Color y estado del elemento filtrante PA-10L de 54 mm de diámetro</t>
        </is>
      </c>
      <c r="F33" s="12" t="inlineStr">
        <is>
          <t>Abrir la puerta frontal, desenroscar el vaso del portafiltros, extraer el elemento y compararlo contra un filtro nuevo sobre fondo blanco. Fotografiar antes de reemplazar.</t>
        </is>
      </c>
      <c r="G33" s="10" t="inlineStr">
        <is>
          <t>OK / No OK</t>
        </is>
      </c>
      <c r="H33" s="10" t="inlineStr"/>
      <c r="I33" s="11" t="inlineStr">
        <is>
          <t>Debe estar limpio y de color totalmente blanco; reemplazar cada 2 semanas si hay polución o humedad</t>
        </is>
      </c>
      <c r="J33" s="13" t="inlineStr">
        <is>
          <t>Cobrable</t>
        </is>
      </c>
      <c r="K33" s="14" t="inlineStr">
        <is>
          <t>Filtro saturado de material particulado o humedecido</t>
        </is>
      </c>
      <c r="L33" s="15" t="inlineStr">
        <is>
          <t>5.2.1 ; 5.5.4</t>
        </is>
      </c>
      <c r="M33" s="14" t="inlineStr">
        <is>
          <t>Reemplazar el elemento filtrante cada dos semanas o antes si hay polución alta</t>
        </is>
      </c>
      <c r="N33" s="16" t="inlineStr">
        <is>
          <t>El filtro de partículas se encuentra colmatado, lo que restringe el caudal de muestra.</t>
        </is>
      </c>
      <c r="O33" s="10" t="n"/>
      <c r="P33" s="10" t="n"/>
      <c r="Q33" s="10" t="inlineStr">
        <is>
          <t>Sí</t>
        </is>
      </c>
      <c r="R33" s="10" t="inlineStr">
        <is>
          <t>Sí</t>
        </is>
      </c>
      <c r="S33" s="11" t="inlineStr">
        <is>
          <t>Filter Element PA-10L diámetro 54*0.5t (24pc/set) (3200043947; alt. 3200043947-1PC)</t>
        </is>
      </c>
      <c r="T33" s="11" t="inlineStr">
        <is>
          <t>OP_APNA-370 / MT_9156R938</t>
        </is>
      </c>
      <c r="U33" s="17" t="inlineStr">
        <is>
          <t>Pendiente</t>
        </is>
      </c>
      <c r="V33" s="17" t="n"/>
      <c r="W33" s="10">
        <f>IF($G33&lt;&gt;"Numérico","",IF($V33="","Sin dato",IF(AND(OR(NOT(ISNUMBER($O33)),$V33&gt;=$O33),OR(NOT(ISNUMBER($P33)),$V33&lt;=$P33)),"Dentro de rango","Fuera de rango")))</f>
        <v/>
      </c>
      <c r="X33" s="17" t="n"/>
      <c r="Y33" s="18" t="n"/>
      <c r="Z33" s="16">
        <f>IF(OR($U33="",$U33="Conforme",$U33="No aplica",$U33="Pendiente"),"",$N33&amp;IF($W33="Fuera de rango"," Valor medido: "&amp;TEXT($V33,"0.####")&amp;IF($H33="",""," "&amp;$H33)&amp;IF(AND(ISNUMBER($O33),$V33&lt;$O33),", por debajo del límite inferior de "&amp;TEXT($O33,"0.####")&amp;IF($H33="",""," "&amp;$H33),"")&amp;IF(AND(ISNUMBER($P33),$V33&gt;$P33),", por encima del límite superior de "&amp;TEXT($P33,"0.####")&amp;IF($H33="",""," "&amp;$H33),"")&amp;".","")&amp;IF($Y33="",""," "&amp;$Y33&amp;IF(RIGHT($Y33,1)=".","","."))&amp;" Acción recomendada: "&amp;$M33&amp;IF(RIGHT($M33,1)=".","",".")&amp;IF($J33="Bloqueante"," El equipo no se libera hasta resolver este hallazgo.",IF($J33="Cobrable"," Se incluye en la cotización de repuestos y consumibles."," Se deja registrado como observación.")))</f>
        <v/>
      </c>
    </row>
    <row r="34" ht="48" customHeight="1">
      <c r="A34" s="10" t="inlineStr">
        <is>
          <t>4.1.2</t>
        </is>
      </c>
      <c r="B34" s="10" t="inlineStr">
        <is>
          <t>4. Línea de muestreo y acondicionamiento</t>
        </is>
      </c>
      <c r="C34" s="10" t="inlineStr">
        <is>
          <t>4.1 Portafiltros frontal</t>
        </is>
      </c>
      <c r="D34" s="11" t="inlineStr">
        <is>
          <t>Empaque del filtro de partículas frontal</t>
        </is>
      </c>
      <c r="E34" s="11" t="inlineStr">
        <is>
          <t>Empaque plano FKM del portafiltro frontal, para descartar grietas, deformaciones o fugas</t>
        </is>
      </c>
      <c r="F34" s="12" t="inlineStr">
        <is>
          <t>Con el portafiltros abierto, retirar el empaque plano FKM, flexionarlo entre los dedos y buscar grietas, aplastamiento permanente o pérdida de elasticidad.</t>
        </is>
      </c>
      <c r="G34" s="10" t="inlineStr">
        <is>
          <t>OK / No OK</t>
        </is>
      </c>
      <c r="H34" s="10" t="inlineStr"/>
      <c r="I34" s="11" t="inlineStr">
        <is>
          <t>Empaque elástico y sin fisuras, que garantice hermeticidad de la línea; reemplazar cada 1 año</t>
        </is>
      </c>
      <c r="J34" s="13" t="inlineStr">
        <is>
          <t>Cobrable</t>
        </is>
      </c>
      <c r="K34" s="14" t="inlineStr">
        <is>
          <t>Empaque endurecido o agrietado: fuga en el portafiltros</t>
        </is>
      </c>
      <c r="L34" s="15" t="inlineStr">
        <is>
          <t>4.1.3 ; 3.1.1</t>
        </is>
      </c>
      <c r="M34" s="14" t="inlineStr">
        <is>
          <t>Reemplazar el empaque FKM y repetir la prueba de hermeticidad</t>
        </is>
      </c>
      <c r="N34" s="16" t="inlineStr">
        <is>
          <t>El empaque del portafiltros ha perdido elasticidad y no garantiza el sello del alojamiento del filtro.</t>
        </is>
      </c>
      <c r="O34" s="10" t="n"/>
      <c r="P34" s="10" t="n"/>
      <c r="Q34" s="10" t="inlineStr">
        <is>
          <t>Sí</t>
        </is>
      </c>
      <c r="R34" s="10" t="inlineStr">
        <is>
          <t>Sí</t>
        </is>
      </c>
      <c r="S34" s="11" t="inlineStr">
        <is>
          <t>F-Packing FPM (3200044273) · F-Packing FPM (3012129804)</t>
        </is>
      </c>
      <c r="T34" s="11" t="inlineStr">
        <is>
          <t>MNT_APNA-370 (Manual de Mantenimiento)</t>
        </is>
      </c>
      <c r="U34" s="17" t="inlineStr">
        <is>
          <t>Pendiente</t>
        </is>
      </c>
      <c r="V34" s="17" t="n"/>
      <c r="W34" s="10">
        <f>IF($G34&lt;&gt;"Numérico","",IF($V34="","Sin dato",IF(AND(OR(NOT(ISNUMBER($O34)),$V34&gt;=$O34),OR(NOT(ISNUMBER($P34)),$V34&lt;=$P34)),"Dentro de rango","Fuera de rango")))</f>
        <v/>
      </c>
      <c r="X34" s="17" t="n"/>
      <c r="Y34" s="18" t="n"/>
      <c r="Z34" s="16">
        <f>IF(OR($U34="",$U34="Conforme",$U34="No aplica",$U34="Pendiente"),"",$N34&amp;IF($W34="Fuera de rango"," Valor medido: "&amp;TEXT($V34,"0.####")&amp;IF($H34="",""," "&amp;$H34)&amp;IF(AND(ISNUMBER($O34),$V34&lt;$O34),", por debajo del límite inferior de "&amp;TEXT($O34,"0.####")&amp;IF($H34="",""," "&amp;$H34),"")&amp;IF(AND(ISNUMBER($P34),$V34&gt;$P34),", por encima del límite superior de "&amp;TEXT($P34,"0.####")&amp;IF($H34="",""," "&amp;$H34),"")&amp;".","")&amp;IF($Y34="",""," "&amp;$Y34&amp;IF(RIGHT($Y34,1)=".","","."))&amp;" Acción recomendada: "&amp;$M34&amp;IF(RIGHT($M34,1)=".","",".")&amp;IF($J34="Bloqueante"," El equipo no se libera hasta resolver este hallazgo.",IF($J34="Cobrable"," Se incluye en la cotización de repuestos y consumibles."," Se deja registrado como observación.")))</f>
        <v/>
      </c>
    </row>
    <row r="35" ht="48" customHeight="1">
      <c r="A35" s="10" t="inlineStr">
        <is>
          <t>4.1.3</t>
        </is>
      </c>
      <c r="B35" s="10" t="inlineStr">
        <is>
          <t>4. Línea de muestreo y acondicionamiento</t>
        </is>
      </c>
      <c r="C35" s="10" t="inlineStr">
        <is>
          <t>4.1 Portafiltros frontal</t>
        </is>
      </c>
      <c r="D35" s="11" t="inlineStr">
        <is>
          <t>Junta tórica del portafiltro (O-Ring G70)</t>
        </is>
      </c>
      <c r="E35" s="11" t="inlineStr">
        <is>
          <t>Estado del anillo de sellado JISB2401 G70 en el estuche del filtro</t>
        </is>
      </c>
      <c r="F35" s="12" t="inlineStr">
        <is>
          <t>Retirar la junta tórica del estuche del filtro, limpiarla y examinarla estirándola suavemente contra la luz, buscando cortes, microfisuras o pérdida de elasticidad.</t>
        </is>
      </c>
      <c r="G35" s="10" t="inlineStr">
        <is>
          <t>OK / No OK</t>
        </is>
      </c>
      <c r="H35" s="10" t="inlineStr"/>
      <c r="I35" s="11" t="inlineStr">
        <is>
          <t>Sin cortes ni pérdida de elasticidad, para evitar ingreso de aire ambiental; reemplazar cada 1 año</t>
        </is>
      </c>
      <c r="J35" s="13" t="inlineStr">
        <is>
          <t>Cobrable</t>
        </is>
      </c>
      <c r="K35" s="14" t="inlineStr">
        <is>
          <t>Junta con cortes o sin elasticidad: ingreso de aire ambiental</t>
        </is>
      </c>
      <c r="L35" s="15" t="inlineStr">
        <is>
          <t>4.1.2 ; 3.1.1</t>
        </is>
      </c>
      <c r="M35" s="14" t="inlineStr">
        <is>
          <t>Reemplazar la junta tórica y repetir la prueba de hermeticidad</t>
        </is>
      </c>
      <c r="N35" s="16" t="inlineStr">
        <is>
          <t>La junta tórica del portafiltros presenta cortes o pérdida de elasticidad y permite el ingreso de aire ambiente.</t>
        </is>
      </c>
      <c r="O35" s="10" t="n"/>
      <c r="P35" s="10" t="n"/>
      <c r="Q35" s="10" t="inlineStr">
        <is>
          <t>Sí</t>
        </is>
      </c>
      <c r="R35" s="10" t="inlineStr">
        <is>
          <t>Sí</t>
        </is>
      </c>
      <c r="S35" s="11" t="inlineStr">
        <is>
          <t>O-Ring JISB2401 G 70 (FPM) (3030049099) · O-Ring JISB2401 G70 (3200043785)</t>
        </is>
      </c>
      <c r="T35" s="11" t="inlineStr">
        <is>
          <t>MNT_APNA-370 (Manual de Mantenimiento)</t>
        </is>
      </c>
      <c r="U35" s="17" t="inlineStr">
        <is>
          <t>Pendiente</t>
        </is>
      </c>
      <c r="V35" s="17" t="n"/>
      <c r="W35" s="10">
        <f>IF($G35&lt;&gt;"Numérico","",IF($V35="","Sin dato",IF(AND(OR(NOT(ISNUMBER($O35)),$V35&gt;=$O35),OR(NOT(ISNUMBER($P35)),$V35&lt;=$P35)),"Dentro de rango","Fuera de rango")))</f>
        <v/>
      </c>
      <c r="X35" s="17" t="n"/>
      <c r="Y35" s="18" t="n"/>
      <c r="Z35" s="16">
        <f>IF(OR($U35="",$U35="Conforme",$U35="No aplica",$U35="Pendiente"),"",$N35&amp;IF($W35="Fuera de rango"," Valor medido: "&amp;TEXT($V35,"0.####")&amp;IF($H35="",""," "&amp;$H35)&amp;IF(AND(ISNUMBER($O35),$V35&lt;$O35),", por debajo del límite inferior de "&amp;TEXT($O35,"0.####")&amp;IF($H35="",""," "&amp;$H35),"")&amp;IF(AND(ISNUMBER($P35),$V35&gt;$P35),", por encima del límite superior de "&amp;TEXT($P35,"0.####")&amp;IF($H35="",""," "&amp;$H35),"")&amp;".","")&amp;IF($Y35="",""," "&amp;$Y35&amp;IF(RIGHT($Y35,1)=".","","."))&amp;" Acción recomendada: "&amp;$M35&amp;IF(RIGHT($M35,1)=".","",".")&amp;IF($J35="Bloqueante"," El equipo no se libera hasta resolver este hallazgo.",IF($J35="Cobrable"," Se incluye en la cotización de repuestos y consumibles."," Se deja registrado como observación.")))</f>
        <v/>
      </c>
    </row>
    <row r="36" ht="48" customHeight="1">
      <c r="A36" s="10" t="inlineStr">
        <is>
          <t>4.2.1</t>
        </is>
      </c>
      <c r="B36" s="10" t="inlineStr">
        <is>
          <t>4. Línea de muestreo y acondicionamiento</t>
        </is>
      </c>
      <c r="C36" s="10" t="inlineStr">
        <is>
          <t>4.2 Sonda y líneas de muestreo</t>
        </is>
      </c>
      <c r="D36" s="11" t="inlineStr">
        <is>
          <t>Tubería de teflón FEP externa</t>
        </is>
      </c>
      <c r="E36" s="11" t="inlineStr">
        <is>
          <t>Mangueras externas de entrada de muestra, calibración y escape</t>
        </is>
      </c>
      <c r="F36" s="12" t="inlineStr">
        <is>
          <t>Recorrer las mangueras externas de muestra, calibración y escape buscando dobleces agudos, aplastamientos o humedad acumulada. Verificar el apriete de cada racor.</t>
        </is>
      </c>
      <c r="G36" s="10" t="inlineStr">
        <is>
          <t>OK / No OK</t>
        </is>
      </c>
      <c r="H36" s="10" t="inlineStr"/>
      <c r="I36" s="11" t="inlineStr">
        <is>
          <t>Limpias, sin dobleces, estrangulaciones ni humedad acumulada; FEP de 6 mm OD / 4 mm ID</t>
        </is>
      </c>
      <c r="J36" s="13" t="inlineStr">
        <is>
          <t>Cobrable</t>
        </is>
      </c>
      <c r="K36" s="14" t="inlineStr">
        <is>
          <t>Manguera doblada, aplastada, o con humedad acumulada</t>
        </is>
      </c>
      <c r="L36" s="15" t="inlineStr">
        <is>
          <t>5.2.1 ; 4.3.1</t>
        </is>
      </c>
      <c r="M36" s="14" t="inlineStr">
        <is>
          <t>Reemplazar el tramo afectado y purgar la línea con aire seco</t>
        </is>
      </c>
      <c r="N36" s="16" t="inlineStr">
        <is>
          <t>La línea de muestreo presenta dobleces, aplastamientos o acumulación de humedad.</t>
        </is>
      </c>
      <c r="O36" s="10" t="n"/>
      <c r="P36" s="10" t="n"/>
      <c r="Q36" s="10" t="inlineStr">
        <is>
          <t>Sí</t>
        </is>
      </c>
      <c r="R36" s="10" t="inlineStr">
        <is>
          <t>Sí</t>
        </is>
      </c>
      <c r="S36" s="11" t="inlineStr">
        <is>
          <t>Tubería FEP (AMB-CONTEF-001)</t>
        </is>
      </c>
      <c r="T36" s="11" t="inlineStr">
        <is>
          <t>OP_APNA-370 / MT_RFL6UD28</t>
        </is>
      </c>
      <c r="U36" s="17" t="inlineStr">
        <is>
          <t>Pendiente</t>
        </is>
      </c>
      <c r="V36" s="17" t="n"/>
      <c r="W36" s="10">
        <f>IF($G36&lt;&gt;"Numérico","",IF($V36="","Sin dato",IF(AND(OR(NOT(ISNUMBER($O36)),$V36&gt;=$O36),OR(NOT(ISNUMBER($P36)),$V36&lt;=$P36)),"Dentro de rango","Fuera de rango")))</f>
        <v/>
      </c>
      <c r="X36" s="17" t="n"/>
      <c r="Y36" s="18" t="n"/>
      <c r="Z36" s="16">
        <f>IF(OR($U36="",$U36="Conforme",$U36="No aplica",$U36="Pendiente"),"",$N36&amp;IF($W36="Fuera de rango"," Valor medido: "&amp;TEXT($V36,"0.####")&amp;IF($H36="",""," "&amp;$H36)&amp;IF(AND(ISNUMBER($O36),$V36&lt;$O36),", por debajo del límite inferior de "&amp;TEXT($O36,"0.####")&amp;IF($H36="",""," "&amp;$H36),"")&amp;IF(AND(ISNUMBER($P36),$V36&gt;$P36),", por encima del límite superior de "&amp;TEXT($P36,"0.####")&amp;IF($H36="",""," "&amp;$H36),"")&amp;".","")&amp;IF($Y36="",""," "&amp;$Y36&amp;IF(RIGHT($Y36,1)=".","","."))&amp;" Acción recomendada: "&amp;$M36&amp;IF(RIGHT($M36,1)=".","",".")&amp;IF($J36="Bloqueante"," El equipo no se libera hasta resolver este hallazgo.",IF($J36="Cobrable"," Se incluye en la cotización de repuestos y consumibles."," Se deja registrado como observación.")))</f>
        <v/>
      </c>
    </row>
    <row r="37" ht="48" customHeight="1">
      <c r="A37" s="10" t="inlineStr">
        <is>
          <t>4.3.1</t>
        </is>
      </c>
      <c r="B37" s="10" t="inlineStr">
        <is>
          <t>4. Línea de muestreo y acondicionamiento</t>
        </is>
      </c>
      <c r="C37" s="10" t="inlineStr">
        <is>
          <t>4.3 Acondicionamiento de la muestra</t>
        </is>
      </c>
      <c r="D37" s="11" t="inlineStr">
        <is>
          <t>Tanque de condensación neumático (Buffer Tank)</t>
        </is>
      </c>
      <c r="E37" s="11" t="inlineStr">
        <is>
          <t>Base del tanque de condensación interna, y si presenta fisuras o está pegada con adhesivos</t>
        </is>
      </c>
      <c r="F37" s="12" t="inlineStr">
        <is>
          <t>Con la cubierta retirada, inspeccionar el tanque de condensación y su base buscando fisuras o adhesivos de reparación previa. Aplicar agua jabonosa en sus uniones si se sospecha fuga.</t>
        </is>
      </c>
      <c r="G37" s="10" t="inlineStr">
        <is>
          <t>OK / No OK</t>
        </is>
      </c>
      <c r="H37" s="10" t="inlineStr"/>
      <c r="I37" s="11" t="inlineStr">
        <is>
          <t>El tanque debe estar hermético y estable, sin fugas neumáticas</t>
        </is>
      </c>
      <c r="J37" s="13" t="inlineStr">
        <is>
          <t>Bloqueante</t>
        </is>
      </c>
      <c r="K37" s="14" t="inlineStr">
        <is>
          <t>Base fisurada o agua acumulada por condensación en el shelter</t>
        </is>
      </c>
      <c r="L37" s="15" t="inlineStr">
        <is>
          <t>4.3.2 ; 10.3.1 ; 4.2.1</t>
        </is>
      </c>
      <c r="M37" s="14" t="inlineStr">
        <is>
          <t>Drenar el tanque, purgar con aire seco y corregir la oscilación térmica del shelter</t>
        </is>
      </c>
      <c r="N37" s="16" t="inlineStr">
        <is>
          <t>El tanque de condensación presenta fisuras o acumulación de agua, con riesgo de arrastre hacia el sistema de medición.</t>
        </is>
      </c>
      <c r="O37" s="10" t="n"/>
      <c r="P37" s="10" t="n"/>
      <c r="Q37" s="10" t="inlineStr">
        <is>
          <t>Sí</t>
        </is>
      </c>
      <c r="R37" s="10" t="inlineStr">
        <is>
          <t>Sí</t>
        </is>
      </c>
      <c r="S37" s="11" t="inlineStr">
        <is>
          <t>Baffa Tank (3012301739)</t>
        </is>
      </c>
      <c r="T37" s="11" t="inlineStr">
        <is>
          <t>MT_US00XLH0_APNA370_251218 / MT_RG4SR6AD</t>
        </is>
      </c>
      <c r="U37" s="17" t="inlineStr">
        <is>
          <t>Pendiente</t>
        </is>
      </c>
      <c r="V37" s="17" t="n"/>
      <c r="W37" s="10">
        <f>IF($G37&lt;&gt;"Numérico","",IF($V37="","Sin dato",IF(AND(OR(NOT(ISNUMBER($O37)),$V37&gt;=$O37),OR(NOT(ISNUMBER($P37)),$V37&lt;=$P37)),"Dentro de rango","Fuera de rango")))</f>
        <v/>
      </c>
      <c r="X37" s="17" t="n"/>
      <c r="Y37" s="18" t="n"/>
      <c r="Z37" s="16">
        <f>IF(OR($U37="",$U37="Conforme",$U37="No aplica",$U37="Pendiente"),"",$N37&amp;IF($W37="Fuera de rango"," Valor medido: "&amp;TEXT($V37,"0.####")&amp;IF($H37="",""," "&amp;$H37)&amp;IF(AND(ISNUMBER($O37),$V37&lt;$O37),", por debajo del límite inferior de "&amp;TEXT($O37,"0.####")&amp;IF($H37="",""," "&amp;$H37),"")&amp;IF(AND(ISNUMBER($P37),$V37&gt;$P37),", por encima del límite superior de "&amp;TEXT($P37,"0.####")&amp;IF($H37="",""," "&amp;$H37),"")&amp;".","")&amp;IF($Y37="",""," "&amp;$Y37&amp;IF(RIGHT($Y37,1)=".","","."))&amp;" Acción recomendada: "&amp;$M37&amp;IF(RIGHT($M37,1)=".","",".")&amp;IF($J37="Bloqueante"," El equipo no se libera hasta resolver este hallazgo.",IF($J37="Cobrable"," Se incluye en la cotización de repuestos y consumibles."," Se deja registrado como observación.")))</f>
        <v/>
      </c>
    </row>
    <row r="38" ht="48" customHeight="1">
      <c r="A38" s="10" t="inlineStr">
        <is>
          <t>4.3.2</t>
        </is>
      </c>
      <c r="B38" s="10" t="inlineStr">
        <is>
          <t>4. Línea de muestreo y acondicionamiento</t>
        </is>
      </c>
      <c r="C38" s="10" t="inlineStr">
        <is>
          <t>4.3 Acondicionamiento de la muestra</t>
        </is>
      </c>
      <c r="D38" s="11" t="inlineStr">
        <is>
          <t>Unidad deshumidificadora de membrana (PPD-1)</t>
        </is>
      </c>
      <c r="E38" s="11" t="inlineStr">
        <is>
          <t>Que el tubo deshumidificador de membrana Nafion esté en buen estado, sin fugas ni obturaciones</t>
        </is>
      </c>
      <c r="F38" s="12" t="inlineStr">
        <is>
          <t>Con la cubierta retirada, inspeccionar el tubo deshumidificador de membrana buscando fisuras, aplastamiento u obstrucción, y verificar el apriete de sus conexiones.</t>
        </is>
      </c>
      <c r="G38" s="10" t="inlineStr">
        <is>
          <t>OK / No OK</t>
        </is>
      </c>
      <c r="H38" s="10" t="inlineStr"/>
      <c r="I38" s="11" t="inlineStr">
        <is>
          <t>Debe garantizar el correcto secado del gas de muestra; reemplazar cuando sea necesario</t>
        </is>
      </c>
      <c r="J38" s="13" t="inlineStr">
        <is>
          <t>Cobrable</t>
        </is>
      </c>
      <c r="K38" s="14" t="inlineStr">
        <is>
          <t>Membrana Nafion saturada, obstruida, o con fuga</t>
        </is>
      </c>
      <c r="L38" s="15" t="inlineStr">
        <is>
          <t>4.3.1 ; 5.2.1</t>
        </is>
      </c>
      <c r="M38" s="14" t="inlineStr">
        <is>
          <t>Reemplazar la unidad PPD-1; sin secado, el agua llega al detector</t>
        </is>
      </c>
      <c r="N38" s="16" t="inlineStr">
        <is>
          <t>La unidad de secado de membrana se encuentra saturada u obstruida, por lo que el gas de muestra llega húmedo al detector.</t>
        </is>
      </c>
      <c r="O38" s="10" t="n"/>
      <c r="P38" s="10" t="n"/>
      <c r="Q38" s="10" t="inlineStr">
        <is>
          <t>Sí</t>
        </is>
      </c>
      <c r="R38" s="10" t="inlineStr">
        <is>
          <t>Sí</t>
        </is>
      </c>
      <c r="S38" s="11" t="inlineStr">
        <is>
          <t>PPD HRB-01 APNA-370 (3012305517)</t>
        </is>
      </c>
      <c r="T38" s="11" t="inlineStr">
        <is>
          <t>MNT_APNA-370 / MT_N4CAMPC1_APNA-370_260313</t>
        </is>
      </c>
      <c r="U38" s="17" t="inlineStr">
        <is>
          <t>Pendiente</t>
        </is>
      </c>
      <c r="V38" s="17" t="n"/>
      <c r="W38" s="10">
        <f>IF($G38&lt;&gt;"Numérico","",IF($V38="","Sin dato",IF(AND(OR(NOT(ISNUMBER($O38)),$V38&gt;=$O38),OR(NOT(ISNUMBER($P38)),$V38&lt;=$P38)),"Dentro de rango","Fuera de rango")))</f>
        <v/>
      </c>
      <c r="X38" s="17" t="n"/>
      <c r="Y38" s="18" t="n"/>
      <c r="Z38" s="16">
        <f>IF(OR($U38="",$U38="Conforme",$U38="No aplica",$U38="Pendiente"),"",$N38&amp;IF($W38="Fuera de rango"," Valor medido: "&amp;TEXT($V38,"0.####")&amp;IF($H38="",""," "&amp;$H38)&amp;IF(AND(ISNUMBER($O38),$V38&lt;$O38),", por debajo del límite inferior de "&amp;TEXT($O38,"0.####")&amp;IF($H38="",""," "&amp;$H38),"")&amp;IF(AND(ISNUMBER($P38),$V38&gt;$P38),", por encima del límite superior de "&amp;TEXT($P38,"0.####")&amp;IF($H38="",""," "&amp;$H38),"")&amp;".","")&amp;IF($Y38="",""," "&amp;$Y38&amp;IF(RIGHT($Y38,1)=".","","."))&amp;" Acción recomendada: "&amp;$M38&amp;IF(RIGHT($M38,1)=".","",".")&amp;IF($J38="Bloqueante"," El equipo no se libera hasta resolver este hallazgo.",IF($J38="Cobrable"," Se incluye en la cotización de repuestos y consumibles."," Se deja registrado como observación.")))</f>
        <v/>
      </c>
    </row>
    <row r="39" ht="48" customHeight="1">
      <c r="A39" s="10" t="inlineStr">
        <is>
          <t>5.1.1</t>
        </is>
      </c>
      <c r="B39" s="10" t="inlineStr">
        <is>
          <t>5. Sistema neumático</t>
        </is>
      </c>
      <c r="C39" s="10" t="inlineStr">
        <is>
          <t>5.1 Bomba de muestreo</t>
        </is>
      </c>
      <c r="D39" s="11" t="inlineStr">
        <is>
          <t>Bomba de muestreo neumática de doble cabezal (GD-6EH)</t>
        </is>
      </c>
      <c r="E39" s="11" t="inlineStr">
        <is>
          <t>Funcionamiento mecánico de la bomba y ausencia de sobrecalentamiento del chasis</t>
        </is>
      </c>
      <c r="F39" s="12" t="inlineStr">
        <is>
          <t>Con el equipo en marcha y la cubierta retirada, escuchar la bomba y apoyar la mano sobre su carcasa para detectar vibración anormal, golpeteo metálico o sobrecalentamiento.</t>
        </is>
      </c>
      <c r="G39" s="10" t="inlineStr">
        <is>
          <t>OK / No OK</t>
        </is>
      </c>
      <c r="H39" s="10" t="inlineStr"/>
      <c r="I39" s="11" t="inlineStr">
        <is>
          <t>Funcionamiento continuo y silencioso, sin ruidos metálicos ni exceso de temperatura; cambio cada 2 años</t>
        </is>
      </c>
      <c r="J39" s="13" t="inlineStr">
        <is>
          <t>Cobrable</t>
        </is>
      </c>
      <c r="K39" s="14" t="inlineStr">
        <is>
          <t>Rodamiento o motor desgastado, o sobrecalentamiento del chasis</t>
        </is>
      </c>
      <c r="L39" s="15" t="inlineStr">
        <is>
          <t>5.1.2 ; 5.5.4</t>
        </is>
      </c>
      <c r="M39" s="14" t="inlineStr">
        <is>
          <t>Discriminar por el tipo de ruido y reemplazar diafragmas o la unidad completa</t>
        </is>
      </c>
      <c r="N39" s="16" t="inlineStr">
        <is>
          <t>La bomba de muestreo presenta ruido, vibración anormal o sobrecalentamiento, señal de desgaste mecánico interno.</t>
        </is>
      </c>
      <c r="O39" s="10" t="n"/>
      <c r="P39" s="10" t="n"/>
      <c r="Q39" s="10" t="inlineStr">
        <is>
          <t>Sí</t>
        </is>
      </c>
      <c r="R39" s="10" t="inlineStr">
        <is>
          <t>Sí</t>
        </is>
      </c>
      <c r="S39" s="11" t="inlineStr">
        <is>
          <t>Pump GD-6EH-100 (100～120V) APMA / APNA / APSA / APHA (3014059459) · Pump Unit (GD-6EH-220/230) (3014059491)</t>
        </is>
      </c>
      <c r="T39" s="11" t="inlineStr">
        <is>
          <t>MNT_APNA-370 / MT_RFL6UD28</t>
        </is>
      </c>
      <c r="U39" s="17" t="inlineStr">
        <is>
          <t>Pendiente</t>
        </is>
      </c>
      <c r="V39" s="17" t="n"/>
      <c r="W39" s="10">
        <f>IF($G39&lt;&gt;"Numérico","",IF($V39="","Sin dato",IF(AND(OR(NOT(ISNUMBER($O39)),$V39&gt;=$O39),OR(NOT(ISNUMBER($P39)),$V39&lt;=$P39)),"Dentro de rango","Fuera de rango")))</f>
        <v/>
      </c>
      <c r="X39" s="17" t="n"/>
      <c r="Y39" s="18" t="n"/>
      <c r="Z39" s="16">
        <f>IF(OR($U39="",$U39="Conforme",$U39="No aplica",$U39="Pendiente"),"",$N39&amp;IF($W39="Fuera de rango"," Valor medido: "&amp;TEXT($V39,"0.####")&amp;IF($H39="",""," "&amp;$H39)&amp;IF(AND(ISNUMBER($O39),$V39&lt;$O39),", por debajo del límite inferior de "&amp;TEXT($O39,"0.####")&amp;IF($H39="",""," "&amp;$H39),"")&amp;IF(AND(ISNUMBER($P39),$V39&gt;$P39),", por encima del límite superior de "&amp;TEXT($P39,"0.####")&amp;IF($H39="",""," "&amp;$H39),"")&amp;".","")&amp;IF($Y39="",""," "&amp;$Y39&amp;IF(RIGHT($Y39,1)=".","","."))&amp;" Acción recomendada: "&amp;$M39&amp;IF(RIGHT($M39,1)=".","",".")&amp;IF($J39="Bloqueante"," El equipo no se libera hasta resolver este hallazgo.",IF($J39="Cobrable"," Se incluye en la cotización de repuestos y consumibles."," Se deja registrado como observación.")))</f>
        <v/>
      </c>
    </row>
    <row r="40" ht="48" customHeight="1">
      <c r="A40" s="10" t="inlineStr">
        <is>
          <t>5.1.2</t>
        </is>
      </c>
      <c r="B40" s="10" t="inlineStr">
        <is>
          <t>5. Sistema neumático</t>
        </is>
      </c>
      <c r="C40" s="10" t="inlineStr">
        <is>
          <t>5.1 Bomba de muestreo</t>
        </is>
      </c>
      <c r="D40" s="11" t="inlineStr">
        <is>
          <t>Ensamblaje del diafragma de la bomba (P-1-D)</t>
        </is>
      </c>
      <c r="E40" s="11" t="inlineStr">
        <is>
          <t>Fisuras o rupturas del diafragma de EPDM, retirando las tapas del cabezal</t>
        </is>
      </c>
      <c r="F40" s="12" t="inlineStr">
        <is>
          <t>Apagar el equipo, retirar las tapas del cabezal de la bomba y extraer los diafragmas. Examinarlos contra la luz buscando fisuras, perforaciones o deformación permanente.</t>
        </is>
      </c>
      <c r="G40" s="10" t="inlineStr">
        <is>
          <t>Sí/No</t>
        </is>
      </c>
      <c r="H40" s="10" t="inlineStr"/>
      <c r="I40" s="11" t="inlineStr">
        <is>
          <t>Diafragmas sin fisuras, perforaciones ni deformaciones mecánicas; reemplazar cada 1 a 2 años</t>
        </is>
      </c>
      <c r="J40" s="13" t="inlineStr">
        <is>
          <t>Cobrable</t>
        </is>
      </c>
      <c r="K40" s="14" t="inlineStr">
        <is>
          <t>Fatiga del EPDM por horas de servicio, o arrastre de condensado</t>
        </is>
      </c>
      <c r="L40" s="15" t="inlineStr">
        <is>
          <t>5.1.3 ; 4.3.1</t>
        </is>
      </c>
      <c r="M40" s="14" t="inlineStr">
        <is>
          <t>Reemplazar el juego de diafragmas y corregir el origen del condensado</t>
        </is>
      </c>
      <c r="N40" s="16" t="inlineStr">
        <is>
          <t>Los diafragmas de la bomba de muestreo presentan fisuras, perforaciones o deformación permanente.</t>
        </is>
      </c>
      <c r="O40" s="10" t="n"/>
      <c r="P40" s="10" t="n"/>
      <c r="Q40" s="10" t="inlineStr">
        <is>
          <t>Sí</t>
        </is>
      </c>
      <c r="R40" s="10" t="inlineStr">
        <is>
          <t>No</t>
        </is>
      </c>
      <c r="S40" s="11" t="inlineStr">
        <is>
          <t>Diaphragm Assy GS, GD series EPDM - APMA / APOA / APHA (3200044033) · Diaphragm Assy GS, Gdseries EPDM (3200602390)</t>
        </is>
      </c>
      <c r="T40" s="11" t="inlineStr">
        <is>
          <t>MNT_APNA-370 / MT_A860VPB4_APNA370_20113004</t>
        </is>
      </c>
      <c r="U40" s="17" t="inlineStr">
        <is>
          <t>Pendiente</t>
        </is>
      </c>
      <c r="V40" s="17" t="n"/>
      <c r="W40" s="10">
        <f>IF($G40&lt;&gt;"Numérico","",IF($V40="","Sin dato",IF(AND(OR(NOT(ISNUMBER($O40)),$V40&gt;=$O40),OR(NOT(ISNUMBER($P40)),$V40&lt;=$P40)),"Dentro de rango","Fuera de rango")))</f>
        <v/>
      </c>
      <c r="X40" s="17" t="n"/>
      <c r="Y40" s="18" t="n"/>
      <c r="Z40" s="16">
        <f>IF(OR($U40="",$U40="Conforme",$U40="No aplica",$U40="Pendiente"),"",$N40&amp;IF($W40="Fuera de rango"," Valor medido: "&amp;TEXT($V40,"0.####")&amp;IF($H40="",""," "&amp;$H40)&amp;IF(AND(ISNUMBER($O40),$V40&lt;$O40),", por debajo del límite inferior de "&amp;TEXT($O40,"0.####")&amp;IF($H40="",""," "&amp;$H40),"")&amp;IF(AND(ISNUMBER($P40),$V40&gt;$P40),", por encima del límite superior de "&amp;TEXT($P40,"0.####")&amp;IF($H40="",""," "&amp;$H40),"")&amp;".","")&amp;IF($Y40="",""," "&amp;$Y40&amp;IF(RIGHT($Y40,1)=".","","."))&amp;" Acción recomendada: "&amp;$M40&amp;IF(RIGHT($M40,1)=".","",".")&amp;IF($J40="Bloqueante"," El equipo no se libera hasta resolver este hallazgo.",IF($J40="Cobrable"," Se incluye en la cotización de repuestos y consumibles."," Se deja registrado como observación.")))</f>
        <v/>
      </c>
    </row>
    <row r="41" ht="48" customHeight="1">
      <c r="A41" s="10" t="inlineStr">
        <is>
          <t>5.1.3</t>
        </is>
      </c>
      <c r="B41" s="10" t="inlineStr">
        <is>
          <t>5. Sistema neumático</t>
        </is>
      </c>
      <c r="C41" s="10" t="inlineStr">
        <is>
          <t>5.1 Bomba de muestreo</t>
        </is>
      </c>
      <c r="D41" s="11" t="inlineStr">
        <is>
          <t>Empaque tipo válvula (Flapper valve)</t>
        </is>
      </c>
      <c r="E41" s="11" t="inlineStr">
        <is>
          <t>Estado y desgaste del empaque elástico tipo válvula del cabezal de la bomba</t>
        </is>
      </c>
      <c r="F41" s="12" t="inlineStr">
        <is>
          <t>Con los cabezales desmontados, retirar los empaques tipo válvula, limpiarlos y verificar que asienten planos sobre su sede. Lubricar o rotar según indique el manual.</t>
        </is>
      </c>
      <c r="G41" s="10" t="inlineStr">
        <is>
          <t>OK / No OK</t>
        </is>
      </c>
      <c r="H41" s="10" t="inlineStr"/>
      <c r="I41" s="11" t="inlineStr">
        <is>
          <t>Limpiar, lubricar y de ser necesario rotar o cambiar el empaque, para corregir fluctuaciones de caudal</t>
        </is>
      </c>
      <c r="J41" s="13" t="inlineStr">
        <is>
          <t>Cobrable</t>
        </is>
      </c>
      <c r="K41" s="14" t="inlineStr">
        <is>
          <t>Flapper deformado o endurecido: caudal fluctuante</t>
        </is>
      </c>
      <c r="L41" s="15" t="inlineStr">
        <is>
          <t>5.1.2 ; 5.2.1</t>
        </is>
      </c>
      <c r="M41" s="14" t="inlineStr">
        <is>
          <t>Limpiar, lubricar o reemplazar las válvulas junto con los diafragmas</t>
        </is>
      </c>
      <c r="N41" s="16" t="inlineStr">
        <is>
          <t>Las válvulas del cabezal de la bomba presentan desgaste que produce fluctuación del caudal.</t>
        </is>
      </c>
      <c r="O41" s="10" t="n"/>
      <c r="P41" s="10" t="n"/>
      <c r="Q41" s="10" t="inlineStr">
        <is>
          <t>Sí</t>
        </is>
      </c>
      <c r="R41" s="10" t="inlineStr">
        <is>
          <t>Sí</t>
        </is>
      </c>
      <c r="S41" s="11" t="inlineStr">
        <is>
          <t>Empaque tipo válvula 3012164657 — sin artículo en el catálogo</t>
        </is>
      </c>
      <c r="T41" s="11" t="inlineStr">
        <is>
          <t>MT_1TLF2RUY_APNA-370_230620 / MT_N4CAMPC1</t>
        </is>
      </c>
      <c r="U41" s="17" t="inlineStr">
        <is>
          <t>Pendiente</t>
        </is>
      </c>
      <c r="V41" s="17" t="n"/>
      <c r="W41" s="10">
        <f>IF($G41&lt;&gt;"Numérico","",IF($V41="","Sin dato",IF(AND(OR(NOT(ISNUMBER($O41)),$V41&gt;=$O41),OR(NOT(ISNUMBER($P41)),$V41&lt;=$P41)),"Dentro de rango","Fuera de rango")))</f>
        <v/>
      </c>
      <c r="X41" s="17" t="n"/>
      <c r="Y41" s="18" t="n"/>
      <c r="Z41" s="16">
        <f>IF(OR($U41="",$U41="Conforme",$U41="No aplica",$U41="Pendiente"),"",$N41&amp;IF($W41="Fuera de rango"," Valor medido: "&amp;TEXT($V41,"0.####")&amp;IF($H41="",""," "&amp;$H41)&amp;IF(AND(ISNUMBER($O41),$V41&lt;$O41),", por debajo del límite inferior de "&amp;TEXT($O41,"0.####")&amp;IF($H41="",""," "&amp;$H41),"")&amp;IF(AND(ISNUMBER($P41),$V41&gt;$P41),", por encima del límite superior de "&amp;TEXT($P41,"0.####")&amp;IF($H41="",""," "&amp;$H41),"")&amp;".","")&amp;IF($Y41="",""," "&amp;$Y41&amp;IF(RIGHT($Y41,1)=".","","."))&amp;" Acción recomendada: "&amp;$M41&amp;IF(RIGHT($M41,1)=".","",".")&amp;IF($J41="Bloqueante"," El equipo no se libera hasta resolver este hallazgo.",IF($J41="Cobrable"," Se incluye en la cotización de repuestos y consumibles."," Se deja registrado como observación.")))</f>
        <v/>
      </c>
    </row>
    <row r="42" ht="48" customHeight="1">
      <c r="A42" s="10" t="inlineStr">
        <is>
          <t>5.2.1</t>
        </is>
      </c>
      <c r="B42" s="10" t="inlineStr">
        <is>
          <t>5. Sistema neumático</t>
        </is>
      </c>
      <c r="C42" s="10" t="inlineStr">
        <is>
          <t>5.2 Caudal de muestra</t>
        </is>
      </c>
      <c r="D42" s="11" t="inlineStr">
        <is>
          <t>Valor medido del flujo de muestra (Sample Flow)</t>
        </is>
      </c>
      <c r="E42" s="11" t="inlineStr">
        <is>
          <t>Valor del flujo de muestra en MENU / MAINTENANCE / ANALOG INPUT</t>
        </is>
      </c>
      <c r="F42" s="12" t="inlineStr">
        <is>
          <t>Ir a MENU / MAINTENANCE / ANALOG INPUT y leer el valor de flujo de muestra. Anotarlo con el equipo en operación normal y la línea conectada.</t>
        </is>
      </c>
      <c r="G42" s="10" t="inlineStr">
        <is>
          <t>Numérico</t>
        </is>
      </c>
      <c r="H42" s="10" t="inlineStr">
        <is>
          <t>L/min</t>
        </is>
      </c>
      <c r="I42" s="11" t="inlineStr">
        <is>
          <t>El caudal medido debe estar dentro del rango estándar de operación</t>
        </is>
      </c>
      <c r="J42" s="13" t="inlineStr">
        <is>
          <t>Bloqueante</t>
        </is>
      </c>
      <c r="K42" s="14" t="inlineStr">
        <is>
          <t>Filtro colmatado, orificio crítico obstruido, o diafragma desgastado</t>
        </is>
      </c>
      <c r="L42" s="15" t="inlineStr">
        <is>
          <t>4.1.1 ; 5.3.1 ; 5.1.2 ; 5.2.3</t>
        </is>
      </c>
      <c r="M42" s="14" t="inlineStr">
        <is>
          <t>Medir el caudal real con flujómetro patrón y recorrer la rama en ese orden</t>
        </is>
      </c>
      <c r="N42" s="16" t="inlineStr">
        <is>
          <t>El caudal de muestra se encuentra fuera del rango de operación especificado por el fabricante.</t>
        </is>
      </c>
      <c r="O42" s="10" t="n">
        <v>0.8</v>
      </c>
      <c r="P42" s="10" t="n">
        <v>1.4</v>
      </c>
      <c r="Q42" s="10" t="inlineStr">
        <is>
          <t>Sí</t>
        </is>
      </c>
      <c r="R42" s="10" t="inlineStr">
        <is>
          <t>No</t>
        </is>
      </c>
      <c r="S42" s="11" t="inlineStr"/>
      <c r="T42" s="11" t="inlineStr">
        <is>
          <t>OP_APNA-370 / P_ST-008-MAN</t>
        </is>
      </c>
      <c r="U42" s="17" t="inlineStr">
        <is>
          <t>Pendiente</t>
        </is>
      </c>
      <c r="V42" s="17" t="n"/>
      <c r="W42" s="10">
        <f>IF($G42&lt;&gt;"Numérico","",IF($V42="","Sin dato",IF(AND(OR(NOT(ISNUMBER($O42)),$V42&gt;=$O42),OR(NOT(ISNUMBER($P42)),$V42&lt;=$P42)),"Dentro de rango","Fuera de rango")))</f>
        <v/>
      </c>
      <c r="X42" s="17" t="n"/>
      <c r="Y42" s="18" t="n"/>
      <c r="Z42" s="16">
        <f>IF(OR($U42="",$U42="Conforme",$U42="No aplica",$U42="Pendiente"),"",$N42&amp;IF($W42="Fuera de rango"," Valor medido: "&amp;TEXT($V42,"0.####")&amp;IF($H42="",""," "&amp;$H42)&amp;IF(AND(ISNUMBER($O42),$V42&lt;$O42),", por debajo del límite inferior de "&amp;TEXT($O42,"0.####")&amp;IF($H42="",""," "&amp;$H42),"")&amp;IF(AND(ISNUMBER($P42),$V42&gt;$P42),", por encima del límite superior de "&amp;TEXT($P42,"0.####")&amp;IF($H42="",""," "&amp;$H42),"")&amp;".","")&amp;IF($Y42="",""," "&amp;$Y42&amp;IF(RIGHT($Y42,1)=".","","."))&amp;" Acción recomendada: "&amp;$M42&amp;IF(RIGHT($M42,1)=".","",".")&amp;IF($J42="Bloqueante"," El equipo no se libera hasta resolver este hallazgo.",IF($J42="Cobrable"," Se incluye en la cotización de repuestos y consumibles."," Se deja registrado como observación.")))</f>
        <v/>
      </c>
    </row>
    <row r="43" ht="48" customHeight="1">
      <c r="A43" s="10" t="inlineStr">
        <is>
          <t>5.2.2</t>
        </is>
      </c>
      <c r="B43" s="10" t="inlineStr">
        <is>
          <t>5. Sistema neumático</t>
        </is>
      </c>
      <c r="C43" s="10" t="inlineStr">
        <is>
          <t>5.2 Caudal de muestra</t>
        </is>
      </c>
      <c r="D43" s="11" t="inlineStr">
        <is>
          <t>Límites de alarma de flujo de muestra (FLO1)</t>
        </is>
      </c>
      <c r="E43" s="11" t="inlineStr">
        <is>
          <t>Rango configurado para el disparo de la alarma opcional FLO1 de flujo de muestra</t>
        </is>
      </c>
      <c r="F43" s="12" t="inlineStr">
        <is>
          <t>Consultar en el menú de servicio el rango configurado para la alarma FLO1 y contrastarlo con el flujo real leído en ANALOG INPUT.</t>
        </is>
      </c>
      <c r="G43" s="10" t="inlineStr">
        <is>
          <t>Numérico</t>
        </is>
      </c>
      <c r="H43" s="10" t="inlineStr">
        <is>
          <t>L/min</t>
        </is>
      </c>
      <c r="I43" s="11" t="inlineStr">
        <is>
          <t>El flujo de muestra no debe desviarse fuera del rango de alarma absoluto permitido</t>
        </is>
      </c>
      <c r="J43" s="13" t="inlineStr">
        <is>
          <t>Alerta</t>
        </is>
      </c>
      <c r="K43" s="14" t="inlineStr">
        <is>
          <t>Rango de alarma distinto al criterio del manual de operación</t>
        </is>
      </c>
      <c r="L43" s="15" t="inlineStr">
        <is>
          <t>5.2.1</t>
        </is>
      </c>
      <c r="M43" s="14" t="inlineStr">
        <is>
          <t>Definir con el responsable técnico cuál rango manda y documentarlo</t>
        </is>
      </c>
      <c r="N43" s="16" t="inlineStr">
        <is>
          <t>El rango configurado para la alarma de caudal no corresponde al criterio de aceptación definido para la estación.</t>
        </is>
      </c>
      <c r="O43" s="10" t="n">
        <v>0.6</v>
      </c>
      <c r="P43" s="10" t="n">
        <v>1.5</v>
      </c>
      <c r="Q43" s="10" t="inlineStr">
        <is>
          <t>Sí</t>
        </is>
      </c>
      <c r="R43" s="10" t="inlineStr">
        <is>
          <t>No</t>
        </is>
      </c>
      <c r="S43" s="11" t="inlineStr"/>
      <c r="T43" s="11" t="inlineStr">
        <is>
          <t>GZ0000117746B SM E APXX-370 (Service Manual)</t>
        </is>
      </c>
      <c r="U43" s="17" t="inlineStr">
        <is>
          <t>Pendiente</t>
        </is>
      </c>
      <c r="V43" s="17" t="n"/>
      <c r="W43" s="10">
        <f>IF($G43&lt;&gt;"Numérico","",IF($V43="","Sin dato",IF(AND(OR(NOT(ISNUMBER($O43)),$V43&gt;=$O43),OR(NOT(ISNUMBER($P43)),$V43&lt;=$P43)),"Dentro de rango","Fuera de rango")))</f>
        <v/>
      </c>
      <c r="X43" s="17" t="n"/>
      <c r="Y43" s="18" t="n"/>
      <c r="Z43" s="16">
        <f>IF(OR($U43="",$U43="Conforme",$U43="No aplica",$U43="Pendiente"),"",$N43&amp;IF($W43="Fuera de rango"," Valor medido: "&amp;TEXT($V43,"0.####")&amp;IF($H43="",""," "&amp;$H43)&amp;IF(AND(ISNUMBER($O43),$V43&lt;$O43),", por debajo del límite inferior de "&amp;TEXT($O43,"0.####")&amp;IF($H43="",""," "&amp;$H43),"")&amp;IF(AND(ISNUMBER($P43),$V43&gt;$P43),", por encima del límite superior de "&amp;TEXT($P43,"0.####")&amp;IF($H43="",""," "&amp;$H43),"")&amp;".","")&amp;IF($Y43="",""," "&amp;$Y43&amp;IF(RIGHT($Y43,1)=".","","."))&amp;" Acción recomendada: "&amp;$M43&amp;IF(RIGHT($M43,1)=".","",".")&amp;IF($J43="Bloqueante"," El equipo no se libera hasta resolver este hallazgo.",IF($J43="Cobrable"," Se incluye en la cotización de repuestos y consumibles."," Se deja registrado como observación.")))</f>
        <v/>
      </c>
    </row>
    <row r="44" ht="48" customHeight="1">
      <c r="A44" s="10" t="inlineStr">
        <is>
          <t>5.2.3</t>
        </is>
      </c>
      <c r="B44" s="10" t="inlineStr">
        <is>
          <t>5. Sistema neumático</t>
        </is>
      </c>
      <c r="C44" s="10" t="inlineStr">
        <is>
          <t>5.2 Caudal de muestra</t>
        </is>
      </c>
      <c r="D44" s="11" t="inlineStr">
        <is>
          <t>Caudal objetivo para ajuste manual con flujómetro</t>
        </is>
      </c>
      <c r="E44" s="11" t="inlineStr">
        <is>
          <t>Caudal físico en el puerto trasero, medido con flujómetro externo durante el mantenimiento</t>
        </is>
      </c>
      <c r="F44" s="12" t="inlineStr">
        <is>
          <t>Desconectar la línea del puerto trasero, conectar un flujómetro de burbuja y medir el caudal real de la línea de muestra y de la línea de NO. Ajustar en el regulador R-2 si es necesario.</t>
        </is>
      </c>
      <c r="G44" s="10" t="inlineStr">
        <is>
          <t>Numérico</t>
        </is>
      </c>
      <c r="H44" s="10" t="inlineStr">
        <is>
          <t>mL/min</t>
        </is>
      </c>
      <c r="I44" s="11" t="inlineStr">
        <is>
          <t>El caudal de la línea de muestra y de la línea de NO se ajusta mediante el regulador R-2</t>
        </is>
      </c>
      <c r="J44" s="13" t="inlineStr">
        <is>
          <t>Bloqueante</t>
        </is>
      </c>
      <c r="K44" s="14" t="inlineStr">
        <is>
          <t>Caudal real fuera de 800 a 900 mL/min tras el mantenimiento</t>
        </is>
      </c>
      <c r="L44" s="15" t="inlineStr">
        <is>
          <t>5.5.2 ; 5.3.1</t>
        </is>
      </c>
      <c r="M44" s="14" t="inlineStr">
        <is>
          <t>Ajustar el caudal en el regulador R-2 y volver a medir con flujómetro</t>
        </is>
      </c>
      <c r="N44" s="16" t="inlineStr">
        <is>
          <t>El caudal real de la línea de muestra, medido con instrumento patrón, está fuera del valor nominal especificado.</t>
        </is>
      </c>
      <c r="O44" s="10" t="n">
        <v>800</v>
      </c>
      <c r="P44" s="10" t="n">
        <v>900</v>
      </c>
      <c r="Q44" s="10" t="inlineStr">
        <is>
          <t>Sí</t>
        </is>
      </c>
      <c r="R44" s="10" t="inlineStr">
        <is>
          <t>No</t>
        </is>
      </c>
      <c r="S44" s="11" t="inlineStr"/>
      <c r="T44" s="11" t="inlineStr">
        <is>
          <t>GZ0000117746B SM E APXX-370 (Service Manual)</t>
        </is>
      </c>
      <c r="U44" s="17" t="inlineStr">
        <is>
          <t>Pendiente</t>
        </is>
      </c>
      <c r="V44" s="17" t="n"/>
      <c r="W44" s="10">
        <f>IF($G44&lt;&gt;"Numérico","",IF($V44="","Sin dato",IF(AND(OR(NOT(ISNUMBER($O44)),$V44&gt;=$O44),OR(NOT(ISNUMBER($P44)),$V44&lt;=$P44)),"Dentro de rango","Fuera de rango")))</f>
        <v/>
      </c>
      <c r="X44" s="17" t="n"/>
      <c r="Y44" s="18" t="n"/>
      <c r="Z44" s="16">
        <f>IF(OR($U44="",$U44="Conforme",$U44="No aplica",$U44="Pendiente"),"",$N44&amp;IF($W44="Fuera de rango"," Valor medido: "&amp;TEXT($V44,"0.####")&amp;IF($H44="",""," "&amp;$H44)&amp;IF(AND(ISNUMBER($O44),$V44&lt;$O44),", por debajo del límite inferior de "&amp;TEXT($O44,"0.####")&amp;IF($H44="",""," "&amp;$H44),"")&amp;IF(AND(ISNUMBER($P44),$V44&gt;$P44),", por encima del límite superior de "&amp;TEXT($P44,"0.####")&amp;IF($H44="",""," "&amp;$H44),"")&amp;".","")&amp;IF($Y44="",""," "&amp;$Y44&amp;IF(RIGHT($Y44,1)=".","","."))&amp;" Acción recomendada: "&amp;$M44&amp;IF(RIGHT($M44,1)=".","",".")&amp;IF($J44="Bloqueante"," El equipo no se libera hasta resolver este hallazgo.",IF($J44="Cobrable"," Se incluye en la cotización de repuestos y consumibles."," Se deja registrado como observación.")))</f>
        <v/>
      </c>
    </row>
    <row r="45" ht="48" customHeight="1">
      <c r="A45" s="10" t="inlineStr">
        <is>
          <t>5.3.1</t>
        </is>
      </c>
      <c r="B45" s="10" t="inlineStr">
        <is>
          <t>5. Sistema neumático</t>
        </is>
      </c>
      <c r="C45" s="10" t="inlineStr">
        <is>
          <t>5.3 Restricción de flujo</t>
        </is>
      </c>
      <c r="D45" s="11" t="inlineStr">
        <is>
          <t>Orificios de restricción de flujo (Critical Orifice)</t>
        </is>
      </c>
      <c r="E45" s="11" t="inlineStr">
        <is>
          <t>Limpieza y ausencia de obstrucciones de polvo en los orificios críticos de teflón</t>
        </is>
      </c>
      <c r="F45" s="12" t="inlineStr">
        <is>
          <t>Con el equipo apagado, desmontar los orificios críticos y examinarlos contra la luz con lupa, verificando que el paso esté libre. Limpiarlos solo con aire seco filtrado.</t>
        </is>
      </c>
      <c r="G45" s="10" t="inlineStr">
        <is>
          <t>OK / No OK</t>
        </is>
      </c>
      <c r="H45" s="10" t="inlineStr"/>
      <c r="I45" s="11" t="inlineStr">
        <is>
          <t>Los orificios capilares de flujo deben estar libres de obstrucciones y polución</t>
        </is>
      </c>
      <c r="J45" s="13" t="inlineStr">
        <is>
          <t>Bloqueante</t>
        </is>
      </c>
      <c r="K45" s="14" t="inlineStr">
        <is>
          <t>Orificio obstruido por polvo que entró sin filtro</t>
        </is>
      </c>
      <c r="L45" s="15" t="inlineStr">
        <is>
          <t>4.1.1 ; 5.2.1</t>
        </is>
      </c>
      <c r="M45" s="14" t="inlineStr">
        <is>
          <t>Limpiar con aire seco filtrado; si no se recupera, reemplazar el orificio</t>
        </is>
      </c>
      <c r="N45" s="16" t="inlineStr">
        <is>
          <t>Los orificios de restricción de flujo se encuentran obstruidos, lo que impide sostener el caudal nominal de muestra.</t>
        </is>
      </c>
      <c r="O45" s="10" t="n"/>
      <c r="P45" s="10" t="n"/>
      <c r="Q45" s="10" t="inlineStr">
        <is>
          <t>Sí</t>
        </is>
      </c>
      <c r="R45" s="10" t="inlineStr">
        <is>
          <t>Sí</t>
        </is>
      </c>
      <c r="S45" s="11" t="inlineStr">
        <is>
          <t>Sin artículo en el catálogo (orificio crítico del APNA) — PENDIENTE DE CREAR EN ZOHO</t>
        </is>
      </c>
      <c r="T45" s="11" t="inlineStr">
        <is>
          <t>MT_L2561A1S_APNA-370_230705_MTTO</t>
        </is>
      </c>
      <c r="U45" s="17" t="inlineStr">
        <is>
          <t>Pendiente</t>
        </is>
      </c>
      <c r="V45" s="17" t="n"/>
      <c r="W45" s="10">
        <f>IF($G45&lt;&gt;"Numérico","",IF($V45="","Sin dato",IF(AND(OR(NOT(ISNUMBER($O45)),$V45&gt;=$O45),OR(NOT(ISNUMBER($P45)),$V45&lt;=$P45)),"Dentro de rango","Fuera de rango")))</f>
        <v/>
      </c>
      <c r="X45" s="17" t="n"/>
      <c r="Y45" s="18" t="n"/>
      <c r="Z45" s="16">
        <f>IF(OR($U45="",$U45="Conforme",$U45="No aplica",$U45="Pendiente"),"",$N45&amp;IF($W45="Fuera de rango"," Valor medido: "&amp;TEXT($V45,"0.####")&amp;IF($H45="",""," "&amp;$H45)&amp;IF(AND(ISNUMBER($O45),$V45&lt;$O45),", por debajo del límite inferior de "&amp;TEXT($O45,"0.####")&amp;IF($H45="",""," "&amp;$H45),"")&amp;IF(AND(ISNUMBER($P45),$V45&gt;$P45),", por encima del límite superior de "&amp;TEXT($P45,"0.####")&amp;IF($H45="",""," "&amp;$H45),"")&amp;".","")&amp;IF($Y45="",""," "&amp;$Y45&amp;IF(RIGHT($Y45,1)=".","","."))&amp;" Acción recomendada: "&amp;$M45&amp;IF(RIGHT($M45,1)=".","",".")&amp;IF($J45="Bloqueante"," El equipo no se libera hasta resolver este hallazgo.",IF($J45="Cobrable"," Se incluye en la cotización de repuestos y consumibles."," Se deja registrado como observación.")))</f>
        <v/>
      </c>
    </row>
    <row r="46" ht="48" customHeight="1">
      <c r="A46" s="10" t="inlineStr">
        <is>
          <t>5.4.1</t>
        </is>
      </c>
      <c r="B46" s="10" t="inlineStr">
        <is>
          <t>5. Sistema neumático</t>
        </is>
      </c>
      <c r="C46" s="10" t="inlineStr">
        <is>
          <t>5.4 Válvulas solenoides</t>
        </is>
      </c>
      <c r="D46" s="11" t="inlineStr">
        <is>
          <t>Estado mecánico de las electroválvulas (SV-2, SV-3, SV-11)</t>
        </is>
      </c>
      <c r="E46" s="11" t="inlineStr">
        <is>
          <t>Alternancia física y sello neumático de las 3 electroválvulas principales del detector</t>
        </is>
      </c>
      <c r="F46" s="12" t="inlineStr">
        <is>
          <t>Con el equipo en operación, conmutar entre modos y confirmar audiblemente la actuación de SV-2, SV-3 y SV-11. Verificar el sello aplicando agua jabonosa en sus uniones.</t>
        </is>
      </c>
      <c r="G46" s="10" t="inlineStr">
        <is>
          <t>OK / No OK</t>
        </is>
      </c>
      <c r="H46" s="10" t="inlineStr"/>
      <c r="I46" s="11" t="inlineStr">
        <is>
          <t>Deben conmutar correctamente, sin atascos, con sello hermético y manteniendo la presión adecuada</t>
        </is>
      </c>
      <c r="J46" s="13" t="inlineStr">
        <is>
          <t>Bloqueante</t>
        </is>
      </c>
      <c r="K46" s="14" t="inlineStr">
        <is>
          <t>Bobina quemada, vástago atascado, o fuga interna</t>
        </is>
      </c>
      <c r="L46" s="15" t="inlineStr">
        <is>
          <t>9.3.1 ; 3.1.1</t>
        </is>
      </c>
      <c r="M46" s="14" t="inlineStr">
        <is>
          <t>Reemplazar la electroválvula afectada y verificar el sello con agua jabonosa</t>
        </is>
      </c>
      <c r="N46" s="16" t="inlineStr">
        <is>
          <t>Alguna de las electroválvulas del bloque de medición no conmuta correctamente o presenta fuga interna.</t>
        </is>
      </c>
      <c r="O46" s="10" t="n"/>
      <c r="P46" s="10" t="n"/>
      <c r="Q46" s="10" t="inlineStr">
        <is>
          <t>Sí</t>
        </is>
      </c>
      <c r="R46" s="10" t="inlineStr">
        <is>
          <t>Sí</t>
        </is>
      </c>
      <c r="S46" s="11" t="inlineStr">
        <is>
          <t>SV Unit WTA-2K-MFF-1 APSA / APNA / APHA (3014035610)</t>
        </is>
      </c>
      <c r="T46" s="11" t="inlineStr">
        <is>
          <t>MT_US00XLH0_APNA370_251218 / MT_REBXU06B</t>
        </is>
      </c>
      <c r="U46" s="17" t="inlineStr">
        <is>
          <t>Pendiente</t>
        </is>
      </c>
      <c r="V46" s="17" t="n"/>
      <c r="W46" s="10">
        <f>IF($G46&lt;&gt;"Numérico","",IF($V46="","Sin dato",IF(AND(OR(NOT(ISNUMBER($O46)),$V46&gt;=$O46),OR(NOT(ISNUMBER($P46)),$V46&lt;=$P46)),"Dentro de rango","Fuera de rango")))</f>
        <v/>
      </c>
      <c r="X46" s="17" t="n"/>
      <c r="Y46" s="18" t="n"/>
      <c r="Z46" s="16">
        <f>IF(OR($U46="",$U46="Conforme",$U46="No aplica",$U46="Pendiente"),"",$N46&amp;IF($W46="Fuera de rango"," Valor medido: "&amp;TEXT($V46,"0.####")&amp;IF($H46="",""," "&amp;$H46)&amp;IF(AND(ISNUMBER($O46),$V46&lt;$O46),", por debajo del límite inferior de "&amp;TEXT($O46,"0.####")&amp;IF($H46="",""," "&amp;$H46),"")&amp;IF(AND(ISNUMBER($P46),$V46&gt;$P46),", por encima del límite superior de "&amp;TEXT($P46,"0.####")&amp;IF($H46="",""," "&amp;$H46),"")&amp;".","")&amp;IF($Y46="",""," "&amp;$Y46&amp;IF(RIGHT($Y46,1)=".","","."))&amp;" Acción recomendada: "&amp;$M46&amp;IF(RIGHT($M46,1)=".","",".")&amp;IF($J46="Bloqueante"," El equipo no se libera hasta resolver este hallazgo.",IF($J46="Cobrable"," Se incluye en la cotización de repuestos y consumibles."," Se deja registrado como observación.")))</f>
        <v/>
      </c>
    </row>
    <row r="47" ht="48" customHeight="1">
      <c r="A47" s="10" t="inlineStr">
        <is>
          <t>5.5.1</t>
        </is>
      </c>
      <c r="B47" s="10" t="inlineStr">
        <is>
          <t>5. Sistema neumático</t>
        </is>
      </c>
      <c r="C47" s="10" t="inlineStr">
        <is>
          <t>5.5 Reguladores de presión</t>
        </is>
      </c>
      <c r="D47" s="11" t="inlineStr">
        <is>
          <t>Regulador de presión R-1</t>
        </is>
      </c>
      <c r="E47" s="11" t="inlineStr">
        <is>
          <t>Ajuste de la presión en el regulador R-1, retirando el tapón y conectando manómetro</t>
        </is>
      </c>
      <c r="F47" s="12" t="inlineStr">
        <is>
          <t>Retirar el tapón del punto de chequeo del regulador R-1, conectar un manómetro y leer la presión con el equipo en operación. Ajustar el regulador si está fuera de rango.</t>
        </is>
      </c>
      <c r="G47" s="10" t="inlineStr">
        <is>
          <t>Numérico</t>
        </is>
      </c>
      <c r="H47" s="10" t="inlineStr">
        <is>
          <t>kPa</t>
        </is>
      </c>
      <c r="I47" s="11" t="inlineStr">
        <is>
          <t>La lectura en el punto de chequeo del regulador R-1 debe ser 80 kPa ± 4 kPa</t>
        </is>
      </c>
      <c r="J47" s="13" t="inlineStr">
        <is>
          <t>Bloqueante</t>
        </is>
      </c>
      <c r="K47" s="14" t="inlineStr">
        <is>
          <t>Restrictor sucio, membrana fatigada, o tornillo desajustado por vibración</t>
        </is>
      </c>
      <c r="L47" s="15" t="inlineStr">
        <is>
          <t>5.5.2 ; 5.5.4</t>
        </is>
      </c>
      <c r="M47" s="14" t="inlineStr">
        <is>
          <t>Ajustar a 80 ± 4 kPa; si no regula, reemplazar la unidad</t>
        </is>
      </c>
      <c r="N47" s="16" t="inlineStr">
        <is>
          <t>El regulador de presión R-1 no mantiene el valor de diseño del circuito neumático.</t>
        </is>
      </c>
      <c r="O47" s="10" t="n">
        <v>76</v>
      </c>
      <c r="P47" s="10" t="n">
        <v>84</v>
      </c>
      <c r="Q47" s="10" t="inlineStr">
        <is>
          <t>Sí</t>
        </is>
      </c>
      <c r="R47" s="10" t="inlineStr">
        <is>
          <t>No</t>
        </is>
      </c>
      <c r="S47" s="11" t="inlineStr">
        <is>
          <t>Regulator (3011017009)</t>
        </is>
      </c>
      <c r="T47" s="11" t="inlineStr">
        <is>
          <t>GZ0000117746B SM E APXX-370 (Service Manual)</t>
        </is>
      </c>
      <c r="U47" s="17" t="inlineStr">
        <is>
          <t>Pendiente</t>
        </is>
      </c>
      <c r="V47" s="17" t="n"/>
      <c r="W47" s="10">
        <f>IF($G47&lt;&gt;"Numérico","",IF($V47="","Sin dato",IF(AND(OR(NOT(ISNUMBER($O47)),$V47&gt;=$O47),OR(NOT(ISNUMBER($P47)),$V47&lt;=$P47)),"Dentro de rango","Fuera de rango")))</f>
        <v/>
      </c>
      <c r="X47" s="17" t="n"/>
      <c r="Y47" s="18" t="n"/>
      <c r="Z47" s="16">
        <f>IF(OR($U47="",$U47="Conforme",$U47="No aplica",$U47="Pendiente"),"",$N47&amp;IF($W47="Fuera de rango"," Valor medido: "&amp;TEXT($V47,"0.####")&amp;IF($H47="",""," "&amp;$H47)&amp;IF(AND(ISNUMBER($O47),$V47&lt;$O47),", por debajo del límite inferior de "&amp;TEXT($O47,"0.####")&amp;IF($H47="",""," "&amp;$H47),"")&amp;IF(AND(ISNUMBER($P47),$V47&gt;$P47),", por encima del límite superior de "&amp;TEXT($P47,"0.####")&amp;IF($H47="",""," "&amp;$H47),"")&amp;".","")&amp;IF($Y47="",""," "&amp;$Y47&amp;IF(RIGHT($Y47,1)=".","","."))&amp;" Acción recomendada: "&amp;$M47&amp;IF(RIGHT($M47,1)=".","",".")&amp;IF($J47="Bloqueante"," El equipo no se libera hasta resolver este hallazgo.",IF($J47="Cobrable"," Se incluye en la cotización de repuestos y consumibles."," Se deja registrado como observación.")))</f>
        <v/>
      </c>
    </row>
    <row r="48" ht="48" customHeight="1">
      <c r="A48" s="10" t="inlineStr">
        <is>
          <t>5.5.2</t>
        </is>
      </c>
      <c r="B48" s="10" t="inlineStr">
        <is>
          <t>5. Sistema neumático</t>
        </is>
      </c>
      <c r="C48" s="10" t="inlineStr">
        <is>
          <t>5.5 Reguladores de presión</t>
        </is>
      </c>
      <c r="D48" s="11" t="inlineStr">
        <is>
          <t>Regulador de vacío R-2 (presión de la bomba)</t>
        </is>
      </c>
      <c r="E48" s="11" t="inlineStr">
        <is>
          <t>Lectura de presión de la bomba en la pantalla ANALOG INPUT 1/2</t>
        </is>
      </c>
      <c r="F48" s="12" t="inlineStr">
        <is>
          <t>Leer la presión de bomba en la primera página de ANALOG INPUT con el equipo en operación normal, y ajustar el regulador de vacío R-2 si está fuera del valor de diseño.</t>
        </is>
      </c>
      <c r="G48" s="10" t="inlineStr">
        <is>
          <t>Numérico</t>
        </is>
      </c>
      <c r="H48" s="10" t="inlineStr">
        <is>
          <t>kPa</t>
        </is>
      </c>
      <c r="I48" s="11" t="inlineStr">
        <is>
          <t>La presión del regulador de vacío R-2 debe ajustarse al valor de diseño</t>
        </is>
      </c>
      <c r="J48" s="13" t="inlineStr">
        <is>
          <t>Bloqueante</t>
        </is>
      </c>
      <c r="K48" s="14" t="inlineStr">
        <is>
          <t>Restrictor sucio, membrana fatigada, o desajuste por vibración</t>
        </is>
      </c>
      <c r="L48" s="15" t="inlineStr">
        <is>
          <t>5.5.4 ; 5.2.3</t>
        </is>
      </c>
      <c r="M48" s="14" t="inlineStr">
        <is>
          <t>Ajustar al rango de diseño; si no regula, reemplazar la unidad</t>
        </is>
      </c>
      <c r="N48" s="16" t="inlineStr">
        <is>
          <t>El regulador de vacío R-2 no mantiene el valor de diseño del circuito neumático.</t>
        </is>
      </c>
      <c r="O48" s="10" t="n">
        <v>-23</v>
      </c>
      <c r="P48" s="10" t="n">
        <v>-19</v>
      </c>
      <c r="Q48" s="10" t="inlineStr">
        <is>
          <t>Sí</t>
        </is>
      </c>
      <c r="R48" s="10" t="inlineStr">
        <is>
          <t>No</t>
        </is>
      </c>
      <c r="S48" s="11" t="inlineStr">
        <is>
          <t>Regulator (3011017009)</t>
        </is>
      </c>
      <c r="T48" s="11" t="inlineStr">
        <is>
          <t>GZ0000117746B SM E APXX-370 (Service Manual)</t>
        </is>
      </c>
      <c r="U48" s="17" t="inlineStr">
        <is>
          <t>Pendiente</t>
        </is>
      </c>
      <c r="V48" s="17" t="n"/>
      <c r="W48" s="10">
        <f>IF($G48&lt;&gt;"Numérico","",IF($V48="","Sin dato",IF(AND(OR(NOT(ISNUMBER($O48)),$V48&gt;=$O48),OR(NOT(ISNUMBER($P48)),$V48&lt;=$P48)),"Dentro de rango","Fuera de rango")))</f>
        <v/>
      </c>
      <c r="X48" s="17" t="n"/>
      <c r="Y48" s="18" t="n"/>
      <c r="Z48" s="16">
        <f>IF(OR($U48="",$U48="Conforme",$U48="No aplica",$U48="Pendiente"),"",$N48&amp;IF($W48="Fuera de rango"," Valor medido: "&amp;TEXT($V48,"0.####")&amp;IF($H48="",""," "&amp;$H48)&amp;IF(AND(ISNUMBER($O48),$V48&lt;$O48),", por debajo del límite inferior de "&amp;TEXT($O48,"0.####")&amp;IF($H48="",""," "&amp;$H48),"")&amp;IF(AND(ISNUMBER($P48),$V48&gt;$P48),", por encima del límite superior de "&amp;TEXT($P48,"0.####")&amp;IF($H48="",""," "&amp;$H48),"")&amp;".","")&amp;IF($Y48="",""," "&amp;$Y48&amp;IF(RIGHT($Y48,1)=".","","."))&amp;" Acción recomendada: "&amp;$M48&amp;IF(RIGHT($M48,1)=".","",".")&amp;IF($J48="Bloqueante"," El equipo no se libera hasta resolver este hallazgo.",IF($J48="Cobrable"," Se incluye en la cotización de repuestos y consumibles."," Se deja registrado como observación.")))</f>
        <v/>
      </c>
    </row>
    <row r="49" ht="48" customHeight="1">
      <c r="A49" s="10" t="inlineStr">
        <is>
          <t>5.5.3</t>
        </is>
      </c>
      <c r="B49" s="10" t="inlineStr">
        <is>
          <t>5. Sistema neumático</t>
        </is>
      </c>
      <c r="C49" s="10" t="inlineStr">
        <is>
          <t>5.5 Reguladores de presión</t>
        </is>
      </c>
      <c r="D49" s="11" t="inlineStr">
        <is>
          <t>Regulador diferencial R-3</t>
        </is>
      </c>
      <c r="E49" s="11" t="inlineStr">
        <is>
          <t>Presión en el regulador diferencial R-3</t>
        </is>
      </c>
      <c r="F49" s="12" t="inlineStr">
        <is>
          <t>Conectar un manómetro en el punto de chequeo del regulador diferencial R-3 y leer la presión con el equipo en operación. Ajustar si está fuera del valor de diseño.</t>
        </is>
      </c>
      <c r="G49" s="10" t="inlineStr">
        <is>
          <t>Numérico</t>
        </is>
      </c>
      <c r="H49" s="10" t="inlineStr">
        <is>
          <t>kPa</t>
        </is>
      </c>
      <c r="I49" s="11" t="inlineStr">
        <is>
          <t>La lectura de presión del regulador diferencial R-3 debe ajustarse al valor de diseño</t>
        </is>
      </c>
      <c r="J49" s="13" t="inlineStr">
        <is>
          <t>Bloqueante</t>
        </is>
      </c>
      <c r="K49" s="14" t="inlineStr">
        <is>
          <t>Restrictor sucio o membrana fatigada</t>
        </is>
      </c>
      <c r="L49" s="15" t="inlineStr">
        <is>
          <t>5.5.2 ; 9.2.1</t>
        </is>
      </c>
      <c r="M49" s="14" t="inlineStr">
        <is>
          <t>Ajustar al rango de diseño; si no regula, reemplazar la unidad</t>
        </is>
      </c>
      <c r="N49" s="16" t="inlineStr">
        <is>
          <t>El regulador diferencial R-3 no mantiene el valor de diseño del circuito neumático.</t>
        </is>
      </c>
      <c r="O49" s="10" t="n">
        <v>-21</v>
      </c>
      <c r="P49" s="10" t="n">
        <v>-19</v>
      </c>
      <c r="Q49" s="10" t="inlineStr">
        <is>
          <t>Sí</t>
        </is>
      </c>
      <c r="R49" s="10" t="inlineStr">
        <is>
          <t>No</t>
        </is>
      </c>
      <c r="S49" s="11" t="inlineStr">
        <is>
          <t>Regulator (3011017009)</t>
        </is>
      </c>
      <c r="T49" s="11" t="inlineStr">
        <is>
          <t>GZ0000117746B SM E APXX-370 (Service Manual)</t>
        </is>
      </c>
      <c r="U49" s="17" t="inlineStr">
        <is>
          <t>Pendiente</t>
        </is>
      </c>
      <c r="V49" s="17" t="n"/>
      <c r="W49" s="10">
        <f>IF($G49&lt;&gt;"Numérico","",IF($V49="","Sin dato",IF(AND(OR(NOT(ISNUMBER($O49)),$V49&gt;=$O49),OR(NOT(ISNUMBER($P49)),$V49&lt;=$P49)),"Dentro de rango","Fuera de rango")))</f>
        <v/>
      </c>
      <c r="X49" s="17" t="n"/>
      <c r="Y49" s="18" t="n"/>
      <c r="Z49" s="16">
        <f>IF(OR($U49="",$U49="Conforme",$U49="No aplica",$U49="Pendiente"),"",$N49&amp;IF($W49="Fuera de rango"," Valor medido: "&amp;TEXT($V49,"0.####")&amp;IF($H49="",""," "&amp;$H49)&amp;IF(AND(ISNUMBER($O49),$V49&lt;$O49),", por debajo del límite inferior de "&amp;TEXT($O49,"0.####")&amp;IF($H49="",""," "&amp;$H49),"")&amp;IF(AND(ISNUMBER($P49),$V49&gt;$P49),", por encima del límite superior de "&amp;TEXT($P49,"0.####")&amp;IF($H49="",""," "&amp;$H49),"")&amp;".","")&amp;IF($Y49="",""," "&amp;$Y49&amp;IF(RIGHT($Y49,1)=".","","."))&amp;" Acción recomendada: "&amp;$M49&amp;IF(RIGHT($M49,1)=".","",".")&amp;IF($J49="Bloqueante"," El equipo no se libera hasta resolver este hallazgo.",IF($J49="Cobrable"," Se incluye en la cotización de repuestos y consumibles."," Se deja registrado como observación.")))</f>
        <v/>
      </c>
    </row>
    <row r="50" ht="48" customHeight="1">
      <c r="A50" s="10" t="inlineStr">
        <is>
          <t>5.5.4</t>
        </is>
      </c>
      <c r="B50" s="10" t="inlineStr">
        <is>
          <t>5. Sistema neumático</t>
        </is>
      </c>
      <c r="C50" s="10" t="inlineStr">
        <is>
          <t>5.5 Reguladores de presión</t>
        </is>
      </c>
      <c r="D50" s="11" t="inlineStr">
        <is>
          <t>Presión absoluta del detector (límite de alarma PRE1)</t>
        </is>
      </c>
      <c r="E50" s="11" t="inlineStr">
        <is>
          <t>Presión absoluta interna de la celda o bomba mostrada en pantalla</t>
        </is>
      </c>
      <c r="F50" s="12" t="inlineStr">
        <is>
          <t>Leer en ANALOG INPUT la presión del detector con el equipo en operación normal y verificar que se mantenga dentro del rango que no dispara la alarma PRESS 1.</t>
        </is>
      </c>
      <c r="G50" s="10" t="inlineStr">
        <is>
          <t>Numérico</t>
        </is>
      </c>
      <c r="H50" s="10" t="inlineStr">
        <is>
          <t>kPa</t>
        </is>
      </c>
      <c r="I50" s="11" t="inlineStr">
        <is>
          <t>Debe permanecer dentro del rango de 60 a 90 kPa; fuera de él se activa la alarma PRESS 1</t>
        </is>
      </c>
      <c r="J50" s="13" t="inlineStr">
        <is>
          <t>Bloqueante</t>
        </is>
      </c>
      <c r="K50" s="14" t="inlineStr">
        <is>
          <t>Regulador R-2 desajustado, diafragma roto, o fuga en el colector interno</t>
        </is>
      </c>
      <c r="L50" s="15" t="inlineStr">
        <is>
          <t>5.5.2 ; 5.1.2 ; 6.1.1 ; 10.2.1</t>
        </is>
      </c>
      <c r="M50" s="14" t="inlineStr">
        <is>
          <t>Ajustar R-2 primero; si la presión no responde al ajuste, buscar fuga o diafragma roto</t>
        </is>
      </c>
      <c r="N50" s="16" t="inlineStr">
        <is>
          <t>La presión del detector se encuentra fuera del rango de operación, lo que altera la reacción de medición.</t>
        </is>
      </c>
      <c r="O50" s="10" t="n">
        <v>60</v>
      </c>
      <c r="P50" s="10" t="n">
        <v>90</v>
      </c>
      <c r="Q50" s="10" t="inlineStr">
        <is>
          <t>Sí</t>
        </is>
      </c>
      <c r="R50" s="10" t="inlineStr">
        <is>
          <t>No</t>
        </is>
      </c>
      <c r="S50" s="11" t="inlineStr"/>
      <c r="T50" s="11" t="inlineStr">
        <is>
          <t>GZ0000117746B SM E APXX-370 (Service Manual)</t>
        </is>
      </c>
      <c r="U50" s="17" t="inlineStr">
        <is>
          <t>Pendiente</t>
        </is>
      </c>
      <c r="V50" s="17" t="n"/>
      <c r="W50" s="10">
        <f>IF($G50&lt;&gt;"Numérico","",IF($V50="","Sin dato",IF(AND(OR(NOT(ISNUMBER($O50)),$V50&gt;=$O50),OR(NOT(ISNUMBER($P50)),$V50&lt;=$P50)),"Dentro de rango","Fuera de rango")))</f>
        <v/>
      </c>
      <c r="X50" s="17" t="n"/>
      <c r="Y50" s="18" t="n"/>
      <c r="Z50" s="16">
        <f>IF(OR($U50="",$U50="Conforme",$U50="No aplica",$U50="Pendiente"),"",$N50&amp;IF($W50="Fuera de rango"," Valor medido: "&amp;TEXT($V50,"0.####")&amp;IF($H50="",""," "&amp;$H50)&amp;IF(AND(ISNUMBER($O50),$V50&lt;$O50),", por debajo del límite inferior de "&amp;TEXT($O50,"0.####")&amp;IF($H50="",""," "&amp;$H50),"")&amp;IF(AND(ISNUMBER($P50),$V50&gt;$P50),", por encima del límite superior de "&amp;TEXT($P50,"0.####")&amp;IF($H50="",""," "&amp;$H50),"")&amp;".","")&amp;IF($Y50="",""," "&amp;$Y50&amp;IF(RIGHT($Y50,1)=".","","."))&amp;" Acción recomendada: "&amp;$M50&amp;IF(RIGHT($M50,1)=".","",".")&amp;IF($J50="Bloqueante"," El equipo no se libera hasta resolver este hallazgo.",IF($J50="Cobrable"," Se incluye en la cotización de repuestos y consumibles."," Se deja registrado como observación.")))</f>
        <v/>
      </c>
    </row>
    <row r="51" ht="48" customHeight="1">
      <c r="A51" s="10" t="inlineStr">
        <is>
          <t>6.1.1</t>
        </is>
      </c>
      <c r="B51" s="10" t="inlineStr">
        <is>
          <t>6. Banco de medición y óptica</t>
        </is>
      </c>
      <c r="C51" s="10" t="inlineStr">
        <is>
          <t>6.1 Cámara de reacción (quimiluminiscencia)</t>
        </is>
      </c>
      <c r="D51" s="11" t="inlineStr">
        <is>
          <t>Hermeticidad del reactor</t>
        </is>
      </c>
      <c r="E51" s="11" t="inlineStr">
        <is>
          <t>Bloque del reactor, para descartar fugas, y estado de la junta elástica O-Ring W</t>
        </is>
      </c>
      <c r="F51" s="12" t="inlineStr">
        <is>
          <t>Con el equipo apagado y frío, inspeccionar el bloque del reactor buscando fisuras, y retirar el O-Ring W para verificar su elasticidad y correcto asiento en la ranura.</t>
        </is>
      </c>
      <c r="G51" s="10" t="inlineStr">
        <is>
          <t>OK / No OK</t>
        </is>
      </c>
      <c r="H51" s="10" t="inlineStr"/>
      <c r="I51" s="11" t="inlineStr">
        <is>
          <t>Bloque limpio, sin fisuras neumáticas y con el O-Ring W elástico y bien posicionado</t>
        </is>
      </c>
      <c r="J51" s="13" t="inlineStr">
        <is>
          <t>Bloqueante</t>
        </is>
      </c>
      <c r="K51" s="14" t="inlineStr">
        <is>
          <t>O-Ring W degradado, o fisura en el bloque del reactor</t>
        </is>
      </c>
      <c r="L51" s="15" t="inlineStr">
        <is>
          <t>5.5.4 ; 3.1.1</t>
        </is>
      </c>
      <c r="M51" s="14" t="inlineStr">
        <is>
          <t>Reemplazar el O-Ring W de Vitón y repetir la prueba de hermeticidad</t>
        </is>
      </c>
      <c r="N51" s="16" t="inlineStr">
        <is>
          <t>La cámara de reacción presenta fuga en su sello, lo que compromete la medición.</t>
        </is>
      </c>
      <c r="O51" s="10" t="n"/>
      <c r="P51" s="10" t="n"/>
      <c r="Q51" s="10" t="inlineStr">
        <is>
          <t>Sí</t>
        </is>
      </c>
      <c r="R51" s="10" t="inlineStr">
        <is>
          <t>Sí</t>
        </is>
      </c>
      <c r="S51" s="11" t="inlineStr">
        <is>
          <t>O-Ring, W (3014059379) · Reactor (3014059166)</t>
        </is>
      </c>
      <c r="T51" s="11" t="inlineStr">
        <is>
          <t>MT_H0004N72_APNA-370_241227 / MT_P7P8MW1M</t>
        </is>
      </c>
      <c r="U51" s="17" t="inlineStr">
        <is>
          <t>Pendiente</t>
        </is>
      </c>
      <c r="V51" s="17" t="n"/>
      <c r="W51" s="10">
        <f>IF($G51&lt;&gt;"Numérico","",IF($V51="","Sin dato",IF(AND(OR(NOT(ISNUMBER($O51)),$V51&gt;=$O51),OR(NOT(ISNUMBER($P51)),$V51&lt;=$P51)),"Dentro de rango","Fuera de rango")))</f>
        <v/>
      </c>
      <c r="X51" s="17" t="n"/>
      <c r="Y51" s="18" t="n"/>
      <c r="Z51" s="16">
        <f>IF(OR($U51="",$U51="Conforme",$U51="No aplica",$U51="Pendiente"),"",$N51&amp;IF($W51="Fuera de rango"," Valor medido: "&amp;TEXT($V51,"0.####")&amp;IF($H51="",""," "&amp;$H51)&amp;IF(AND(ISNUMBER($O51),$V51&lt;$O51),", por debajo del límite inferior de "&amp;TEXT($O51,"0.####")&amp;IF($H51="",""," "&amp;$H51),"")&amp;IF(AND(ISNUMBER($P51),$V51&gt;$P51),", por encima del límite superior de "&amp;TEXT($P51,"0.####")&amp;IF($H51="",""," "&amp;$H51),"")&amp;".","")&amp;IF($Y51="",""," "&amp;$Y51&amp;IF(RIGHT($Y51,1)=".","","."))&amp;" Acción recomendada: "&amp;$M51&amp;IF(RIGHT($M51,1)=".","",".")&amp;IF($J51="Bloqueante"," El equipo no se libera hasta resolver este hallazgo.",IF($J51="Cobrable"," Se incluye en la cotización de repuestos y consumibles."," Se deja registrado como observación.")))</f>
        <v/>
      </c>
    </row>
    <row r="52" ht="48" customHeight="1">
      <c r="A52" s="10" t="inlineStr">
        <is>
          <t>6.2.1</t>
        </is>
      </c>
      <c r="B52" s="10" t="inlineStr">
        <is>
          <t>6. Banco de medición y óptica</t>
        </is>
      </c>
      <c r="C52" s="10" t="inlineStr">
        <is>
          <t>6.2 Convertidor de NO2 a NO</t>
        </is>
      </c>
      <c r="D52" s="11" t="inlineStr">
        <is>
          <t>Tubo catalizador de reducción (COM-1)</t>
        </is>
      </c>
      <c r="E52" s="11" t="inlineStr">
        <is>
          <t>Estado externo de la celda de reducción de NOx y de su resistencia calefactora</t>
        </is>
      </c>
      <c r="F52" s="12" t="inlineStr">
        <is>
          <t>Con el equipo apagado y frío, inspeccionar externamente el tubo catalizador y su resistencia calefactora. Verificar en ANALOG INPUT que su temperatura sea estable en operación.</t>
        </is>
      </c>
      <c r="G52" s="10" t="inlineStr">
        <is>
          <t>OK / No OK</t>
        </is>
      </c>
      <c r="H52" s="10" t="inlineStr"/>
      <c r="I52" s="11" t="inlineStr">
        <is>
          <t>Tubo catalizador libre de obstrucciones internas y con temperatura estable; cambio cada 1 a 4 años</t>
        </is>
      </c>
      <c r="J52" s="13" t="inlineStr">
        <is>
          <t>Bloqueante</t>
        </is>
      </c>
      <c r="K52" s="14" t="inlineStr">
        <is>
          <t>Catalizador agotado, obstruido, o resistencia calefactora abierta</t>
        </is>
      </c>
      <c r="L52" s="15" t="inlineStr">
        <is>
          <t>3.3.1 ; 1.3.1</t>
        </is>
      </c>
      <c r="M52" s="14" t="inlineStr">
        <is>
          <t>Reemplazar el tubo COM-1 y reajustar el coeficiente de eficiencia por GPT</t>
        </is>
      </c>
      <c r="N52" s="16" t="inlineStr">
        <is>
          <t>El tubo catalizador del convertidor presenta obstrucción, agotamiento o falla de su lazo de calentamiento.</t>
        </is>
      </c>
      <c r="O52" s="10" t="n"/>
      <c r="P52" s="10" t="n"/>
      <c r="Q52" s="10" t="inlineStr">
        <is>
          <t>Sí</t>
        </is>
      </c>
      <c r="R52" s="10" t="inlineStr">
        <is>
          <t>Sí</t>
        </is>
      </c>
      <c r="S52" s="11" t="inlineStr">
        <is>
          <t>Catalyzer Assy APNA-350E NOX Converter (3014056464)</t>
        </is>
      </c>
      <c r="T52" s="11" t="inlineStr">
        <is>
          <t>MNT_APNA-370 (Manual de Mantenimiento)</t>
        </is>
      </c>
      <c r="U52" s="17" t="inlineStr">
        <is>
          <t>Pendiente</t>
        </is>
      </c>
      <c r="V52" s="17" t="n"/>
      <c r="W52" s="10">
        <f>IF($G52&lt;&gt;"Numérico","",IF($V52="","Sin dato",IF(AND(OR(NOT(ISNUMBER($O52)),$V52&gt;=$O52),OR(NOT(ISNUMBER($P52)),$V52&lt;=$P52)),"Dentro de rango","Fuera de rango")))</f>
        <v/>
      </c>
      <c r="X52" s="17" t="n"/>
      <c r="Y52" s="18" t="n"/>
      <c r="Z52" s="16">
        <f>IF(OR($U52="",$U52="Conforme",$U52="No aplica",$U52="Pendiente"),"",$N52&amp;IF($W52="Fuera de rango"," Valor medido: "&amp;TEXT($V52,"0.####")&amp;IF($H52="",""," "&amp;$H52)&amp;IF(AND(ISNUMBER($O52),$V52&lt;$O52),", por debajo del límite inferior de "&amp;TEXT($O52,"0.####")&amp;IF($H52="",""," "&amp;$H52),"")&amp;IF(AND(ISNUMBER($P52),$V52&gt;$P52),", por encima del límite superior de "&amp;TEXT($P52,"0.####")&amp;IF($H52="",""," "&amp;$H52),"")&amp;".","")&amp;IF($Y52="",""," "&amp;$Y52&amp;IF(RIGHT($Y52,1)=".","","."))&amp;" Acción recomendada: "&amp;$M52&amp;IF(RIGHT($M52,1)=".","",".")&amp;IF($J52="Bloqueante"," El equipo no se libera hasta resolver este hallazgo.",IF($J52="Cobrable"," Se incluye en la cotización de repuestos y consumibles."," Se deja registrado como observación.")))</f>
        <v/>
      </c>
    </row>
    <row r="53" ht="48" customHeight="1">
      <c r="A53" s="10" t="inlineStr">
        <is>
          <t>6.3.1</t>
        </is>
      </c>
      <c r="B53" s="10" t="inlineStr">
        <is>
          <t>6. Banco de medición y óptica</t>
        </is>
      </c>
      <c r="C53" s="10" t="inlineStr">
        <is>
          <t>6.3 Generador de ozono interno</t>
        </is>
      </c>
      <c r="D53" s="11" t="inlineStr">
        <is>
          <t>Tarjeta de potencia del ozonizador (AP-UVP-03)</t>
        </is>
      </c>
      <c r="E53" s="11" t="inlineStr">
        <is>
          <t>Que la tarjeta osciladora encienda su LED de alta tensión para iluminar la lámpara UV</t>
        </is>
      </c>
      <c r="F53" s="12" t="inlineStr">
        <is>
          <t>Con el equipo energizado y la cubierta retirada, observar el LED de alta tensión de la tarjeta AP-UVP-03 y verificar que la lámpara UV encienda. Inspeccionar la tarjeta buscando quemaduras.</t>
        </is>
      </c>
      <c r="G53" s="10" t="inlineStr">
        <is>
          <t>Sí/No</t>
        </is>
      </c>
      <c r="H53" s="10" t="inlineStr"/>
      <c r="I53" s="11" t="inlineStr">
        <is>
          <t>Tarjeta operativa sin quemaduras y LED indicador encendido durante la generación de ozono</t>
        </is>
      </c>
      <c r="J53" s="13" t="inlineStr">
        <is>
          <t>Bloqueante</t>
        </is>
      </c>
      <c r="K53" s="14" t="inlineStr">
        <is>
          <t>Tarjeta inversora quemada, o lámpara de ozono agotada</t>
        </is>
      </c>
      <c r="L53" s="15" t="inlineStr">
        <is>
          <t>1.1.2 ; 6.3.2 ; 9.3.1</t>
        </is>
      </c>
      <c r="M53" s="14" t="inlineStr">
        <is>
          <t>Descartar primero un apagado de protección por otra alarma; luego reemplazar tarjeta o lámpara</t>
        </is>
      </c>
      <c r="N53" s="16" t="inlineStr">
        <is>
          <t>La tarjeta de potencia del generador de ozono no energiza la lámpara ultravioleta.</t>
        </is>
      </c>
      <c r="O53" s="10" t="n"/>
      <c r="P53" s="10" t="n"/>
      <c r="Q53" s="10" t="inlineStr">
        <is>
          <t>Sí</t>
        </is>
      </c>
      <c r="R53" s="10" t="inlineStr">
        <is>
          <t>No</t>
        </is>
      </c>
      <c r="S53" s="11" t="inlineStr">
        <is>
          <t>MOSFET LGS LV (511-STD35P6LLF6) · Printed Board Unit AP-UVP-03 + 1JV024-028A (3200088405; alt. 3200088405-TCA) · UV Lamp Unit Ozonata unit (3014038054; alt. 3014038054-TCA)</t>
        </is>
      </c>
      <c r="T53" s="11" t="inlineStr">
        <is>
          <t>MT_GMK01HJU_APNA370 / MT_A860VPB4</t>
        </is>
      </c>
      <c r="U53" s="17" t="inlineStr">
        <is>
          <t>Pendiente</t>
        </is>
      </c>
      <c r="V53" s="17" t="n"/>
      <c r="W53" s="10">
        <f>IF($G53&lt;&gt;"Numérico","",IF($V53="","Sin dato",IF(AND(OR(NOT(ISNUMBER($O53)),$V53&gt;=$O53),OR(NOT(ISNUMBER($P53)),$V53&lt;=$P53)),"Dentro de rango","Fuera de rango")))</f>
        <v/>
      </c>
      <c r="X53" s="17" t="n"/>
      <c r="Y53" s="18" t="n"/>
      <c r="Z53" s="16">
        <f>IF(OR($U53="",$U53="Conforme",$U53="No aplica",$U53="Pendiente"),"",$N53&amp;IF($W53="Fuera de rango"," Valor medido: "&amp;TEXT($V53,"0.####")&amp;IF($H53="",""," "&amp;$H53)&amp;IF(AND(ISNUMBER($O53),$V53&lt;$O53),", por debajo del límite inferior de "&amp;TEXT($O53,"0.####")&amp;IF($H53="",""," "&amp;$H53),"")&amp;IF(AND(ISNUMBER($P53),$V53&gt;$P53),", por encima del límite superior de "&amp;TEXT($P53,"0.####")&amp;IF($H53="",""," "&amp;$H53),"")&amp;".","")&amp;IF($Y53="",""," "&amp;$Y53&amp;IF(RIGHT($Y53,1)=".","","."))&amp;" Acción recomendada: "&amp;$M53&amp;IF(RIGHT($M53,1)=".","",".")&amp;IF($J53="Bloqueante"," El equipo no se libera hasta resolver este hallazgo.",IF($J53="Cobrable"," Se incluye en la cotización de repuestos y consumibles."," Se deja registrado como observación.")))</f>
        <v/>
      </c>
    </row>
    <row r="54" ht="48" customHeight="1">
      <c r="A54" s="10" t="inlineStr">
        <is>
          <t>6.3.2</t>
        </is>
      </c>
      <c r="B54" s="10" t="inlineStr">
        <is>
          <t>6. Banco de medición y óptica</t>
        </is>
      </c>
      <c r="C54" s="10" t="inlineStr">
        <is>
          <t>6.3 Generador de ozono interno</t>
        </is>
      </c>
      <c r="D54" s="11" t="inlineStr">
        <is>
          <t>Protector de PTFE de la lámpara UV (UV liner)</t>
        </is>
      </c>
      <c r="E54" s="11" t="inlineStr">
        <is>
          <t>Estado del protector de PTFE de la lámpara del ozonizador</t>
        </is>
      </c>
      <c r="F54" s="12" t="inlineStr">
        <is>
          <t>Con el equipo apagado y frío, extraer el protector de PTFE de la lámpara del ozonizador y examinarlo buscando grietas, decoloración o deformación por calor.</t>
        </is>
      </c>
      <c r="G54" s="10" t="inlineStr">
        <is>
          <t>OK / No OK</t>
        </is>
      </c>
      <c r="H54" s="10" t="inlineStr"/>
      <c r="I54" s="11" t="inlineStr">
        <is>
          <t>Funda de PTFE sin grietas ni deformidades por calor (263 x 145 x 0,8 mm); reemplazar cada 1 año</t>
        </is>
      </c>
      <c r="J54" s="13" t="inlineStr">
        <is>
          <t>Cobrable</t>
        </is>
      </c>
      <c r="K54" s="14" t="inlineStr">
        <is>
          <t>Funda agrietada o deformada por el calor de la descarga</t>
        </is>
      </c>
      <c r="L54" s="15" t="inlineStr">
        <is>
          <t>6.3.1 ; 1.1.2</t>
        </is>
      </c>
      <c r="M54" s="14" t="inlineStr">
        <is>
          <t>Reemplazar el protector de PTFE junto con la lámpara del ozonizador</t>
        </is>
      </c>
      <c r="N54" s="16" t="inlineStr">
        <is>
          <t>El protector de la lámpara del ozonizador presenta grietas o deformación por efecto del calor.</t>
        </is>
      </c>
      <c r="O54" s="10" t="n"/>
      <c r="P54" s="10" t="n"/>
      <c r="Q54" s="10" t="inlineStr">
        <is>
          <t>Sí</t>
        </is>
      </c>
      <c r="R54" s="10" t="inlineStr">
        <is>
          <t>Sí</t>
        </is>
      </c>
      <c r="S54" s="11" t="inlineStr">
        <is>
          <t>UV Liner 263*145*0.8t (PTFE) (3200044415; alt. 3200044415-TCA)</t>
        </is>
      </c>
      <c r="T54" s="11" t="inlineStr">
        <is>
          <t>MNT_APNA-370 (Manual de Mantenimiento)</t>
        </is>
      </c>
      <c r="U54" s="17" t="inlineStr">
        <is>
          <t>Pendiente</t>
        </is>
      </c>
      <c r="V54" s="17" t="n"/>
      <c r="W54" s="10">
        <f>IF($G54&lt;&gt;"Numérico","",IF($V54="","Sin dato",IF(AND(OR(NOT(ISNUMBER($O54)),$V54&gt;=$O54),OR(NOT(ISNUMBER($P54)),$V54&lt;=$P54)),"Dentro de rango","Fuera de rango")))</f>
        <v/>
      </c>
      <c r="X54" s="17" t="n"/>
      <c r="Y54" s="18" t="n"/>
      <c r="Z54" s="16">
        <f>IF(OR($U54="",$U54="Conforme",$U54="No aplica",$U54="Pendiente"),"",$N54&amp;IF($W54="Fuera de rango"," Valor medido: "&amp;TEXT($V54,"0.####")&amp;IF($H54="",""," "&amp;$H54)&amp;IF(AND(ISNUMBER($O54),$V54&lt;$O54),", por debajo del límite inferior de "&amp;TEXT($O54,"0.####")&amp;IF($H54="",""," "&amp;$H54),"")&amp;IF(AND(ISNUMBER($P54),$V54&gt;$P54),", por encima del límite superior de "&amp;TEXT($P54,"0.####")&amp;IF($H54="",""," "&amp;$H54),"")&amp;".","")&amp;IF($Y54="",""," "&amp;$Y54&amp;IF(RIGHT($Y54,1)=".","","."))&amp;" Acción recomendada: "&amp;$M54&amp;IF(RIGHT($M54,1)=".","",".")&amp;IF($J54="Bloqueante"," El equipo no se libera hasta resolver este hallazgo.",IF($J54="Cobrable"," Se incluye en la cotización de repuestos y consumibles."," Se deja registrado como observación.")))</f>
        <v/>
      </c>
    </row>
    <row r="55" ht="48" customHeight="1">
      <c r="A55" s="10" t="inlineStr">
        <is>
          <t>6.4.1</t>
        </is>
      </c>
      <c r="B55" s="10" t="inlineStr">
        <is>
          <t>6. Banco de medición y óptica</t>
        </is>
      </c>
      <c r="C55" s="10" t="inlineStr">
        <is>
          <t>6.4 Detección óptica</t>
        </is>
      </c>
      <c r="D55" s="11" t="inlineStr">
        <is>
          <t>Detector de luz de reacción</t>
        </is>
      </c>
      <c r="E55" s="11" t="inlineStr">
        <is>
          <t>Tipo y estado del sensor óptico del detector</t>
        </is>
      </c>
      <c r="F55" s="12" t="inlineStr">
        <is>
          <t>Consultar la ficha técnica del equipo y confirmar que el detector es un fotodiodo de silicio. Registrar en ANALOG INPUT las señales SIGNAL NO y SIGNAL NOX con el equipo estabilizado.</t>
        </is>
      </c>
      <c r="G55" s="10" t="inlineStr">
        <is>
          <t>Texto</t>
        </is>
      </c>
      <c r="H55" s="10" t="inlineStr"/>
      <c r="I55" s="11" t="inlineStr">
        <is>
          <t>El APNA-370 usa un fotodiodo de silicio de larga vida y no requiere fuente de alta tensión de PMT</t>
        </is>
      </c>
      <c r="J55" s="13" t="inlineStr">
        <is>
          <t>Bloqueante</t>
        </is>
      </c>
      <c r="K55" s="14" t="inlineStr">
        <is>
          <t>Fotodiodo degradado, o cadena de amplificación en falla</t>
        </is>
      </c>
      <c r="L55" s="15" t="inlineStr">
        <is>
          <t>6.4.2 ; 6.1.1 ; 9.1.1</t>
        </is>
      </c>
      <c r="M55" s="14" t="inlineStr">
        <is>
          <t>Limpiar la óptica antes de sospechar del detector; el APNA usa fotodiodo, no PMT</t>
        </is>
      </c>
      <c r="N55" s="16" t="inlineStr">
        <is>
          <t>El detector de la cámara de reacción no entrega una señal estable frente al gas patrón.</t>
        </is>
      </c>
      <c r="O55" s="10" t="n"/>
      <c r="P55" s="10" t="n"/>
      <c r="Q55" s="10" t="inlineStr">
        <is>
          <t>Sí</t>
        </is>
      </c>
      <c r="R55" s="10" t="inlineStr">
        <is>
          <t>No</t>
        </is>
      </c>
      <c r="S55" s="11" t="inlineStr">
        <is>
          <t>Case, Preamplier For AIA-1X0 PRE-01 (3200082587) · Detector (3014060117; alt. 3014060117-TCA) · Printed Board Unit (3200092495; alt. 3200092495-TCA) · Stay SBB-314(E) L=14 M3 Male/Female (3030021477) · Stay for Preamprifie for APNA-360 (3012223360)</t>
        </is>
      </c>
      <c r="T55" s="11" t="inlineStr">
        <is>
          <t>APNA-370 Brochure / MT_A860VPB4_APNA370_20112702</t>
        </is>
      </c>
      <c r="U55" s="17" t="inlineStr">
        <is>
          <t>Pendiente</t>
        </is>
      </c>
      <c r="V55" s="17" t="n"/>
      <c r="W55" s="10">
        <f>IF($G55&lt;&gt;"Numérico","",IF($V55="","Sin dato",IF(AND(OR(NOT(ISNUMBER($O55)),$V55&gt;=$O55),OR(NOT(ISNUMBER($P55)),$V55&lt;=$P55)),"Dentro de rango","Fuera de rango")))</f>
        <v/>
      </c>
      <c r="X55" s="17" t="n"/>
      <c r="Y55" s="18" t="n"/>
      <c r="Z55" s="16">
        <f>IF(OR($U55="",$U55="Conforme",$U55="No aplica",$U55="Pendiente"),"",$N55&amp;IF($W55="Fuera de rango"," Valor medido: "&amp;TEXT($V55,"0.####")&amp;IF($H55="",""," "&amp;$H55)&amp;IF(AND(ISNUMBER($O55),$V55&lt;$O55),", por debajo del límite inferior de "&amp;TEXT($O55,"0.####")&amp;IF($H55="",""," "&amp;$H55),"")&amp;IF(AND(ISNUMBER($P55),$V55&gt;$P55),", por encima del límite superior de "&amp;TEXT($P55,"0.####")&amp;IF($H55="",""," "&amp;$H55),"")&amp;".","")&amp;IF($Y55="",""," "&amp;$Y55&amp;IF(RIGHT($Y55,1)=".","","."))&amp;" Acción recomendada: "&amp;$M55&amp;IF(RIGHT($M55,1)=".","",".")&amp;IF($J55="Bloqueante"," El equipo no se libera hasta resolver este hallazgo.",IF($J55="Cobrable"," Se incluye en la cotización de repuestos y consumibles."," Se deja registrado como observación.")))</f>
        <v/>
      </c>
    </row>
    <row r="56" ht="48" customHeight="1">
      <c r="A56" s="10" t="inlineStr">
        <is>
          <t>6.4.2</t>
        </is>
      </c>
      <c r="B56" s="10" t="inlineStr">
        <is>
          <t>6. Banco de medición y óptica</t>
        </is>
      </c>
      <c r="C56" s="10" t="inlineStr">
        <is>
          <t>6.4 Detección óptica</t>
        </is>
      </c>
      <c r="D56" s="11" t="inlineStr">
        <is>
          <t>Limpieza de filtros ópticos y ventana de celda</t>
        </is>
      </c>
      <c r="E56" s="11" t="inlineStr">
        <is>
          <t>Depósitos, humedad o manchas en el lente protector y el filtro óptico del detector</t>
        </is>
      </c>
      <c r="F56" s="12" t="inlineStr">
        <is>
          <t>Con el equipo apagado, acceder al detector y examinar el lente protector y el filtro óptico con linterna, buscando depósitos, humedad o manchas. No tocarlos con los dedos.</t>
        </is>
      </c>
      <c r="G56" s="10" t="inlineStr">
        <is>
          <t>OK / No OK</t>
        </is>
      </c>
      <c r="H56" s="10" t="inlineStr"/>
      <c r="I56" s="11" t="inlineStr">
        <is>
          <t>El lente y los filtros ópticos deben estar limpios, transparentes y secos</t>
        </is>
      </c>
      <c r="J56" s="13" t="inlineStr">
        <is>
          <t>Cobrable</t>
        </is>
      </c>
      <c r="K56" s="14" t="inlineStr">
        <is>
          <t>Ventana empañada o con depósitos por humedad en el circuito</t>
        </is>
      </c>
      <c r="L56" s="15" t="inlineStr">
        <is>
          <t>6.6.1 ; 4.3.1 ; 6.4.1</t>
        </is>
      </c>
      <c r="M56" s="14" t="inlineStr">
        <is>
          <t>Limpiar en seco con tejido óptico y eliminar el origen de la humedad</t>
        </is>
      </c>
      <c r="N56" s="16" t="inlineStr">
        <is>
          <t>La ventana y los filtros ópticos del detector presentan depósitos o empañamiento que atenúan la señal.</t>
        </is>
      </c>
      <c r="O56" s="10" t="n"/>
      <c r="P56" s="10" t="n"/>
      <c r="Q56" s="10" t="inlineStr">
        <is>
          <t>Sí</t>
        </is>
      </c>
      <c r="R56" s="10" t="inlineStr">
        <is>
          <t>Sí</t>
        </is>
      </c>
      <c r="S56" s="11" t="inlineStr">
        <is>
          <t>Sin artículo en el catálogo (filtro óptico y ventana del detector) — PENDIENTE DE CREAR EN ZOHO</t>
        </is>
      </c>
      <c r="T56" s="11" t="inlineStr">
        <is>
          <t>MT_P7P8MW1M_APNA370_251028 / MT_1XT65JR5</t>
        </is>
      </c>
      <c r="U56" s="17" t="inlineStr">
        <is>
          <t>Pendiente</t>
        </is>
      </c>
      <c r="V56" s="17" t="n"/>
      <c r="W56" s="10">
        <f>IF($G56&lt;&gt;"Numérico","",IF($V56="","Sin dato",IF(AND(OR(NOT(ISNUMBER($O56)),$V56&gt;=$O56),OR(NOT(ISNUMBER($P56)),$V56&lt;=$P56)),"Dentro de rango","Fuera de rango")))</f>
        <v/>
      </c>
      <c r="X56" s="17" t="n"/>
      <c r="Y56" s="18" t="n"/>
      <c r="Z56" s="16">
        <f>IF(OR($U56="",$U56="Conforme",$U56="No aplica",$U56="Pendiente"),"",$N56&amp;IF($W56="Fuera de rango"," Valor medido: "&amp;TEXT($V56,"0.####")&amp;IF($H56="",""," "&amp;$H56)&amp;IF(AND(ISNUMBER($O56),$V56&lt;$O56),", por debajo del límite inferior de "&amp;TEXT($O56,"0.####")&amp;IF($H56="",""," "&amp;$H56),"")&amp;IF(AND(ISNUMBER($P56),$V56&gt;$P56),", por encima del límite superior de "&amp;TEXT($P56,"0.####")&amp;IF($H56="",""," "&amp;$H56),"")&amp;".","")&amp;IF($Y56="",""," "&amp;$Y56&amp;IF(RIGHT($Y56,1)=".","","."))&amp;" Acción recomendada: "&amp;$M56&amp;IF(RIGHT($M56,1)=".","",".")&amp;IF($J56="Bloqueante"," El equipo no se libera hasta resolver este hallazgo.",IF($J56="Cobrable"," Se incluye en la cotización de repuestos y consumibles."," Se deja registrado como observación.")))</f>
        <v/>
      </c>
    </row>
    <row r="57" ht="48" customHeight="1">
      <c r="A57" s="10" t="inlineStr">
        <is>
          <t>6.5.1</t>
        </is>
      </c>
      <c r="B57" s="10" t="inlineStr">
        <is>
          <t>6. Banco de medición y óptica</t>
        </is>
      </c>
      <c r="C57" s="10" t="inlineStr">
        <is>
          <t>6.5 Eliminación de ozono residual</t>
        </is>
      </c>
      <c r="D57" s="11" t="inlineStr">
        <is>
          <t>Catalizador de ozono de escape (DO-1 / Deozonizer)</t>
        </is>
      </c>
      <c r="E57" s="11" t="inlineStr">
        <is>
          <t>Estado del deozonizador de salida que elimina el ozono residual antes de la descarga</t>
        </is>
      </c>
      <c r="F57" s="12" t="inlineStr">
        <is>
          <t>Con el equipo apagado, desmontar el deozonizador de salida y examinar el catalizador buscando degradación o cambio de color. Verificar que no haya olor a ozono en la descarga.</t>
        </is>
      </c>
      <c r="G57" s="10" t="inlineStr">
        <is>
          <t>OK / No OK</t>
        </is>
      </c>
      <c r="H57" s="10" t="inlineStr"/>
      <c r="I57" s="11" t="inlineStr">
        <is>
          <t>Catalizador en buen estado, sin degradación que dañe prematuramente la bomba; cambio cada 1 a 2 años</t>
        </is>
      </c>
      <c r="J57" s="13" t="inlineStr">
        <is>
          <t>Bloqueante</t>
        </is>
      </c>
      <c r="K57" s="14" t="inlineStr">
        <is>
          <t>Catalizador saturado o degradado por humedad</t>
        </is>
      </c>
      <c r="L57" s="15" t="inlineStr">
        <is>
          <t>8.2.1 ; 5.1.2</t>
        </is>
      </c>
      <c r="M57" s="14" t="inlineStr">
        <is>
          <t>Reemplazar de inmediato: el ozono residual destruye los diafragmas de la bomba</t>
        </is>
      </c>
      <c r="N57" s="16" t="inlineStr">
        <is>
          <t>El destructor de ozono de la línea de escape se encuentra agotado, con riesgo de daño prematuro de la bomba por ozono residual.</t>
        </is>
      </c>
      <c r="O57" s="10" t="n"/>
      <c r="P57" s="10" t="n"/>
      <c r="Q57" s="10" t="inlineStr">
        <is>
          <t>Sí</t>
        </is>
      </c>
      <c r="R57" s="10" t="inlineStr">
        <is>
          <t>Sí</t>
        </is>
      </c>
      <c r="S57" s="11" t="inlineStr">
        <is>
          <t>DO Unit O3 resolver (3200043513)</t>
        </is>
      </c>
      <c r="T57" s="11" t="inlineStr">
        <is>
          <t>MNT_APNA-370 (Manual de Mantenimiento)</t>
        </is>
      </c>
      <c r="U57" s="17" t="inlineStr">
        <is>
          <t>Pendiente</t>
        </is>
      </c>
      <c r="V57" s="17" t="n"/>
      <c r="W57" s="10">
        <f>IF($G57&lt;&gt;"Numérico","",IF($V57="","Sin dato",IF(AND(OR(NOT(ISNUMBER($O57)),$V57&gt;=$O57),OR(NOT(ISNUMBER($P57)),$V57&lt;=$P57)),"Dentro de rango","Fuera de rango")))</f>
        <v/>
      </c>
      <c r="X57" s="17" t="n"/>
      <c r="Y57" s="18" t="n"/>
      <c r="Z57" s="16">
        <f>IF(OR($U57="",$U57="Conforme",$U57="No aplica",$U57="Pendiente"),"",$N57&amp;IF($W57="Fuera de rango"," Valor medido: "&amp;TEXT($V57,"0.####")&amp;IF($H57="",""," "&amp;$H57)&amp;IF(AND(ISNUMBER($O57),$V57&lt;$O57),", por debajo del límite inferior de "&amp;TEXT($O57,"0.####")&amp;IF($H57="",""," "&amp;$H57),"")&amp;IF(AND(ISNUMBER($P57),$V57&gt;$P57),", por encima del límite superior de "&amp;TEXT($P57,"0.####")&amp;IF($H57="",""," "&amp;$H57),"")&amp;".","")&amp;IF($Y57="",""," "&amp;$Y57&amp;IF(RIGHT($Y57,1)=".","","."))&amp;" Acción recomendada: "&amp;$M57&amp;IF(RIGHT($M57,1)=".","",".")&amp;IF($J57="Bloqueante"," El equipo no se libera hasta resolver este hallazgo.",IF($J57="Cobrable"," Se incluye en la cotización de repuestos y consumibles."," Se deja registrado como observación.")))</f>
        <v/>
      </c>
    </row>
    <row r="58" ht="48" customHeight="1">
      <c r="A58" s="10" t="inlineStr">
        <is>
          <t>6.6.1</t>
        </is>
      </c>
      <c r="B58" s="10" t="inlineStr">
        <is>
          <t>6. Banco de medición y óptica</t>
        </is>
      </c>
      <c r="C58" s="10" t="inlineStr">
        <is>
          <t>6.6 Secado del aire de ozonizador</t>
        </is>
      </c>
      <c r="D58" s="11" t="inlineStr">
        <is>
          <t>Contenedores de gel de sílice (Dryer D-1)</t>
        </is>
      </c>
      <c r="E58" s="11" t="inlineStr">
        <is>
          <t>Color de los granos de sílica gel en los dos cilindros de secado de aire</t>
        </is>
      </c>
      <c r="F58" s="12" t="inlineStr">
        <is>
          <t>Con el equipo apagado, retirar los dos cilindros de secado y observar el color de la sílica gel a través de la pared o extrayendo una muestra. Sustituirla si está saturada.</t>
        </is>
      </c>
      <c r="G58" s="10" t="inlineStr">
        <is>
          <t>OK / No OK</t>
        </is>
      </c>
      <c r="H58" s="10" t="inlineStr"/>
      <c r="I58" s="11" t="inlineStr">
        <is>
          <t>Sustituir la sílica gel cada 1 a 2 años, o si presenta decoloración o saturación de humedad</t>
        </is>
      </c>
      <c r="J58" s="13" t="inlineStr">
        <is>
          <t>Cobrable</t>
        </is>
      </c>
      <c r="K58" s="14" t="inlineStr">
        <is>
          <t>Sílica saturada, o ciclo de reactivación sin calentar</t>
        </is>
      </c>
      <c r="L58" s="15" t="inlineStr">
        <is>
          <t>6.6.2 ; 8.1.1</t>
        </is>
      </c>
      <c r="M58" s="14" t="inlineStr">
        <is>
          <t>Reemplazar la carga de sílica en ambos cilindros y verificar el ciclo de reactivación</t>
        </is>
      </c>
      <c r="N58" s="16" t="inlineStr">
        <is>
          <t>La sílica gel de los cilindros de secado se encuentra saturada, por lo que el aire del ozonizador llega húmedo.</t>
        </is>
      </c>
      <c r="O58" s="10" t="n"/>
      <c r="P58" s="10" t="n"/>
      <c r="Q58" s="10" t="inlineStr">
        <is>
          <t>Sí</t>
        </is>
      </c>
      <c r="R58" s="10" t="inlineStr">
        <is>
          <t>Sí</t>
        </is>
      </c>
      <c r="S58" s="11" t="inlineStr">
        <is>
          <t>Silikagel 500g, Dryer APNA / APHA (3200044017)</t>
        </is>
      </c>
      <c r="T58" s="11" t="inlineStr">
        <is>
          <t>MNT_APNA-370 / MT_1U67F10J</t>
        </is>
      </c>
      <c r="U58" s="17" t="inlineStr">
        <is>
          <t>Pendiente</t>
        </is>
      </c>
      <c r="V58" s="17" t="n"/>
      <c r="W58" s="10">
        <f>IF($G58&lt;&gt;"Numérico","",IF($V58="","Sin dato",IF(AND(OR(NOT(ISNUMBER($O58)),$V58&gt;=$O58),OR(NOT(ISNUMBER($P58)),$V58&lt;=$P58)),"Dentro de rango","Fuera de rango")))</f>
        <v/>
      </c>
      <c r="X58" s="17" t="n"/>
      <c r="Y58" s="18" t="n"/>
      <c r="Z58" s="16">
        <f>IF(OR($U58="",$U58="Conforme",$U58="No aplica",$U58="Pendiente"),"",$N58&amp;IF($W58="Fuera de rango"," Valor medido: "&amp;TEXT($V58,"0.####")&amp;IF($H58="",""," "&amp;$H58)&amp;IF(AND(ISNUMBER($O58),$V58&lt;$O58),", por debajo del límite inferior de "&amp;TEXT($O58,"0.####")&amp;IF($H58="",""," "&amp;$H58),"")&amp;IF(AND(ISNUMBER($P58),$V58&gt;$P58),", por encima del límite superior de "&amp;TEXT($P58,"0.####")&amp;IF($H58="",""," "&amp;$H58),"")&amp;".","")&amp;IF($Y58="",""," "&amp;$Y58&amp;IF(RIGHT($Y58,1)=".","","."))&amp;" Acción recomendada: "&amp;$M58&amp;IF(RIGHT($M58,1)=".","",".")&amp;IF($J58="Bloqueante"," El equipo no se libera hasta resolver este hallazgo.",IF($J58="Cobrable"," Se incluye en la cotización de repuestos y consumibles."," Se deja registrado como observación.")))</f>
        <v/>
      </c>
    </row>
    <row r="59" ht="48" customHeight="1">
      <c r="A59" s="10" t="inlineStr">
        <is>
          <t>6.6.2</t>
        </is>
      </c>
      <c r="B59" s="10" t="inlineStr">
        <is>
          <t>6. Banco de medición y óptica</t>
        </is>
      </c>
      <c r="C59" s="10" t="inlineStr">
        <is>
          <t>6.6 Secado del aire de ozonizador</t>
        </is>
      </c>
      <c r="D59" s="11" t="inlineStr">
        <is>
          <t>Temperatura de reactivación del cilindro secador</t>
        </is>
      </c>
      <c r="E59" s="11" t="inlineStr">
        <is>
          <t>Que el cilindro secador inactivo caliente periódicamente para evaporar la humedad</t>
        </is>
      </c>
      <c r="F59" s="12" t="inlineStr">
        <is>
          <t>Con el equipo en operación, palpar con el debido cuidado el cilindro secador inactivo y confirmar que está caliente durante la fase de reactivación. Verificar el ciclo en el menú de servicio.</t>
        </is>
      </c>
      <c r="G59" s="10" t="inlineStr">
        <is>
          <t>Numérico</t>
        </is>
      </c>
      <c r="H59" s="10" t="inlineStr">
        <is>
          <t>°C</t>
        </is>
      </c>
      <c r="I59" s="11" t="inlineStr">
        <is>
          <t>En la etapa de reactivación la sílica gel debe calentarse para liberar humedad tras 180 min</t>
        </is>
      </c>
      <c r="J59" s="13" t="inlineStr">
        <is>
          <t>Bloqueante</t>
        </is>
      </c>
      <c r="K59" s="14" t="inlineStr">
        <is>
          <t>Resistencia del secador quemada, termocupla abierta, o relé de alternancia en falla</t>
        </is>
      </c>
      <c r="L59" s="15" t="inlineStr">
        <is>
          <t>6.6.1 ; 7.1.3</t>
        </is>
      </c>
      <c r="M59" s="14" t="inlineStr">
        <is>
          <t>Medir continuidad de resistencia y termocupla antes de intervenir la tarjeta</t>
        </is>
      </c>
      <c r="N59" s="16" t="inlineStr">
        <is>
          <t>El ciclo de reactivación del secador no alcanza la temperatura necesaria para regenerar la sílica gel.</t>
        </is>
      </c>
      <c r="O59" s="10" t="n">
        <v>150</v>
      </c>
      <c r="P59" s="10" t="n">
        <v>170</v>
      </c>
      <c r="Q59" s="10" t="inlineStr">
        <is>
          <t>Sí</t>
        </is>
      </c>
      <c r="R59" s="10" t="inlineStr">
        <is>
          <t>No</t>
        </is>
      </c>
      <c r="S59" s="11" t="inlineStr"/>
      <c r="T59" s="11" t="inlineStr">
        <is>
          <t>OP_APNA-370 / P_ST-008-MAN</t>
        </is>
      </c>
      <c r="U59" s="17" t="inlineStr">
        <is>
          <t>Pendiente</t>
        </is>
      </c>
      <c r="V59" s="17" t="n"/>
      <c r="W59" s="10">
        <f>IF($G59&lt;&gt;"Numérico","",IF($V59="","Sin dato",IF(AND(OR(NOT(ISNUMBER($O59)),$V59&gt;=$O59),OR(NOT(ISNUMBER($P59)),$V59&lt;=$P59)),"Dentro de rango","Fuera de rango")))</f>
        <v/>
      </c>
      <c r="X59" s="17" t="n"/>
      <c r="Y59" s="18" t="n"/>
      <c r="Z59" s="16">
        <f>IF(OR($U59="",$U59="Conforme",$U59="No aplica",$U59="Pendiente"),"",$N59&amp;IF($W59="Fuera de rango"," Valor medido: "&amp;TEXT($V59,"0.####")&amp;IF($H59="",""," "&amp;$H59)&amp;IF(AND(ISNUMBER($O59),$V59&lt;$O59),", por debajo del límite inferior de "&amp;TEXT($O59,"0.####")&amp;IF($H59="",""," "&amp;$H59),"")&amp;IF(AND(ISNUMBER($P59),$V59&gt;$P59),", por encima del límite superior de "&amp;TEXT($P59,"0.####")&amp;IF($H59="",""," "&amp;$H59),"")&amp;".","")&amp;IF($Y59="",""," "&amp;$Y59&amp;IF(RIGHT($Y59,1)=".","","."))&amp;" Acción recomendada: "&amp;$M59&amp;IF(RIGHT($M59,1)=".","",".")&amp;IF($J59="Bloqueante"," El equipo no se libera hasta resolver este hallazgo.",IF($J59="Cobrable"," Se incluye en la cotización de repuestos y consumibles."," Se deja registrado como observación.")))</f>
        <v/>
      </c>
    </row>
    <row r="60" ht="48" customHeight="1">
      <c r="A60" s="10" t="inlineStr">
        <is>
          <t>7.1.1</t>
        </is>
      </c>
      <c r="B60" s="10" t="inlineStr">
        <is>
          <t>7. Electrónica y control</t>
        </is>
      </c>
      <c r="C60" s="10" t="inlineStr">
        <is>
          <t>7.1 Tarjetas electrónicas</t>
        </is>
      </c>
      <c r="D60" s="11" t="inlineStr">
        <is>
          <t>Tarjeta CPU (AP-CPU-01 / AP-CPU-02)</t>
        </is>
      </c>
      <c r="E60" s="11" t="inlineStr">
        <is>
          <t>Que el LED de operación de la CPU destelle regularmente y no se observen daños térmicos</t>
        </is>
      </c>
      <c r="F60" s="12" t="inlineStr">
        <is>
          <t>Con el equipo energizado, observar durante al menos 30 segundos el LED de operación de la CPU y confirmar que destelle. Con el equipo apagado, inspeccionar la tarjeta buscando daños térmicos.</t>
        </is>
      </c>
      <c r="G60" s="10" t="inlineStr">
        <is>
          <t>OK / No OK</t>
        </is>
      </c>
      <c r="H60" s="10" t="inlineStr"/>
      <c r="I60" s="11" t="inlineStr">
        <is>
          <t>El LED debe destellar en condiciones normales; tras reemplazar la CPU se inicializa con SW5 y SW1</t>
        </is>
      </c>
      <c r="J60" s="13" t="inlineStr">
        <is>
          <t>Bloqueante</t>
        </is>
      </c>
      <c r="K60" s="14" t="inlineStr">
        <is>
          <t>Firmware congelado, daño térmico, o CPU sin inicializar tras sustitución</t>
        </is>
      </c>
      <c r="L60" s="15" t="inlineStr">
        <is>
          <t>7.3.1 ; 7.2.1 ; 9.3.2</t>
        </is>
      </c>
      <c r="M60" s="14" t="inlineStr">
        <is>
          <t>Reasentar conectores; si no destella, inicializar la CPU y ejecutar el memory scan</t>
        </is>
      </c>
      <c r="N60" s="16" t="inlineStr">
        <is>
          <t>La tarjeta principal de control no muestra actividad normal o presenta indicios de daño.</t>
        </is>
      </c>
      <c r="O60" s="10" t="n"/>
      <c r="P60" s="10" t="n"/>
      <c r="Q60" s="10" t="inlineStr">
        <is>
          <t>Sí</t>
        </is>
      </c>
      <c r="R60" s="10" t="inlineStr">
        <is>
          <t>Sí</t>
        </is>
      </c>
      <c r="S60" s="11" t="inlineStr">
        <is>
          <t>Printed Board Inst. AP-CPU-02 (AP-370) (3200629662)</t>
        </is>
      </c>
      <c r="T60" s="11" t="inlineStr">
        <is>
          <t>GZ0000117746B SM E APXX-370 (Service Manual)</t>
        </is>
      </c>
      <c r="U60" s="17" t="inlineStr">
        <is>
          <t>Pendiente</t>
        </is>
      </c>
      <c r="V60" s="17" t="n"/>
      <c r="W60" s="10">
        <f>IF($G60&lt;&gt;"Numérico","",IF($V60="","Sin dato",IF(AND(OR(NOT(ISNUMBER($O60)),$V60&gt;=$O60),OR(NOT(ISNUMBER($P60)),$V60&lt;=$P60)),"Dentro de rango","Fuera de rango")))</f>
        <v/>
      </c>
      <c r="X60" s="17" t="n"/>
      <c r="Y60" s="18" t="n"/>
      <c r="Z60" s="16">
        <f>IF(OR($U60="",$U60="Conforme",$U60="No aplica",$U60="Pendiente"),"",$N60&amp;IF($W60="Fuera de rango"," Valor medido: "&amp;TEXT($V60,"0.####")&amp;IF($H60="",""," "&amp;$H60)&amp;IF(AND(ISNUMBER($O60),$V60&lt;$O60),", por debajo del límite inferior de "&amp;TEXT($O60,"0.####")&amp;IF($H60="",""," "&amp;$H60),"")&amp;IF(AND(ISNUMBER($P60),$V60&gt;$P60),", por encima del límite superior de "&amp;TEXT($P60,"0.####")&amp;IF($H60="",""," "&amp;$H60),"")&amp;".","")&amp;IF($Y60="",""," "&amp;$Y60&amp;IF(RIGHT($Y60,1)=".","","."))&amp;" Acción recomendada: "&amp;$M60&amp;IF(RIGHT($M60,1)=".","",".")&amp;IF($J60="Bloqueante"," El equipo no se libera hasta resolver este hallazgo.",IF($J60="Cobrable"," Se incluye en la cotización de repuestos y consumibles."," Se deja registrado como observación.")))</f>
        <v/>
      </c>
    </row>
    <row r="61" ht="48" customHeight="1">
      <c r="A61" s="10" t="inlineStr">
        <is>
          <t>7.1.2</t>
        </is>
      </c>
      <c r="B61" s="10" t="inlineStr">
        <is>
          <t>7. Electrónica y control</t>
        </is>
      </c>
      <c r="C61" s="10" t="inlineStr">
        <is>
          <t>7.1 Tarjetas electrónicas</t>
        </is>
      </c>
      <c r="D61" s="11" t="inlineStr">
        <is>
          <t>Tarjeta de conversión analógica-digital (AP-ADC-05)</t>
        </is>
      </c>
      <c r="E61" s="11" t="inlineStr">
        <is>
          <t>Posición de los DIP switches de configuración del modelo de analizador</t>
        </is>
      </c>
      <c r="F61" s="12" t="inlineStr">
        <is>
          <t>Con el equipo apagado, ubicar el DIP switch SW2 en la tarjeta AP-ADC-05 y leer la posición de cada bit. Fotografiar la configuración antes de modificar nada.</t>
        </is>
      </c>
      <c r="G61" s="10" t="inlineStr">
        <is>
          <t>OK / No OK</t>
        </is>
      </c>
      <c r="H61" s="10" t="inlineStr"/>
      <c r="I61" s="11" t="inlineStr">
        <is>
          <t>Para APNA-370: BIT0=ON, BIT1=OFF, BIT2=OFF, BIT3=OFF. Referencia PENDIENTE DE VALIDAR</t>
        </is>
      </c>
      <c r="J61" s="13" t="inlineStr">
        <is>
          <t>Bloqueante</t>
        </is>
      </c>
      <c r="K61" s="14" t="inlineStr">
        <is>
          <t>Configuración de modelo alterada, o tarjeta sin alimentación</t>
        </is>
      </c>
      <c r="L61" s="15" t="inlineStr">
        <is>
          <t>9.3.1 ; 9.3.2 ; 7.1.1</t>
        </is>
      </c>
      <c r="M61" s="14" t="inlineStr">
        <is>
          <t>Restituir los bits de modelo del APNA-370 y verificar la alimentación antes de reemplazar</t>
        </is>
      </c>
      <c r="N61" s="16" t="inlineStr">
        <is>
          <t>La tarjeta de conversión analógica presenta configuración incorrecta o falta de alimentación.</t>
        </is>
      </c>
      <c r="O61" s="10" t="n"/>
      <c r="P61" s="10" t="n"/>
      <c r="Q61" s="10" t="inlineStr">
        <is>
          <t>Sí</t>
        </is>
      </c>
      <c r="R61" s="10" t="inlineStr">
        <is>
          <t>Sí</t>
        </is>
      </c>
      <c r="S61" s="11" t="inlineStr">
        <is>
          <t>AP-ADC-05 (tarjeta; sin artículo en el catálogo)</t>
        </is>
      </c>
      <c r="T61" s="11" t="inlineStr">
        <is>
          <t>GZ0000117746B SM E APXX-370 (Service Manual)</t>
        </is>
      </c>
      <c r="U61" s="17" t="inlineStr">
        <is>
          <t>Pendiente</t>
        </is>
      </c>
      <c r="V61" s="17" t="n"/>
      <c r="W61" s="10">
        <f>IF($G61&lt;&gt;"Numérico","",IF($V61="","Sin dato",IF(AND(OR(NOT(ISNUMBER($O61)),$V61&gt;=$O61),OR(NOT(ISNUMBER($P61)),$V61&lt;=$P61)),"Dentro de rango","Fuera de rango")))</f>
        <v/>
      </c>
      <c r="X61" s="17" t="n"/>
      <c r="Y61" s="18" t="n"/>
      <c r="Z61" s="16">
        <f>IF(OR($U61="",$U61="Conforme",$U61="No aplica",$U61="Pendiente"),"",$N61&amp;IF($W61="Fuera de rango"," Valor medido: "&amp;TEXT($V61,"0.####")&amp;IF($H61="",""," "&amp;$H61)&amp;IF(AND(ISNUMBER($O61),$V61&lt;$O61),", por debajo del límite inferior de "&amp;TEXT($O61,"0.####")&amp;IF($H61="",""," "&amp;$H61),"")&amp;IF(AND(ISNUMBER($P61),$V61&gt;$P61),", por encima del límite superior de "&amp;TEXT($P61,"0.####")&amp;IF($H61="",""," "&amp;$H61),"")&amp;".","")&amp;IF($Y61="",""," "&amp;$Y61&amp;IF(RIGHT($Y61,1)=".","","."))&amp;" Acción recomendada: "&amp;$M61&amp;IF(RIGHT($M61,1)=".","",".")&amp;IF($J61="Bloqueante"," El equipo no se libera hasta resolver este hallazgo.",IF($J61="Cobrable"," Se incluye en la cotización de repuestos y consumibles."," Se deja registrado como observación.")))</f>
        <v/>
      </c>
    </row>
    <row r="62" ht="48" customHeight="1">
      <c r="A62" s="10" t="inlineStr">
        <is>
          <t>7.1.3</t>
        </is>
      </c>
      <c r="B62" s="10" t="inlineStr">
        <is>
          <t>7. Electrónica y control</t>
        </is>
      </c>
      <c r="C62" s="10" t="inlineStr">
        <is>
          <t>7.1 Tarjetas electrónicas</t>
        </is>
      </c>
      <c r="D62" s="11" t="inlineStr">
        <is>
          <t>Tarjeta de relés y contactos (AP-RPL-02 / AP-RPL-02A)</t>
        </is>
      </c>
      <c r="E62" s="11" t="inlineStr">
        <is>
          <t>Estado de los terminales de cableado de entradas y salidas, y LED de comunicación I2C (ST0/ST1)</t>
        </is>
      </c>
      <c r="F62" s="12" t="inlineStr">
        <is>
          <t>Con el equipo apagado, examinar los terminales de entradas y salidas de la tarjeta de relés buscando corrosión o tornillos flojos, y con el equipo energizado observar los LED ST0 y ST1.</t>
        </is>
      </c>
      <c r="G62" s="10" t="inlineStr">
        <is>
          <t>OK / No OK</t>
        </is>
      </c>
      <c r="H62" s="10" t="inlineStr"/>
      <c r="I62" s="11" t="inlineStr">
        <is>
          <t>LED ST1 de operación destellando normalmente y terminales libres de corrosión u holguras</t>
        </is>
      </c>
      <c r="J62" s="13" t="inlineStr">
        <is>
          <t>Bloqueante</t>
        </is>
      </c>
      <c r="K62" s="14" t="inlineStr">
        <is>
          <t>Cinta plana I2C floja, microprocesador H8 bloqueado, o terminal corroído</t>
        </is>
      </c>
      <c r="L62" s="15" t="inlineStr">
        <is>
          <t>7.3.1 ; 7.1.1</t>
        </is>
      </c>
      <c r="M62" s="14" t="inlineStr">
        <is>
          <t>Reasentar la cinta I2C; si ST1 sigue fijo, reemplazar la tarjeta AP-RPL</t>
        </is>
      </c>
      <c r="N62" s="16" t="inlineStr">
        <is>
          <t>La tarjeta de relés presenta terminales corroídos o falla de comunicación con la tarjeta de control.</t>
        </is>
      </c>
      <c r="O62" s="10" t="n"/>
      <c r="P62" s="10" t="n"/>
      <c r="Q62" s="10" t="inlineStr">
        <is>
          <t>Sí</t>
        </is>
      </c>
      <c r="R62" s="10" t="inlineStr">
        <is>
          <t>Sí</t>
        </is>
      </c>
      <c r="S62" s="11" t="inlineStr">
        <is>
          <t>AP-RPL-02 / AP-RPL-02A (tarjeta; sin artículo en el catálogo)</t>
        </is>
      </c>
      <c r="T62" s="11" t="inlineStr">
        <is>
          <t>GZ0000117746B SM E APXX-370 (Service Manual)</t>
        </is>
      </c>
      <c r="U62" s="17" t="inlineStr">
        <is>
          <t>Pendiente</t>
        </is>
      </c>
      <c r="V62" s="17" t="n"/>
      <c r="W62" s="10">
        <f>IF($G62&lt;&gt;"Numérico","",IF($V62="","Sin dato",IF(AND(OR(NOT(ISNUMBER($O62)),$V62&gt;=$O62),OR(NOT(ISNUMBER($P62)),$V62&lt;=$P62)),"Dentro de rango","Fuera de rango")))</f>
        <v/>
      </c>
      <c r="X62" s="17" t="n"/>
      <c r="Y62" s="18" t="n"/>
      <c r="Z62" s="16">
        <f>IF(OR($U62="",$U62="Conforme",$U62="No aplica",$U62="Pendiente"),"",$N62&amp;IF($W62="Fuera de rango"," Valor medido: "&amp;TEXT($V62,"0.####")&amp;IF($H62="",""," "&amp;$H62)&amp;IF(AND(ISNUMBER($O62),$V62&lt;$O62),", por debajo del límite inferior de "&amp;TEXT($O62,"0.####")&amp;IF($H62="",""," "&amp;$H62),"")&amp;IF(AND(ISNUMBER($P62),$V62&gt;$P62),", por encima del límite superior de "&amp;TEXT($P62,"0.####")&amp;IF($H62="",""," "&amp;$H62),"")&amp;".","")&amp;IF($Y62="",""," "&amp;$Y62&amp;IF(RIGHT($Y62,1)=".","","."))&amp;" Acción recomendada: "&amp;$M62&amp;IF(RIGHT($M62,1)=".","",".")&amp;IF($J62="Bloqueante"," El equipo no se libera hasta resolver este hallazgo.",IF($J62="Cobrable"," Se incluye en la cotización de repuestos y consumibles."," Se deja registrado como observación.")))</f>
        <v/>
      </c>
    </row>
    <row r="63" ht="48" customHeight="1">
      <c r="A63" s="10" t="inlineStr">
        <is>
          <t>7.1.4</t>
        </is>
      </c>
      <c r="B63" s="10" t="inlineStr">
        <is>
          <t>7. Electrónica y control</t>
        </is>
      </c>
      <c r="C63" s="10" t="inlineStr">
        <is>
          <t>7.1 Tarjetas electrónicas</t>
        </is>
      </c>
      <c r="D63" s="11" t="inlineStr">
        <is>
          <t>Tarjeta de comunicación serial RS-232C (AP-SIO-04)</t>
        </is>
      </c>
      <c r="E63" s="11" t="inlineStr">
        <is>
          <t>Integración física del puerto serial y su conexión con el cable CN2 en el puerto de la CPU</t>
        </is>
      </c>
      <c r="F63" s="12" t="inlineStr">
        <is>
          <t>Retirar la placa ciega trasera y verificar que la tarjeta AP-SIO-04 esté fijada con sus 4 tornillos M3x6 y conectada al conector CN2 de la CPU mediante su cable de 5 hilos.</t>
        </is>
      </c>
      <c r="G63" s="10" t="inlineStr">
        <is>
          <t>OK / No OK</t>
        </is>
      </c>
      <c r="H63" s="10" t="inlineStr"/>
      <c r="I63" s="11" t="inlineStr">
        <is>
          <t>Tarjeta fijada con los 4 tornillos M3x6 SUS y conectada con cable de 5 hilos</t>
        </is>
      </c>
      <c r="J63" s="13" t="inlineStr">
        <is>
          <t>Alerta</t>
        </is>
      </c>
      <c r="K63" s="14" t="inlineStr">
        <is>
          <t>Tarjeta suelta o cable CN2 desconectado</t>
        </is>
      </c>
      <c r="L63" s="15" t="inlineStr">
        <is>
          <t>7.4.1</t>
        </is>
      </c>
      <c r="M63" s="14" t="inlineStr">
        <is>
          <t>Fijar la tarjeta con sus tornillos y reasentar el cable de 5 hilos</t>
        </is>
      </c>
      <c r="N63" s="16" t="inlineStr">
        <is>
          <t>La tarjeta de comunicación serial no está correctamente instalada o conectada.</t>
        </is>
      </c>
      <c r="O63" s="10" t="n"/>
      <c r="P63" s="10" t="n"/>
      <c r="Q63" s="10" t="inlineStr">
        <is>
          <t>Sí</t>
        </is>
      </c>
      <c r="R63" s="10" t="inlineStr">
        <is>
          <t>Sí</t>
        </is>
      </c>
      <c r="S63" s="11" t="inlineStr">
        <is>
          <t>Cable assembly RS-232C (3200216747) · RS-232C (For Horiba AP Series) (3014036951)</t>
        </is>
      </c>
      <c r="T63" s="11" t="inlineStr">
        <is>
          <t>Procedimiento Integración Tarjeta RS232</t>
        </is>
      </c>
      <c r="U63" s="17" t="inlineStr">
        <is>
          <t>Pendiente</t>
        </is>
      </c>
      <c r="V63" s="17" t="n"/>
      <c r="W63" s="10">
        <f>IF($G63&lt;&gt;"Numérico","",IF($V63="","Sin dato",IF(AND(OR(NOT(ISNUMBER($O63)),$V63&gt;=$O63),OR(NOT(ISNUMBER($P63)),$V63&lt;=$P63)),"Dentro de rango","Fuera de rango")))</f>
        <v/>
      </c>
      <c r="X63" s="17" t="n"/>
      <c r="Y63" s="18" t="n"/>
      <c r="Z63" s="16">
        <f>IF(OR($U63="",$U63="Conforme",$U63="No aplica",$U63="Pendiente"),"",$N63&amp;IF($W63="Fuera de rango"," Valor medido: "&amp;TEXT($V63,"0.####")&amp;IF($H63="",""," "&amp;$H63)&amp;IF(AND(ISNUMBER($O63),$V63&lt;$O63),", por debajo del límite inferior de "&amp;TEXT($O63,"0.####")&amp;IF($H63="",""," "&amp;$H63),"")&amp;IF(AND(ISNUMBER($P63),$V63&gt;$P63),", por encima del límite superior de "&amp;TEXT($P63,"0.####")&amp;IF($H63="",""," "&amp;$H63),"")&amp;".","")&amp;IF($Y63="",""," "&amp;$Y63&amp;IF(RIGHT($Y63,1)=".","","."))&amp;" Acción recomendada: "&amp;$M63&amp;IF(RIGHT($M63,1)=".","",".")&amp;IF($J63="Bloqueante"," El equipo no se libera hasta resolver este hallazgo.",IF($J63="Cobrable"," Se incluye en la cotización de repuestos y consumibles."," Se deja registrado como observación.")))</f>
        <v/>
      </c>
    </row>
    <row r="64" ht="48" customHeight="1">
      <c r="A64" s="10" t="inlineStr">
        <is>
          <t>7.2.1</t>
        </is>
      </c>
      <c r="B64" s="10" t="inlineStr">
        <is>
          <t>7. Electrónica y control</t>
        </is>
      </c>
      <c r="C64" s="10" t="inlineStr">
        <is>
          <t>7.2 Respaldo de reloj y memoria</t>
        </is>
      </c>
      <c r="D64" s="11" t="inlineStr">
        <is>
          <t>Pila de memoria y reloj RTC</t>
        </is>
      </c>
      <c r="E64" s="11" t="inlineStr">
        <is>
          <t>Voltaje de la batería de litio CR2032 y ausencia de la alarma BATT en pantalla</t>
        </is>
      </c>
      <c r="F64" s="12" t="inlineStr">
        <is>
          <t>Con el equipo apagado, verificar que la pila esté instalada en el portapilas de la CPU y medir su tensión con multímetro. Confirmar además que no esté activa la alarma BATT.</t>
        </is>
      </c>
      <c r="G64" s="10" t="inlineStr">
        <is>
          <t>Presente / Ausente</t>
        </is>
      </c>
      <c r="H64" s="10" t="inlineStr"/>
      <c r="I64" s="11" t="inlineStr">
        <is>
          <t>Pila CR2032 instalada en el portapilas de la CPU; reemplazar cada 3 años</t>
        </is>
      </c>
      <c r="J64" s="13" t="inlineStr">
        <is>
          <t>Cobrable</t>
        </is>
      </c>
      <c r="K64" s="14" t="inlineStr">
        <is>
          <t>Pila al final de su vida útil (unos 3 años de servicio)</t>
        </is>
      </c>
      <c r="L64" s="15" t="inlineStr">
        <is>
          <t>7.1.1</t>
        </is>
      </c>
      <c r="M64" s="14" t="inlineStr">
        <is>
          <t>Reemplazar la CR2032 y reprogramar fecha, hora y secuencia AIC</t>
        </is>
      </c>
      <c r="N64" s="16" t="inlineStr">
        <is>
          <t>La batería de respaldo del reloj está agotada: el analizador pierde fecha, hora y programación al desconectarse.</t>
        </is>
      </c>
      <c r="O64" s="10" t="n"/>
      <c r="P64" s="10" t="n"/>
      <c r="Q64" s="10" t="inlineStr">
        <is>
          <t>Sí</t>
        </is>
      </c>
      <c r="R64" s="10" t="inlineStr">
        <is>
          <t>Sí</t>
        </is>
      </c>
      <c r="S64" s="11" t="inlineStr">
        <is>
          <t>Batería CR2032 para Horiba AP Series (3200043671)</t>
        </is>
      </c>
      <c r="T64" s="11" t="inlineStr">
        <is>
          <t>MNT_APNA-370 / OP_APNA-370</t>
        </is>
      </c>
      <c r="U64" s="17" t="inlineStr">
        <is>
          <t>Pendiente</t>
        </is>
      </c>
      <c r="V64" s="17" t="n"/>
      <c r="W64" s="10">
        <f>IF($G64&lt;&gt;"Numérico","",IF($V64="","Sin dato",IF(AND(OR(NOT(ISNUMBER($O64)),$V64&gt;=$O64),OR(NOT(ISNUMBER($P64)),$V64&lt;=$P64)),"Dentro de rango","Fuera de rango")))</f>
        <v/>
      </c>
      <c r="X64" s="17" t="n"/>
      <c r="Y64" s="18" t="n"/>
      <c r="Z64" s="16">
        <f>IF(OR($U64="",$U64="Conforme",$U64="No aplica",$U64="Pendiente"),"",$N64&amp;IF($W64="Fuera de rango"," Valor medido: "&amp;TEXT($V64,"0.####")&amp;IF($H64="",""," "&amp;$H64)&amp;IF(AND(ISNUMBER($O64),$V64&lt;$O64),", por debajo del límite inferior de "&amp;TEXT($O64,"0.####")&amp;IF($H64="",""," "&amp;$H64),"")&amp;IF(AND(ISNUMBER($P64),$V64&gt;$P64),", por encima del límite superior de "&amp;TEXT($P64,"0.####")&amp;IF($H64="",""," "&amp;$H64),"")&amp;".","")&amp;IF($Y64="",""," "&amp;$Y64&amp;IF(RIGHT($Y64,1)=".","","."))&amp;" Acción recomendada: "&amp;$M64&amp;IF(RIGHT($M64,1)=".","",".")&amp;IF($J64="Bloqueante"," El equipo no se libera hasta resolver este hallazgo.",IF($J64="Cobrable"," Se incluye en la cotización de repuestos y consumibles."," Se deja registrado como observación.")))</f>
        <v/>
      </c>
    </row>
    <row r="65" ht="48" customHeight="1">
      <c r="A65" s="10" t="inlineStr">
        <is>
          <t>7.3.1</t>
        </is>
      </c>
      <c r="B65" s="10" t="inlineStr">
        <is>
          <t>7. Electrónica y control</t>
        </is>
      </c>
      <c r="C65" s="10" t="inlineStr">
        <is>
          <t>7.3 Display y cableado interno</t>
        </is>
      </c>
      <c r="D65" s="11" t="inlineStr">
        <is>
          <t>Cintas de datos planas (Tape Wire)</t>
        </is>
      </c>
      <c r="E65" s="11" t="inlineStr">
        <is>
          <t>Hilos cortados, grietas o malas conexiones en las cintas planas entre la CPU y la RPL</t>
        </is>
      </c>
      <c r="F65" s="12" t="inlineStr">
        <is>
          <t>Con el equipo apagado, examinar las cintas planas entre la CPU y la RPL en toda su longitud, buscando hilos partidos, dobleces marcados o conectores mal asentados.</t>
        </is>
      </c>
      <c r="G65" s="10" t="inlineStr">
        <is>
          <t>OK / No OK</t>
        </is>
      </c>
      <c r="H65" s="10" t="inlineStr"/>
      <c r="I65" s="11" t="inlineStr">
        <is>
          <t>Cable cinta en buen estado y firmemente asentado en sus conectores</t>
        </is>
      </c>
      <c r="J65" s="13" t="inlineStr">
        <is>
          <t>Cobrable</t>
        </is>
      </c>
      <c r="K65" s="14" t="inlineStr">
        <is>
          <t>Cinta con hilos partidos, o conector mal asentado</t>
        </is>
      </c>
      <c r="L65" s="15" t="inlineStr">
        <is>
          <t>7.1.1 ; 7.1.3</t>
        </is>
      </c>
      <c r="M65" s="14" t="inlineStr">
        <is>
          <t>Reasentar o reemplazar la cinta antes de cambiar cualquier tarjeta</t>
        </is>
      </c>
      <c r="N65" s="16" t="inlineStr">
        <is>
          <t>Los cables de interconexión entre tarjetas presentan conductores dañados o falso contacto.</t>
        </is>
      </c>
      <c r="O65" s="10" t="n"/>
      <c r="P65" s="10" t="n"/>
      <c r="Q65" s="10" t="inlineStr">
        <is>
          <t>Sí</t>
        </is>
      </c>
      <c r="R65" s="10" t="inlineStr">
        <is>
          <t>Sí</t>
        </is>
      </c>
      <c r="S65" s="11" t="inlineStr">
        <is>
          <t>Tape Wire (3010040355)</t>
        </is>
      </c>
      <c r="T65" s="11" t="inlineStr">
        <is>
          <t>MT_H0004N72_APNA-370_241227 / MT_VMH2YJP3</t>
        </is>
      </c>
      <c r="U65" s="17" t="inlineStr">
        <is>
          <t>Pendiente</t>
        </is>
      </c>
      <c r="V65" s="17" t="n"/>
      <c r="W65" s="10">
        <f>IF($G65&lt;&gt;"Numérico","",IF($V65="","Sin dato",IF(AND(OR(NOT(ISNUMBER($O65)),$V65&gt;=$O65),OR(NOT(ISNUMBER($P65)),$V65&lt;=$P65)),"Dentro de rango","Fuera de rango")))</f>
        <v/>
      </c>
      <c r="X65" s="17" t="n"/>
      <c r="Y65" s="18" t="n"/>
      <c r="Z65" s="16">
        <f>IF(OR($U65="",$U65="Conforme",$U65="No aplica",$U65="Pendiente"),"",$N65&amp;IF($W65="Fuera de rango"," Valor medido: "&amp;TEXT($V65,"0.####")&amp;IF($H65="",""," "&amp;$H65)&amp;IF(AND(ISNUMBER($O65),$V65&lt;$O65),", por debajo del límite inferior de "&amp;TEXT($O65,"0.####")&amp;IF($H65="",""," "&amp;$H65),"")&amp;IF(AND(ISNUMBER($P65),$V65&gt;$P65),", por encima del límite superior de "&amp;TEXT($P65,"0.####")&amp;IF($H65="",""," "&amp;$H65),"")&amp;".","")&amp;IF($Y65="",""," "&amp;$Y65&amp;IF(RIGHT($Y65,1)=".","","."))&amp;" Acción recomendada: "&amp;$M65&amp;IF(RIGHT($M65,1)=".","",".")&amp;IF($J65="Bloqueante"," El equipo no se libera hasta resolver este hallazgo.",IF($J65="Cobrable"," Se incluye en la cotización de repuestos y consumibles."," Se deja registrado como observación.")))</f>
        <v/>
      </c>
    </row>
    <row r="66" ht="48" customHeight="1">
      <c r="A66" s="10" t="inlineStr">
        <is>
          <t>7.3.2</t>
        </is>
      </c>
      <c r="B66" s="10" t="inlineStr">
        <is>
          <t>7. Electrónica y control</t>
        </is>
      </c>
      <c r="C66" s="10" t="inlineStr">
        <is>
          <t>7.3 Display y cableado interno</t>
        </is>
      </c>
      <c r="D66" s="11" t="inlineStr">
        <is>
          <t>Panel digitalizador táctil (Touch Panel)</t>
        </is>
      </c>
      <c r="E66" s="11" t="inlineStr">
        <is>
          <t>Respuesta del teclado resistivo al presionar los menús de la interfaz gráfica</t>
        </is>
      </c>
      <c r="F66" s="12" t="inlineStr">
        <is>
          <t>Recorrer los menús presionando botones en las cuatro esquinas y en el centro de la pantalla, verificando que la selección responda en el punto exacto donde se presiona. Usar solo el dedo.</t>
        </is>
      </c>
      <c r="G66" s="10" t="inlineStr">
        <is>
          <t>OK / No OK</t>
        </is>
      </c>
      <c r="H66" s="10" t="inlineStr"/>
      <c r="I66" s="11" t="inlineStr">
        <is>
          <t>Respuesta táctil precisa en todas las zonas; no utilizar bolígrafos ni puntas afiladas</t>
        </is>
      </c>
      <c r="J66" s="13" t="inlineStr">
        <is>
          <t>Cobrable</t>
        </is>
      </c>
      <c r="K66" s="14" t="inlineStr">
        <is>
          <t>Delaminación por humedad, o desgaste por objetos punzantes</t>
        </is>
      </c>
      <c r="L66" s="15" t="inlineStr">
        <is>
          <t>1.1.3 ; 10.3.2</t>
        </is>
      </c>
      <c r="M66" s="14" t="inlineStr">
        <is>
          <t>Recalibrar el panel; si no responde, reemplazarlo y controlar la humedad de la cabina</t>
        </is>
      </c>
      <c r="N66" s="16" t="inlineStr">
        <is>
          <t>El panel táctil no responde con precisión al tacto o presenta zonas inoperantes.</t>
        </is>
      </c>
      <c r="O66" s="10" t="n"/>
      <c r="P66" s="10" t="n"/>
      <c r="Q66" s="10" t="inlineStr">
        <is>
          <t>Sí</t>
        </is>
      </c>
      <c r="R66" s="10" t="inlineStr">
        <is>
          <t>Sí</t>
        </is>
      </c>
      <c r="S66" s="11" t="inlineStr">
        <is>
          <t>Touch Panel (TP-AP370)</t>
        </is>
      </c>
      <c r="T66" s="11" t="inlineStr">
        <is>
          <t>MT_A860VPB4_APNA370_20111202 / OP_APNA-370</t>
        </is>
      </c>
      <c r="U66" s="17" t="inlineStr">
        <is>
          <t>Pendiente</t>
        </is>
      </c>
      <c r="V66" s="17" t="n"/>
      <c r="W66" s="10">
        <f>IF($G66&lt;&gt;"Numérico","",IF($V66="","Sin dato",IF(AND(OR(NOT(ISNUMBER($O66)),$V66&gt;=$O66),OR(NOT(ISNUMBER($P66)),$V66&lt;=$P66)),"Dentro de rango","Fuera de rango")))</f>
        <v/>
      </c>
      <c r="X66" s="17" t="n"/>
      <c r="Y66" s="18" t="n"/>
      <c r="Z66" s="16">
        <f>IF(OR($U66="",$U66="Conforme",$U66="No aplica",$U66="Pendiente"),"",$N66&amp;IF($W66="Fuera de rango"," Valor medido: "&amp;TEXT($V66,"0.####")&amp;IF($H66="",""," "&amp;$H66)&amp;IF(AND(ISNUMBER($O66),$V66&lt;$O66),", por debajo del límite inferior de "&amp;TEXT($O66,"0.####")&amp;IF($H66="",""," "&amp;$H66),"")&amp;IF(AND(ISNUMBER($P66),$V66&gt;$P66),", por encima del límite superior de "&amp;TEXT($P66,"0.####")&amp;IF($H66="",""," "&amp;$H66),"")&amp;".","")&amp;IF($Y66="",""," "&amp;$Y66&amp;IF(RIGHT($Y66,1)=".","","."))&amp;" Acción recomendada: "&amp;$M66&amp;IF(RIGHT($M66,1)=".","",".")&amp;IF($J66="Bloqueante"," El equipo no se libera hasta resolver este hallazgo.",IF($J66="Cobrable"," Se incluye en la cotización de repuestos y consumibles."," Se deja registrado como observación.")))</f>
        <v/>
      </c>
    </row>
    <row r="67" ht="48" customHeight="1">
      <c r="A67" s="10" t="inlineStr">
        <is>
          <t>7.4.1</t>
        </is>
      </c>
      <c r="B67" s="10" t="inlineStr">
        <is>
          <t>7. Electrónica y control</t>
        </is>
      </c>
      <c r="C67" s="10" t="inlineStr">
        <is>
          <t>7.4 Salidas analógicas</t>
        </is>
      </c>
      <c r="D67" s="11" t="inlineStr">
        <is>
          <t>Señales de concentración de salida (Mom/Avg)</t>
        </is>
      </c>
      <c r="E67" s="11" t="inlineStr">
        <is>
          <t>Voltaje en los canales CH-7, CH-8 o CH-9 de la parte trasera, medido con multímetro</t>
        </is>
      </c>
      <c r="F67" s="12" t="inlineStr">
        <is>
          <t>Poner la salida en un valor conocido desde el menú de salidas y medir con multímetro en las terminales traseras de los canales CH-7, CH-8 y CH-9.</t>
        </is>
      </c>
      <c r="G67" s="10" t="inlineStr">
        <is>
          <t>Numérico</t>
        </is>
      </c>
      <c r="H67" s="10" t="inlineStr">
        <is>
          <t>V</t>
        </is>
      </c>
      <c r="I67" s="11" t="inlineStr">
        <is>
          <t>Salida estándar no aislada de NO, NO2 o NOx de 0 a 1 V, proporcional al rango</t>
        </is>
      </c>
      <c r="J67" s="13" t="inlineStr">
        <is>
          <t>Bloqueante</t>
        </is>
      </c>
      <c r="K67" s="14" t="inlineStr">
        <is>
          <t>Salida analógica descalibrada o canal mal asignado</t>
        </is>
      </c>
      <c r="L67" s="15" t="inlineStr">
        <is>
          <t>7.1.4 ; 7.1.2</t>
        </is>
      </c>
      <c r="M67" s="14" t="inlineStr">
        <is>
          <t>Reajustar la salida y confirmar la lectura en el datalogger de la estación</t>
        </is>
      </c>
      <c r="N67" s="16" t="inlineStr">
        <is>
          <t>Las salidas analógicas de concentración están descalibradas o mal asignadas: el dato que recibe la estación está sesgado.</t>
        </is>
      </c>
      <c r="O67" s="10" t="n">
        <v>0</v>
      </c>
      <c r="P67" s="10" t="n">
        <v>1</v>
      </c>
      <c r="Q67" s="10" t="inlineStr">
        <is>
          <t>Sí</t>
        </is>
      </c>
      <c r="R67" s="10" t="inlineStr">
        <is>
          <t>No</t>
        </is>
      </c>
      <c r="S67" s="11" t="inlineStr">
        <is>
          <t>Fusible 6,3 A (T) para AC115V — sin artículo en el catálogo</t>
        </is>
      </c>
      <c r="T67" s="11" t="inlineStr">
        <is>
          <t>OP_APNA-370 (Manual de Operación)</t>
        </is>
      </c>
      <c r="U67" s="17" t="inlineStr">
        <is>
          <t>Pendiente</t>
        </is>
      </c>
      <c r="V67" s="17" t="n"/>
      <c r="W67" s="10">
        <f>IF($G67&lt;&gt;"Numérico","",IF($V67="","Sin dato",IF(AND(OR(NOT(ISNUMBER($O67)),$V67&gt;=$O67),OR(NOT(ISNUMBER($P67)),$V67&lt;=$P67)),"Dentro de rango","Fuera de rango")))</f>
        <v/>
      </c>
      <c r="X67" s="17" t="n"/>
      <c r="Y67" s="18" t="n"/>
      <c r="Z67" s="16">
        <f>IF(OR($U67="",$U67="Conforme",$U67="No aplica",$U67="Pendiente"),"",$N67&amp;IF($W67="Fuera de rango"," Valor medido: "&amp;TEXT($V67,"0.####")&amp;IF($H67="",""," "&amp;$H67)&amp;IF(AND(ISNUMBER($O67),$V67&lt;$O67),", por debajo del límite inferior de "&amp;TEXT($O67,"0.####")&amp;IF($H67="",""," "&amp;$H67),"")&amp;IF(AND(ISNUMBER($P67),$V67&gt;$P67),", por encima del límite superior de "&amp;TEXT($P67,"0.####")&amp;IF($H67="",""," "&amp;$H67),"")&amp;".","")&amp;IF($Y67="",""," "&amp;$Y67&amp;IF(RIGHT($Y67,1)=".","","."))&amp;" Acción recomendada: "&amp;$M67&amp;IF(RIGHT($M67,1)=".","",".")&amp;IF($J67="Bloqueante"," El equipo no se libera hasta resolver este hallazgo.",IF($J67="Cobrable"," Se incluye en la cotización de repuestos y consumibles."," Se deja registrado como observación.")))</f>
        <v/>
      </c>
    </row>
    <row r="68" ht="48" customHeight="1">
      <c r="A68" s="10" t="inlineStr">
        <is>
          <t>7.5.1</t>
        </is>
      </c>
      <c r="B68" s="10" t="inlineStr">
        <is>
          <t>7. Electrónica y control</t>
        </is>
      </c>
      <c r="C68" s="10" t="inlineStr">
        <is>
          <t>7.5 Protección eléctrica</t>
        </is>
      </c>
      <c r="D68" s="11" t="inlineStr">
        <is>
          <t>Fusibles de entrada de red AC</t>
        </is>
      </c>
      <c r="E68" s="11" t="inlineStr">
        <is>
          <t>Continuidad de los fusibles integrados en el conector AC Inlet posterior</t>
        </is>
      </c>
      <c r="F68" s="12" t="inlineStr">
        <is>
          <t>Con el equipo apagado y desconectado, extraer el fusible del portafusible del AC Inlet trasero, verificar su continuidad con multímetro y leer el tipo y amperaje impresos.</t>
        </is>
      </c>
      <c r="G68" s="10" t="inlineStr">
        <is>
          <t>OK / No OK</t>
        </is>
      </c>
      <c r="H68" s="10" t="inlineStr">
        <is>
          <t>A</t>
        </is>
      </c>
      <c r="I68" s="11" t="inlineStr">
        <is>
          <t>Fusible intacto; capacidad recomendada 6,3 A (T) para configuración de 115 V</t>
        </is>
      </c>
      <c r="J68" s="13" t="inlineStr">
        <is>
          <t>Bloqueante</t>
        </is>
      </c>
      <c r="K68" s="14" t="inlineStr">
        <is>
          <t>Fusible abierto por sobrecorriente o por falla de la fuente</t>
        </is>
      </c>
      <c r="L68" s="15" t="inlineStr">
        <is>
          <t>9.3.1 ; 9.3.2</t>
        </is>
      </c>
      <c r="M68" s="14" t="inlineStr">
        <is>
          <t>Reponer el fusible del tipo y amperaje correctos; si vuelve a abrir, buscar el cortocircuito</t>
        </is>
      </c>
      <c r="N68" s="16" t="inlineStr">
        <is>
          <t>El fusible de protección de la entrada de alimentación se encuentra abierto.</t>
        </is>
      </c>
      <c r="O68" s="10" t="n"/>
      <c r="P68" s="10" t="n"/>
      <c r="Q68" s="10" t="inlineStr">
        <is>
          <t>Sí</t>
        </is>
      </c>
      <c r="R68" s="10" t="inlineStr">
        <is>
          <t>Sí</t>
        </is>
      </c>
      <c r="S68" s="11" t="inlineStr"/>
      <c r="T68" s="11" t="inlineStr">
        <is>
          <t>OP_APNA-370 / Cables ports</t>
        </is>
      </c>
      <c r="U68" s="17" t="inlineStr">
        <is>
          <t>Pendiente</t>
        </is>
      </c>
      <c r="V68" s="17" t="n"/>
      <c r="W68" s="10">
        <f>IF($G68&lt;&gt;"Numérico","",IF($V68="","Sin dato",IF(AND(OR(NOT(ISNUMBER($O68)),$V68&gt;=$O68),OR(NOT(ISNUMBER($P68)),$V68&lt;=$P68)),"Dentro de rango","Fuera de rango")))</f>
        <v/>
      </c>
      <c r="X68" s="17" t="n"/>
      <c r="Y68" s="18" t="n"/>
      <c r="Z68" s="16">
        <f>IF(OR($U68="",$U68="Conforme",$U68="No aplica",$U68="Pendiente"),"",$N68&amp;IF($W68="Fuera de rango"," Valor medido: "&amp;TEXT($V68,"0.####")&amp;IF($H68="",""," "&amp;$H68)&amp;IF(AND(ISNUMBER($O68),$V68&lt;$O68),", por debajo del límite inferior de "&amp;TEXT($O68,"0.####")&amp;IF($H68="",""," "&amp;$H68),"")&amp;IF(AND(ISNUMBER($P68),$V68&gt;$P68),", por encima del límite superior de "&amp;TEXT($P68,"0.####")&amp;IF($H68="",""," "&amp;$H68),"")&amp;".","")&amp;IF($Y68="",""," "&amp;$Y68&amp;IF(RIGHT($Y68,1)=".","","."))&amp;" Acción recomendada: "&amp;$M68&amp;IF(RIGHT($M68,1)=".","",".")&amp;IF($J68="Bloqueante"," El equipo no se libera hasta resolver este hallazgo.",IF($J68="Cobrable"," Se incluye en la cotización de repuestos y consumibles."," Se deja registrado como observación.")))</f>
        <v/>
      </c>
    </row>
    <row r="69" ht="48" customHeight="1">
      <c r="A69" s="10" t="inlineStr">
        <is>
          <t>8.1.1</t>
        </is>
      </c>
      <c r="B69" s="10" t="inlineStr">
        <is>
          <t>8. Filtros y consumibles</t>
        </is>
      </c>
      <c r="C69" s="10" t="inlineStr">
        <is>
          <t>8.1 Consumibles del ozonizador</t>
        </is>
      </c>
      <c r="D69" s="11" t="inlineStr">
        <is>
          <t>Filtro de aire en línea del ozonizador</t>
        </is>
      </c>
      <c r="E69" s="11" t="inlineStr">
        <is>
          <t>Grado de saturación del filtro de aire de 0,3 micras en la línea de ozono</t>
        </is>
      </c>
      <c r="F69" s="12" t="inlineStr">
        <is>
          <t>Con el equipo apagado, desmontar el filtro de aire en línea del ozonizador y examinar el elemento contra la luz, buscando oscurecimiento, humedad o colmatación.</t>
        </is>
      </c>
      <c r="G69" s="10" t="inlineStr">
        <is>
          <t>OK / No OK</t>
        </is>
      </c>
      <c r="H69" s="10" t="inlineStr"/>
      <c r="I69" s="11" t="inlineStr">
        <is>
          <t>Elemento filtrante seco y limpio de polvo; reemplazar cada 1 a 2 años</t>
        </is>
      </c>
      <c r="J69" s="13" t="inlineStr">
        <is>
          <t>Cobrable</t>
        </is>
      </c>
      <c r="K69" s="14" t="inlineStr">
        <is>
          <t>Elemento de 0,3 µm saturado o humedecido</t>
        </is>
      </c>
      <c r="L69" s="15" t="inlineStr">
        <is>
          <t>6.6.1 ; 1.1.2</t>
        </is>
      </c>
      <c r="M69" s="14" t="inlineStr">
        <is>
          <t>Reemplazar el filtro de aire y verificar que la sílica esté seca</t>
        </is>
      </c>
      <c r="N69" s="16" t="inlineStr">
        <is>
          <t>El filtro de aire del generador de ozono se encuentra saturado o humedecido.</t>
        </is>
      </c>
      <c r="O69" s="10" t="n"/>
      <c r="P69" s="10" t="n"/>
      <c r="Q69" s="10" t="inlineStr">
        <is>
          <t>Sí</t>
        </is>
      </c>
      <c r="R69" s="10" t="inlineStr">
        <is>
          <t>Sí</t>
        </is>
      </c>
      <c r="S69" s="11" t="inlineStr">
        <is>
          <t>Air Filter 0.3 micron APNA / APSA (3200082322)</t>
        </is>
      </c>
      <c r="T69" s="11" t="inlineStr">
        <is>
          <t>MNT_APNA-370 / MT_1U67F10J</t>
        </is>
      </c>
      <c r="U69" s="17" t="inlineStr">
        <is>
          <t>Pendiente</t>
        </is>
      </c>
      <c r="V69" s="17" t="n"/>
      <c r="W69" s="10">
        <f>IF($G69&lt;&gt;"Numérico","",IF($V69="","Sin dato",IF(AND(OR(NOT(ISNUMBER($O69)),$V69&gt;=$O69),OR(NOT(ISNUMBER($P69)),$V69&lt;=$P69)),"Dentro de rango","Fuera de rango")))</f>
        <v/>
      </c>
      <c r="X69" s="17" t="n"/>
      <c r="Y69" s="18" t="n"/>
      <c r="Z69" s="16">
        <f>IF(OR($U69="",$U69="Conforme",$U69="No aplica",$U69="Pendiente"),"",$N69&amp;IF($W69="Fuera de rango"," Valor medido: "&amp;TEXT($V69,"0.####")&amp;IF($H69="",""," "&amp;$H69)&amp;IF(AND(ISNUMBER($O69),$V69&lt;$O69),", por debajo del límite inferior de "&amp;TEXT($O69,"0.####")&amp;IF($H69="",""," "&amp;$H69),"")&amp;IF(AND(ISNUMBER($P69),$V69&gt;$P69),", por encima del límite superior de "&amp;TEXT($P69,"0.####")&amp;IF($H69="",""," "&amp;$H69),"")&amp;".","")&amp;IF($Y69="",""," "&amp;$Y69&amp;IF(RIGHT($Y69,1)=".","","."))&amp;" Acción recomendada: "&amp;$M69&amp;IF(RIGHT($M69,1)=".","",".")&amp;IF($J69="Bloqueante"," El equipo no se libera hasta resolver este hallazgo.",IF($J69="Cobrable"," Se incluye en la cotización de repuestos y consumibles."," Se deja registrado como observación.")))</f>
        <v/>
      </c>
    </row>
    <row r="70" ht="48" customHeight="1">
      <c r="A70" s="10" t="inlineStr">
        <is>
          <t>8.2.1</t>
        </is>
      </c>
      <c r="B70" s="10" t="inlineStr">
        <is>
          <t>8. Filtros y consumibles</t>
        </is>
      </c>
      <c r="C70" s="10" t="inlineStr">
        <is>
          <t>8.2 Depuración de gases</t>
        </is>
      </c>
      <c r="D70" s="11" t="inlineStr">
        <is>
          <t>Depurador de gases de escape (Scrubber BAA-050)</t>
        </is>
      </c>
      <c r="E70" s="11" t="inlineStr">
        <is>
          <t>Color de las esferas de alúmina activada del depurador BAA-050</t>
        </is>
      </c>
      <c r="F70" s="12" t="inlineStr">
        <is>
          <t>Con el equipo apagado, desmontar el depurador BAA-050 y observar el color de las esferas de alúmina activada. Sustituir si presentan decoloración o saturación.</t>
        </is>
      </c>
      <c r="G70" s="10" t="inlineStr">
        <is>
          <t>OK / No OK</t>
        </is>
      </c>
      <c r="H70" s="10" t="inlineStr"/>
      <c r="I70" s="11" t="inlineStr">
        <is>
          <t>Reemplazar si presenta decoloración o saturación extrema; vida útil de 1 a 4 años</t>
        </is>
      </c>
      <c r="J70" s="13" t="inlineStr">
        <is>
          <t>Cobrable</t>
        </is>
      </c>
      <c r="K70" s="14" t="inlineStr">
        <is>
          <t>Alúmina activada decolorada o saturada</t>
        </is>
      </c>
      <c r="L70" s="15" t="inlineStr">
        <is>
          <t>6.5.1</t>
        </is>
      </c>
      <c r="M70" s="14" t="inlineStr">
        <is>
          <t>Reemplazar el cartucho BAA-050</t>
        </is>
      </c>
      <c r="N70" s="16" t="inlineStr">
        <is>
          <t>El depurador de gases de escape presenta decoloración o saturación de su material activo.</t>
        </is>
      </c>
      <c r="O70" s="10" t="n"/>
      <c r="P70" s="10" t="n"/>
      <c r="Q70" s="10" t="inlineStr">
        <is>
          <t>Sí</t>
        </is>
      </c>
      <c r="R70" s="10" t="inlineStr">
        <is>
          <t>Sí</t>
        </is>
      </c>
      <c r="S70" s="11" t="inlineStr">
        <is>
          <t>Scrubber BAA-050 APNA / APMA (3014061530)</t>
        </is>
      </c>
      <c r="T70" s="11" t="inlineStr">
        <is>
          <t>MNT_APNA-370 / MT_P7P8MW1M</t>
        </is>
      </c>
      <c r="U70" s="17" t="inlineStr">
        <is>
          <t>Pendiente</t>
        </is>
      </c>
      <c r="V70" s="17" t="n"/>
      <c r="W70" s="10">
        <f>IF($G70&lt;&gt;"Numérico","",IF($V70="","Sin dato",IF(AND(OR(NOT(ISNUMBER($O70)),$V70&gt;=$O70),OR(NOT(ISNUMBER($P70)),$V70&lt;=$P70)),"Dentro de rango","Fuera de rango")))</f>
        <v/>
      </c>
      <c r="X70" s="17" t="n"/>
      <c r="Y70" s="18" t="n"/>
      <c r="Z70" s="16">
        <f>IF(OR($U70="",$U70="Conforme",$U70="No aplica",$U70="Pendiente"),"",$N70&amp;IF($W70="Fuera de rango"," Valor medido: "&amp;TEXT($V70,"0.####")&amp;IF($H70="",""," "&amp;$H70)&amp;IF(AND(ISNUMBER($O70),$V70&lt;$O70),", por debajo del límite inferior de "&amp;TEXT($O70,"0.####")&amp;IF($H70="",""," "&amp;$H70),"")&amp;IF(AND(ISNUMBER($P70),$V70&gt;$P70),", por encima del límite superior de "&amp;TEXT($P70,"0.####")&amp;IF($H70="",""," "&amp;$H70),"")&amp;".","")&amp;IF($Y70="",""," "&amp;$Y70&amp;IF(RIGHT($Y70,1)=".","","."))&amp;" Acción recomendada: "&amp;$M70&amp;IF(RIGHT($M70,1)=".","",".")&amp;IF($J70="Bloqueante"," El equipo no se libera hasta resolver este hallazgo.",IF($J70="Cobrable"," Se incluye en la cotización de repuestos y consumibles."," Se deja registrado como observación.")))</f>
        <v/>
      </c>
    </row>
    <row r="71" ht="48" customHeight="1">
      <c r="A71" s="10" t="inlineStr">
        <is>
          <t>8.3.1</t>
        </is>
      </c>
      <c r="B71" s="10" t="inlineStr">
        <is>
          <t>8. Filtros y consumibles</t>
        </is>
      </c>
      <c r="C71" s="10" t="inlineStr">
        <is>
          <t>8.3 Filtros de chasis</t>
        </is>
      </c>
      <c r="D71" s="11" t="inlineStr">
        <is>
          <t>Filtros de esponja de ventilación del chasis</t>
        </is>
      </c>
      <c r="E71" s="11" t="inlineStr">
        <is>
          <t>Acumulación de polvo en los filtros de esponja de la tapa exterior y del ventilador</t>
        </is>
      </c>
      <c r="F71" s="12" t="inlineStr">
        <is>
          <t>Retirar las esponjas de la cubierta y del ventilador, examinarlas a contraluz y comprobar el paso de aire. Lavarlas con agua y dejarlas secar completamente antes de reinstalar.</t>
        </is>
      </c>
      <c r="G71" s="10" t="inlineStr">
        <is>
          <t>OK / No OK</t>
        </is>
      </c>
      <c r="H71" s="10" t="inlineStr"/>
      <c r="I71" s="11" t="inlineStr">
        <is>
          <t>Esponjas limpias, lavadas o cambiadas periódicamente para garantizar el aire de enfriamiento; cada 1 año</t>
        </is>
      </c>
      <c r="J71" s="13" t="inlineStr">
        <is>
          <t>Cobrable</t>
        </is>
      </c>
      <c r="K71" s="14" t="inlineStr">
        <is>
          <t>Polvo del shelter acumulado: reduce el aire de enfriamiento</t>
        </is>
      </c>
      <c r="L71" s="15" t="inlineStr">
        <is>
          <t>9.1.1 ; 10.3.1</t>
        </is>
      </c>
      <c r="M71" s="14" t="inlineStr">
        <is>
          <t>Lavar o reemplazar las esponjas y revisar el nivel de polvo de la cabina</t>
        </is>
      </c>
      <c r="N71" s="16" t="inlineStr">
        <is>
          <t>Los filtros de ventilación del chasis se encuentran obstruidos por polvo, lo que reduce la refrigeración del analizador.</t>
        </is>
      </c>
      <c r="O71" s="10" t="n"/>
      <c r="P71" s="10" t="n"/>
      <c r="Q71" s="10" t="inlineStr">
        <is>
          <t>Sí</t>
        </is>
      </c>
      <c r="R71" s="10" t="inlineStr">
        <is>
          <t>Sí</t>
        </is>
      </c>
      <c r="S71" s="11" t="inlineStr">
        <is>
          <t>Filter Sponge (3012299939)</t>
        </is>
      </c>
      <c r="T71" s="11" t="inlineStr">
        <is>
          <t>MT_A860VPB4 / MT_T5DMLT1N_APNA370</t>
        </is>
      </c>
      <c r="U71" s="17" t="inlineStr">
        <is>
          <t>Pendiente</t>
        </is>
      </c>
      <c r="V71" s="17" t="n"/>
      <c r="W71" s="10">
        <f>IF($G71&lt;&gt;"Numérico","",IF($V71="","Sin dato",IF(AND(OR(NOT(ISNUMBER($O71)),$V71&gt;=$O71),OR(NOT(ISNUMBER($P71)),$V71&lt;=$P71)),"Dentro de rango","Fuera de rango")))</f>
        <v/>
      </c>
      <c r="X71" s="17" t="n"/>
      <c r="Y71" s="18" t="n"/>
      <c r="Z71" s="16">
        <f>IF(OR($U71="",$U71="Conforme",$U71="No aplica",$U71="Pendiente"),"",$N71&amp;IF($W71="Fuera de rango"," Valor medido: "&amp;TEXT($V71,"0.####")&amp;IF($H71="",""," "&amp;$H71)&amp;IF(AND(ISNUMBER($O71),$V71&lt;$O71),", por debajo del límite inferior de "&amp;TEXT($O71,"0.####")&amp;IF($H71="",""," "&amp;$H71),"")&amp;IF(AND(ISNUMBER($P71),$V71&gt;$P71),", por encima del límite superior de "&amp;TEXT($P71,"0.####")&amp;IF($H71="",""," "&amp;$H71),"")&amp;".","")&amp;IF($Y71="",""," "&amp;$Y71&amp;IF(RIGHT($Y71,1)=".","","."))&amp;" Acción recomendada: "&amp;$M71&amp;IF(RIGHT($M71,1)=".","",".")&amp;IF($J71="Bloqueante"," El equipo no se libera hasta resolver este hallazgo.",IF($J71="Cobrable"," Se incluye en la cotización de repuestos y consumibles."," Se deja registrado como observación.")))</f>
        <v/>
      </c>
    </row>
    <row r="72" ht="48" customHeight="1">
      <c r="A72" s="10" t="inlineStr">
        <is>
          <t>9.1.1</t>
        </is>
      </c>
      <c r="B72" s="10" t="inlineStr">
        <is>
          <t>9. Sensores auxiliares</t>
        </is>
      </c>
      <c r="C72" s="10" t="inlineStr">
        <is>
          <t>9.1 Temperatura</t>
        </is>
      </c>
      <c r="D72" s="11" t="inlineStr">
        <is>
          <t>Temperatura del detector (DETECTOR TEMP)</t>
        </is>
      </c>
      <c r="E72" s="11" t="inlineStr">
        <is>
          <t>Valor de temperatura del sensor óptico en MENU / MAINTENANCE / ANALOG INPUT</t>
        </is>
      </c>
      <c r="F72" s="12" t="inlineStr">
        <is>
          <t>Ir a MENU / MAINTENANCE / ANALOG INPUT y leer el valor de temperatura del detector con el equipo estabilizado. Anotar el valor.</t>
        </is>
      </c>
      <c r="G72" s="10" t="inlineStr">
        <is>
          <t>Numérico</t>
        </is>
      </c>
      <c r="H72" s="10" t="inlineStr">
        <is>
          <t>°C</t>
        </is>
      </c>
      <c r="I72" s="11" t="inlineStr">
        <is>
          <t>La temperatura del detector debe mantenerse estable en torno al punto de diseño</t>
        </is>
      </c>
      <c r="J72" s="13" t="inlineStr">
        <is>
          <t>Bloqueante</t>
        </is>
      </c>
      <c r="K72" s="14" t="inlineStr">
        <is>
          <t>Temperatura de sala fuera de rango, termistor dañado, o resistencia del detector abierta</t>
        </is>
      </c>
      <c r="L72" s="15" t="inlineStr">
        <is>
          <t>10.3.1 ; 8.3.1 ; 7.1.2</t>
        </is>
      </c>
      <c r="M72" s="14" t="inlineStr">
        <is>
          <t>Descartar primero la sala; una lectura absurda apunta al termistor del detector</t>
        </is>
      </c>
      <c r="N72" s="16" t="inlineStr">
        <is>
          <t>La temperatura del detector se encuentra fuera del rango de operación especificado.</t>
        </is>
      </c>
      <c r="O72" s="10" t="n">
        <v>38</v>
      </c>
      <c r="P72" s="10" t="n">
        <v>48</v>
      </c>
      <c r="Q72" s="10" t="inlineStr">
        <is>
          <t>Sí</t>
        </is>
      </c>
      <c r="R72" s="10" t="inlineStr">
        <is>
          <t>No</t>
        </is>
      </c>
      <c r="S72" s="11" t="inlineStr"/>
      <c r="T72" s="11" t="inlineStr">
        <is>
          <t>OP_APNA-370 / P_ST-008-MAN</t>
        </is>
      </c>
      <c r="U72" s="17" t="inlineStr">
        <is>
          <t>Pendiente</t>
        </is>
      </c>
      <c r="V72" s="17" t="n"/>
      <c r="W72" s="10">
        <f>IF($G72&lt;&gt;"Numérico","",IF($V72="","Sin dato",IF(AND(OR(NOT(ISNUMBER($O72)),$V72&gt;=$O72),OR(NOT(ISNUMBER($P72)),$V72&lt;=$P72)),"Dentro de rango","Fuera de rango")))</f>
        <v/>
      </c>
      <c r="X72" s="17" t="n"/>
      <c r="Y72" s="18" t="n"/>
      <c r="Z72" s="16">
        <f>IF(OR($U72="",$U72="Conforme",$U72="No aplica",$U72="Pendiente"),"",$N72&amp;IF($W72="Fuera de rango"," Valor medido: "&amp;TEXT($V72,"0.####")&amp;IF($H72="",""," "&amp;$H72)&amp;IF(AND(ISNUMBER($O72),$V72&lt;$O72),", por debajo del límite inferior de "&amp;TEXT($O72,"0.####")&amp;IF($H72="",""," "&amp;$H72),"")&amp;IF(AND(ISNUMBER($P72),$V72&gt;$P72),", por encima del límite superior de "&amp;TEXT($P72,"0.####")&amp;IF($H72="",""," "&amp;$H72),"")&amp;".","")&amp;IF($Y72="",""," "&amp;$Y72&amp;IF(RIGHT($Y72,1)=".","","."))&amp;" Acción recomendada: "&amp;$M72&amp;IF(RIGHT($M72,1)=".","",".")&amp;IF($J72="Bloqueante"," El equipo no se libera hasta resolver este hallazgo.",IF($J72="Cobrable"," Se incluye en la cotización de repuestos y consumibles."," Se deja registrado como observación.")))</f>
        <v/>
      </c>
    </row>
    <row r="73" ht="48" customHeight="1">
      <c r="A73" s="10" t="inlineStr">
        <is>
          <t>9.2.1</t>
        </is>
      </c>
      <c r="B73" s="10" t="inlineStr">
        <is>
          <t>9. Sensores auxiliares</t>
        </is>
      </c>
      <c r="C73" s="10" t="inlineStr">
        <is>
          <t>9.2 Presión</t>
        </is>
      </c>
      <c r="D73" s="11" t="inlineStr">
        <is>
          <t>Presión interna del detector (PUMP PRESS)</t>
        </is>
      </c>
      <c r="E73" s="11" t="inlineStr">
        <is>
          <t>Presión del detector en el menú ANALOG INPUT</t>
        </is>
      </c>
      <c r="F73" s="12" t="inlineStr">
        <is>
          <t>Leer en ANALOG INPUT la presión del detector con el equipo en operación normal y la línea de muestra conectada. Anotar el valor estabilizado.</t>
        </is>
      </c>
      <c r="G73" s="10" t="inlineStr">
        <is>
          <t>Numérico</t>
        </is>
      </c>
      <c r="H73" s="10" t="inlineStr">
        <is>
          <t>kPa</t>
        </is>
      </c>
      <c r="I73" s="11" t="inlineStr">
        <is>
          <t>Rango de presión absoluta normal en operación</t>
        </is>
      </c>
      <c r="J73" s="13" t="inlineStr">
        <is>
          <t>Bloqueante</t>
        </is>
      </c>
      <c r="K73" s="14" t="inlineStr">
        <is>
          <t>Regulador desajustado, fuga interna, o diafragma de bomba desgastado</t>
        </is>
      </c>
      <c r="L73" s="15" t="inlineStr">
        <is>
          <t>5.5.4 ; 5.5.3</t>
        </is>
      </c>
      <c r="M73" s="14" t="inlineStr">
        <is>
          <t>Ajustar los reguladores antes de intervenir la bomba</t>
        </is>
      </c>
      <c r="N73" s="16" t="inlineStr">
        <is>
          <t>La presión interna del detector se encuentra fuera del rango normal de operación.</t>
        </is>
      </c>
      <c r="O73" s="10" t="n">
        <v>50</v>
      </c>
      <c r="P73" s="10" t="n">
        <v>54</v>
      </c>
      <c r="Q73" s="10" t="inlineStr">
        <is>
          <t>Sí</t>
        </is>
      </c>
      <c r="R73" s="10" t="inlineStr">
        <is>
          <t>No</t>
        </is>
      </c>
      <c r="S73" s="11" t="inlineStr"/>
      <c r="T73" s="11" t="inlineStr">
        <is>
          <t>MT_9156R938 / MT_KUS03MMP</t>
        </is>
      </c>
      <c r="U73" s="17" t="inlineStr">
        <is>
          <t>Pendiente</t>
        </is>
      </c>
      <c r="V73" s="17" t="n"/>
      <c r="W73" s="10">
        <f>IF($G73&lt;&gt;"Numérico","",IF($V73="","Sin dato",IF(AND(OR(NOT(ISNUMBER($O73)),$V73&gt;=$O73),OR(NOT(ISNUMBER($P73)),$V73&lt;=$P73)),"Dentro de rango","Fuera de rango")))</f>
        <v/>
      </c>
      <c r="X73" s="17" t="n"/>
      <c r="Y73" s="18" t="n"/>
      <c r="Z73" s="16">
        <f>IF(OR($U73="",$U73="Conforme",$U73="No aplica",$U73="Pendiente"),"",$N73&amp;IF($W73="Fuera de rango"," Valor medido: "&amp;TEXT($V73,"0.####")&amp;IF($H73="",""," "&amp;$H73)&amp;IF(AND(ISNUMBER($O73),$V73&lt;$O73),", por debajo del límite inferior de "&amp;TEXT($O73,"0.####")&amp;IF($H73="",""," "&amp;$H73),"")&amp;IF(AND(ISNUMBER($P73),$V73&gt;$P73),", por encima del límite superior de "&amp;TEXT($P73,"0.####")&amp;IF($H73="",""," "&amp;$H73),"")&amp;".","")&amp;IF($Y73="",""," "&amp;$Y73&amp;IF(RIGHT($Y73,1)=".","","."))&amp;" Acción recomendada: "&amp;$M73&amp;IF(RIGHT($M73,1)=".","",".")&amp;IF($J73="Bloqueante"," El equipo no se libera hasta resolver este hallazgo.",IF($J73="Cobrable"," Se incluye en la cotización de repuestos y consumibles."," Se deja registrado como observación.")))</f>
        <v/>
      </c>
    </row>
    <row r="74" ht="48" customHeight="1">
      <c r="A74" s="10" t="inlineStr">
        <is>
          <t>9.2.2</t>
        </is>
      </c>
      <c r="B74" s="10" t="inlineStr">
        <is>
          <t>9. Sensores auxiliares</t>
        </is>
      </c>
      <c r="C74" s="10" t="inlineStr">
        <is>
          <t>9.2 Presión</t>
        </is>
      </c>
      <c r="D74" s="11" t="inlineStr">
        <is>
          <t>Presión ambiental (AMBIENT PRESS)</t>
        </is>
      </c>
      <c r="E74" s="11" t="inlineStr">
        <is>
          <t>Que el valor del sensor de presión atmosférica sea coherente con la altitud del sitio</t>
        </is>
      </c>
      <c r="F74" s="12" t="inlineStr">
        <is>
          <t>Leer el valor de presión ambiental en ANALOG INPUT y compararlo con un barómetro patrón calibrado ubicado junto al equipo, verificando la coherencia con la altitud del sitio.</t>
        </is>
      </c>
      <c r="G74" s="10" t="inlineStr">
        <is>
          <t>Numérico</t>
        </is>
      </c>
      <c r="H74" s="10" t="inlineStr">
        <is>
          <t>kPa</t>
        </is>
      </c>
      <c r="I74" s="11" t="inlineStr">
        <is>
          <t>Presión ambiental medida por el sensor PS_3</t>
        </is>
      </c>
      <c r="J74" s="13" t="inlineStr">
        <is>
          <t>Bloqueante</t>
        </is>
      </c>
      <c r="K74" s="14" t="inlineStr">
        <is>
          <t>Transductor descalibrado por la altitud del sitio, o dañado</t>
        </is>
      </c>
      <c r="L74" s="15" t="inlineStr">
        <is>
          <t>9.2.1</t>
        </is>
      </c>
      <c r="M74" s="14" t="inlineStr">
        <is>
          <t>Comparar contra barómetro patrón y compensar el intercepto con PRESS ADJUSTMENT</t>
        </is>
      </c>
      <c r="N74" s="16" t="inlineStr">
        <is>
          <t>La lectura de presión barométrica del analizador no corresponde a la presión real del sitio.</t>
        </is>
      </c>
      <c r="O74" s="10" t="n">
        <v>70</v>
      </c>
      <c r="P74" s="10" t="n">
        <v>110</v>
      </c>
      <c r="Q74" s="10" t="inlineStr">
        <is>
          <t>Sí</t>
        </is>
      </c>
      <c r="R74" s="10" t="inlineStr">
        <is>
          <t>No</t>
        </is>
      </c>
      <c r="S74" s="11" t="inlineStr"/>
      <c r="T74" s="11" t="inlineStr">
        <is>
          <t>OP_APNA-370 / Procedimiento Ajuste de Presión Ambiente</t>
        </is>
      </c>
      <c r="U74" s="17" t="inlineStr">
        <is>
          <t>Pendiente</t>
        </is>
      </c>
      <c r="V74" s="17" t="n"/>
      <c r="W74" s="10">
        <f>IF($G74&lt;&gt;"Numérico","",IF($V74="","Sin dato",IF(AND(OR(NOT(ISNUMBER($O74)),$V74&gt;=$O74),OR(NOT(ISNUMBER($P74)),$V74&lt;=$P74)),"Dentro de rango","Fuera de rango")))</f>
        <v/>
      </c>
      <c r="X74" s="17" t="n"/>
      <c r="Y74" s="18" t="n"/>
      <c r="Z74" s="16">
        <f>IF(OR($U74="",$U74="Conforme",$U74="No aplica",$U74="Pendiente"),"",$N74&amp;IF($W74="Fuera de rango"," Valor medido: "&amp;TEXT($V74,"0.####")&amp;IF($H74="",""," "&amp;$H74)&amp;IF(AND(ISNUMBER($O74),$V74&lt;$O74),", por debajo del límite inferior de "&amp;TEXT($O74,"0.####")&amp;IF($H74="",""," "&amp;$H74),"")&amp;IF(AND(ISNUMBER($P74),$V74&gt;$P74),", por encima del límite superior de "&amp;TEXT($P74,"0.####")&amp;IF($H74="",""," "&amp;$H74),"")&amp;".","")&amp;IF($Y74="",""," "&amp;$Y74&amp;IF(RIGHT($Y74,1)=".","","."))&amp;" Acción recomendada: "&amp;$M74&amp;IF(RIGHT($M74,1)=".","",".")&amp;IF($J74="Bloqueante"," El equipo no se libera hasta resolver este hallazgo.",IF($J74="Cobrable"," Se incluye en la cotización de repuestos y consumibles."," Se deja registrado como observación.")))</f>
        <v/>
      </c>
    </row>
    <row r="75" ht="48" customHeight="1">
      <c r="A75" s="10" t="inlineStr">
        <is>
          <t>9.3.1</t>
        </is>
      </c>
      <c r="B75" s="10" t="inlineStr">
        <is>
          <t>9. Sensores auxiliares</t>
        </is>
      </c>
      <c r="C75" s="10" t="inlineStr">
        <is>
          <t>9.3 Tensiones internas</t>
        </is>
      </c>
      <c r="D75" s="11" t="inlineStr">
        <is>
          <t>Canal de alimentación interna de 24 V DC</t>
        </is>
      </c>
      <c r="E75" s="11" t="inlineStr">
        <is>
          <t>Que la tensión de 24 V esté dentro de tolerancia, en la página 2 de ANALOG INPUT</t>
        </is>
      </c>
      <c r="F75" s="12" t="inlineStr">
        <is>
          <t>Leer el valor DC 24V en la segunda página de ANALOG INPUT. Para verificación independiente, medir con multímetro en el punto de prueba de 24 V de la tarjeta ADC.</t>
        </is>
      </c>
      <c r="G75" s="10" t="inlineStr">
        <is>
          <t>Numérico</t>
        </is>
      </c>
      <c r="H75" s="10" t="inlineStr">
        <is>
          <t>V</t>
        </is>
      </c>
      <c r="I75" s="11" t="inlineStr">
        <is>
          <t>Voltaje de suministro para bombas, solenoides y elementos calentadores (24 V ± 0,5 V)</t>
        </is>
      </c>
      <c r="J75" s="13" t="inlineStr">
        <is>
          <t>Bloqueante</t>
        </is>
      </c>
      <c r="K75" s="14" t="inlineStr">
        <is>
          <t>Fuente degradada o carga excesiva sobre el riel</t>
        </is>
      </c>
      <c r="L75" s="15" t="inlineStr">
        <is>
          <t>7.5.1 ; 7.1.2</t>
        </is>
      </c>
      <c r="M75" s="14" t="inlineStr">
        <is>
          <t>Medir en el punto de prueba de la tarjeta; si la fuente no regula, reemplazarla</t>
        </is>
      </c>
      <c r="N75" s="16" t="inlineStr">
        <is>
          <t>La tensión interna de 24 V del analizador se encuentra fuera de tolerancia.</t>
        </is>
      </c>
      <c r="O75" s="10" t="n">
        <v>23.5</v>
      </c>
      <c r="P75" s="10" t="n">
        <v>24.5</v>
      </c>
      <c r="Q75" s="10" t="inlineStr">
        <is>
          <t>Sí</t>
        </is>
      </c>
      <c r="R75" s="10" t="inlineStr">
        <is>
          <t>No</t>
        </is>
      </c>
      <c r="S75" s="11" t="inlineStr"/>
      <c r="T75" s="11" t="inlineStr">
        <is>
          <t>OP_APNA-370 / Service Manual</t>
        </is>
      </c>
      <c r="U75" s="17" t="inlineStr">
        <is>
          <t>Pendiente</t>
        </is>
      </c>
      <c r="V75" s="17" t="n"/>
      <c r="W75" s="10">
        <f>IF($G75&lt;&gt;"Numérico","",IF($V75="","Sin dato",IF(AND(OR(NOT(ISNUMBER($O75)),$V75&gt;=$O75),OR(NOT(ISNUMBER($P75)),$V75&lt;=$P75)),"Dentro de rango","Fuera de rango")))</f>
        <v/>
      </c>
      <c r="X75" s="17" t="n"/>
      <c r="Y75" s="18" t="n"/>
      <c r="Z75" s="16">
        <f>IF(OR($U75="",$U75="Conforme",$U75="No aplica",$U75="Pendiente"),"",$N75&amp;IF($W75="Fuera de rango"," Valor medido: "&amp;TEXT($V75,"0.####")&amp;IF($H75="",""," "&amp;$H75)&amp;IF(AND(ISNUMBER($O75),$V75&lt;$O75),", por debajo del límite inferior de "&amp;TEXT($O75,"0.####")&amp;IF($H75="",""," "&amp;$H75),"")&amp;IF(AND(ISNUMBER($P75),$V75&gt;$P75),", por encima del límite superior de "&amp;TEXT($P75,"0.####")&amp;IF($H75="",""," "&amp;$H75),"")&amp;".","")&amp;IF($Y75="",""," "&amp;$Y75&amp;IF(RIGHT($Y75,1)=".","","."))&amp;" Acción recomendada: "&amp;$M75&amp;IF(RIGHT($M75,1)=".","",".")&amp;IF($J75="Bloqueante"," El equipo no se libera hasta resolver este hallazgo.",IF($J75="Cobrable"," Se incluye en la cotización de repuestos y consumibles."," Se deja registrado como observación.")))</f>
        <v/>
      </c>
    </row>
    <row r="76" ht="48" customHeight="1">
      <c r="A76" s="10" t="inlineStr">
        <is>
          <t>9.3.2</t>
        </is>
      </c>
      <c r="B76" s="10" t="inlineStr">
        <is>
          <t>9. Sensores auxiliares</t>
        </is>
      </c>
      <c r="C76" s="10" t="inlineStr">
        <is>
          <t>9.3 Tensiones internas</t>
        </is>
      </c>
      <c r="D76" s="11" t="inlineStr">
        <is>
          <t>Canal de alimentación interna de 5 V DC</t>
        </is>
      </c>
      <c r="E76" s="11" t="inlineStr">
        <is>
          <t>Que la tensión de 5 V esté dentro de tolerancia, en la página 2 de ANALOG INPUT</t>
        </is>
      </c>
      <c r="F76" s="12" t="inlineStr">
        <is>
          <t>Leer el valor DC 5V en la segunda página de ANALOG INPUT. Para verificación independiente, medir con multímetro en el punto de prueba de 5 V de la tarjeta ADC.</t>
        </is>
      </c>
      <c r="G76" s="10" t="inlineStr">
        <is>
          <t>Numérico</t>
        </is>
      </c>
      <c r="H76" s="10" t="inlineStr">
        <is>
          <t>V</t>
        </is>
      </c>
      <c r="I76" s="11" t="inlineStr">
        <is>
          <t>Voltaje de suministro para circuitos digitales y de control lógico (5 V ± 0,5 V)</t>
        </is>
      </c>
      <c r="J76" s="13" t="inlineStr">
        <is>
          <t>Bloqueante</t>
        </is>
      </c>
      <c r="K76" s="14" t="inlineStr">
        <is>
          <t>Regulador de la fuente fuera de tolerancia</t>
        </is>
      </c>
      <c r="L76" s="15" t="inlineStr">
        <is>
          <t>7.5.1 ; 7.1.1</t>
        </is>
      </c>
      <c r="M76" s="14" t="inlineStr">
        <is>
          <t>Medir en el punto de prueba; si está fuera de ±0,5 V, reemplazar la fuente</t>
        </is>
      </c>
      <c r="N76" s="16" t="inlineStr">
        <is>
          <t>La tensión interna de 5 V del analizador se encuentra fuera de tolerancia.</t>
        </is>
      </c>
      <c r="O76" s="10" t="n">
        <v>4.5</v>
      </c>
      <c r="P76" s="10" t="n">
        <v>5.5</v>
      </c>
      <c r="Q76" s="10" t="inlineStr">
        <is>
          <t>Sí</t>
        </is>
      </c>
      <c r="R76" s="10" t="inlineStr">
        <is>
          <t>No</t>
        </is>
      </c>
      <c r="S76" s="11" t="inlineStr"/>
      <c r="T76" s="11" t="inlineStr">
        <is>
          <t>OP_APNA-370 / Service Manual</t>
        </is>
      </c>
      <c r="U76" s="17" t="inlineStr">
        <is>
          <t>Pendiente</t>
        </is>
      </c>
      <c r="V76" s="17" t="n"/>
      <c r="W76" s="10">
        <f>IF($G76&lt;&gt;"Numérico","",IF($V76="","Sin dato",IF(AND(OR(NOT(ISNUMBER($O76)),$V76&gt;=$O76),OR(NOT(ISNUMBER($P76)),$V76&lt;=$P76)),"Dentro de rango","Fuera de rango")))</f>
        <v/>
      </c>
      <c r="X76" s="17" t="n"/>
      <c r="Y76" s="18" t="n"/>
      <c r="Z76" s="16">
        <f>IF(OR($U76="",$U76="Conforme",$U76="No aplica",$U76="Pendiente"),"",$N76&amp;IF($W76="Fuera de rango"," Valor medido: "&amp;TEXT($V76,"0.####")&amp;IF($H76="",""," "&amp;$H76)&amp;IF(AND(ISNUMBER($O76),$V76&lt;$O76),", por debajo del límite inferior de "&amp;TEXT($O76,"0.####")&amp;IF($H76="",""," "&amp;$H76),"")&amp;IF(AND(ISNUMBER($P76),$V76&gt;$P76),", por encima del límite superior de "&amp;TEXT($P76,"0.####")&amp;IF($H76="",""," "&amp;$H76),"")&amp;".","")&amp;IF($Y76="",""," "&amp;$Y76&amp;IF(RIGHT($Y76,1)=".","","."))&amp;" Acción recomendada: "&amp;$M76&amp;IF(RIGHT($M76,1)=".","",".")&amp;IF($J76="Bloqueante"," El equipo no se libera hasta resolver este hallazgo.",IF($J76="Cobrable"," Se incluye en la cotización de repuestos y consumibles."," Se deja registrado como observación.")))</f>
        <v/>
      </c>
    </row>
    <row r="77" ht="48" customHeight="1">
      <c r="A77" s="10" t="inlineStr">
        <is>
          <t>10.1.1</t>
        </is>
      </c>
      <c r="B77" s="10" t="inlineStr">
        <is>
          <t>10. Gabinete, montaje e instalación</t>
        </is>
      </c>
      <c r="C77" s="10" t="inlineStr">
        <is>
          <t>10.1 Gabinete y chasis</t>
        </is>
      </c>
      <c r="D77" s="11" t="inlineStr">
        <is>
          <t>Dimensiones físicas externas</t>
        </is>
      </c>
      <c r="E77" s="11" t="inlineStr">
        <is>
          <t>Que el espacio asignado en el rack cumpla con las medidas del chasis del analizador</t>
        </is>
      </c>
      <c r="F77" s="12" t="inlineStr">
        <is>
          <t>Medir con flexómetro el ancho, alto y profundidad disponibles en el rack y contrastarlos con las dimensiones del chasis, considerando el espacio para mangueras y cables.</t>
        </is>
      </c>
      <c r="G77" s="10" t="inlineStr">
        <is>
          <t>OK / No OK</t>
        </is>
      </c>
      <c r="H77" s="10" t="inlineStr"/>
      <c r="I77" s="11" t="inlineStr">
        <is>
          <t>Gabinete estándar de 430 mm ancho x 221 mm alto x 550 mm profundidad (5U, 222 mm)</t>
        </is>
      </c>
      <c r="J77" s="13" t="inlineStr">
        <is>
          <t>Alerta</t>
        </is>
      </c>
      <c r="K77" s="14" t="inlineStr">
        <is>
          <t>Espacio de rack insuficiente para el chasis y sus conexiones</t>
        </is>
      </c>
      <c r="L77" s="15" t="inlineStr">
        <is>
          <t>10.1.2</t>
        </is>
      </c>
      <c r="M77" s="14" t="inlineStr">
        <is>
          <t>Liberar el espacio de 5U y dejar holgura trasera para mangueras y cables</t>
        </is>
      </c>
      <c r="N77" s="16" t="inlineStr">
        <is>
          <t>El espacio asignado en el rack no es suficiente para el chasis del analizador y sus conexiones.</t>
        </is>
      </c>
      <c r="O77" s="10" t="n"/>
      <c r="P77" s="10" t="n"/>
      <c r="Q77" s="10" t="inlineStr">
        <is>
          <t>Sí</t>
        </is>
      </c>
      <c r="R77" s="10" t="inlineStr">
        <is>
          <t>Sí</t>
        </is>
      </c>
      <c r="S77" s="11" t="inlineStr"/>
      <c r="T77" s="11" t="inlineStr">
        <is>
          <t>OP_APNA-370 (Manual de Operación)</t>
        </is>
      </c>
      <c r="U77" s="17" t="inlineStr">
        <is>
          <t>Pendiente</t>
        </is>
      </c>
      <c r="V77" s="17" t="n"/>
      <c r="W77" s="10">
        <f>IF($G77&lt;&gt;"Numérico","",IF($V77="","Sin dato",IF(AND(OR(NOT(ISNUMBER($O77)),$V77&gt;=$O77),OR(NOT(ISNUMBER($P77)),$V77&lt;=$P77)),"Dentro de rango","Fuera de rango")))</f>
        <v/>
      </c>
      <c r="X77" s="17" t="n"/>
      <c r="Y77" s="18" t="n"/>
      <c r="Z77" s="16">
        <f>IF(OR($U77="",$U77="Conforme",$U77="No aplica",$U77="Pendiente"),"",$N77&amp;IF($W77="Fuera de rango"," Valor medido: "&amp;TEXT($V77,"0.####")&amp;IF($H77="",""," "&amp;$H77)&amp;IF(AND(ISNUMBER($O77),$V77&lt;$O77),", por debajo del límite inferior de "&amp;TEXT($O77,"0.####")&amp;IF($H77="",""," "&amp;$H77),"")&amp;IF(AND(ISNUMBER($P77),$V77&gt;$P77),", por encima del límite superior de "&amp;TEXT($P77,"0.####")&amp;IF($H77="",""," "&amp;$H77),"")&amp;".","")&amp;IF($Y77="",""," "&amp;$Y77&amp;IF(RIGHT($Y77,1)=".","","."))&amp;" Acción recomendada: "&amp;$M77&amp;IF(RIGHT($M77,1)=".","",".")&amp;IF($J77="Bloqueante"," El equipo no se libera hasta resolver este hallazgo.",IF($J77="Cobrable"," Se incluye en la cotización de repuestos y consumibles."," Se deja registrado como observación.")))</f>
        <v/>
      </c>
    </row>
    <row r="78" ht="48" customHeight="1">
      <c r="A78" s="10" t="inlineStr">
        <is>
          <t>10.1.2</t>
        </is>
      </c>
      <c r="B78" s="10" t="inlineStr">
        <is>
          <t>10. Gabinete, montaje e instalación</t>
        </is>
      </c>
      <c r="C78" s="10" t="inlineStr">
        <is>
          <t>10.1 Gabinete y chasis</t>
        </is>
      </c>
      <c r="D78" s="11" t="inlineStr">
        <is>
          <t>Masa total del analizador</t>
        </is>
      </c>
      <c r="E78" s="11" t="inlineStr">
        <is>
          <t>Que la base de soporte o bandeja del rack tolere el peso neto del analizador</t>
        </is>
      </c>
      <c r="F78" s="12" t="inlineStr">
        <is>
          <t>Verificar en la placa del equipo o en el manual la masa del analizador y confirmar que la bandeja o los rieles del rack estén dimensionados para soportarla. Mover el equipo entre dos personas.</t>
        </is>
      </c>
      <c r="G78" s="10" t="inlineStr">
        <is>
          <t>Numérico</t>
        </is>
      </c>
      <c r="H78" s="10" t="inlineStr">
        <is>
          <t>kg</t>
        </is>
      </c>
      <c r="I78" s="11" t="inlineStr">
        <is>
          <t>Peso neto aproximado del equipo sin accesorios; requiere al menos 2 personas para su traslado</t>
        </is>
      </c>
      <c r="J78" s="13" t="inlineStr">
        <is>
          <t>Alerta</t>
        </is>
      </c>
      <c r="K78" s="14" t="inlineStr">
        <is>
          <t>Bandeja o rieles no dimensionados para el peso del equipo</t>
        </is>
      </c>
      <c r="L78" s="15" t="inlineStr">
        <is>
          <t>10.1.1</t>
        </is>
      </c>
      <c r="M78" s="14" t="inlineStr">
        <is>
          <t>Instalar soporte adecuado; el traslado requiere dos personas</t>
        </is>
      </c>
      <c r="N78" s="16" t="inlineStr">
        <is>
          <t>El soporte del rack no está dimensionado para el peso del analizador.</t>
        </is>
      </c>
      <c r="O78" s="10" t="n">
        <v>20</v>
      </c>
      <c r="P78" s="10" t="n">
        <v>22</v>
      </c>
      <c r="Q78" s="10" t="inlineStr">
        <is>
          <t>Sí</t>
        </is>
      </c>
      <c r="R78" s="10" t="inlineStr">
        <is>
          <t>No</t>
        </is>
      </c>
      <c r="S78" s="11" t="inlineStr"/>
      <c r="T78" s="11" t="inlineStr">
        <is>
          <t>OP_APNA-370 (Manual de Operación)</t>
        </is>
      </c>
      <c r="U78" s="17" t="inlineStr">
        <is>
          <t>Pendiente</t>
        </is>
      </c>
      <c r="V78" s="17" t="n"/>
      <c r="W78" s="10">
        <f>IF($G78&lt;&gt;"Numérico","",IF($V78="","Sin dato",IF(AND(OR(NOT(ISNUMBER($O78)),$V78&gt;=$O78),OR(NOT(ISNUMBER($P78)),$V78&lt;=$P78)),"Dentro de rango","Fuera de rango")))</f>
        <v/>
      </c>
      <c r="X78" s="17" t="n"/>
      <c r="Y78" s="18" t="n"/>
      <c r="Z78" s="16">
        <f>IF(OR($U78="",$U78="Conforme",$U78="No aplica",$U78="Pendiente"),"",$N78&amp;IF($W78="Fuera de rango"," Valor medido: "&amp;TEXT($V78,"0.####")&amp;IF($H78="",""," "&amp;$H78)&amp;IF(AND(ISNUMBER($O78),$V78&lt;$O78),", por debajo del límite inferior de "&amp;TEXT($O78,"0.####")&amp;IF($H78="",""," "&amp;$H78),"")&amp;IF(AND(ISNUMBER($P78),$V78&gt;$P78),", por encima del límite superior de "&amp;TEXT($P78,"0.####")&amp;IF($H78="",""," "&amp;$H78),"")&amp;".","")&amp;IF($Y78="",""," "&amp;$Y78&amp;IF(RIGHT($Y78,1)=".","","."))&amp;" Acción recomendada: "&amp;$M78&amp;IF(RIGHT($M78,1)=".","",".")&amp;IF($J78="Bloqueante"," El equipo no se libera hasta resolver este hallazgo.",IF($J78="Cobrable"," Se incluye en la cotización de repuestos y consumibles."," Se deja registrado como observación.")))</f>
        <v/>
      </c>
    </row>
    <row r="79" ht="48" customHeight="1">
      <c r="A79" s="10" t="inlineStr">
        <is>
          <t>10.1.3</t>
        </is>
      </c>
      <c r="B79" s="10" t="inlineStr">
        <is>
          <t>10. Gabinete, montaje e instalación</t>
        </is>
      </c>
      <c r="C79" s="10" t="inlineStr">
        <is>
          <t>10.1 Gabinete y chasis</t>
        </is>
      </c>
      <c r="D79" s="11" t="inlineStr">
        <is>
          <t>Tornillos de fijación de la cubierta superior</t>
        </is>
      </c>
      <c r="E79" s="11" t="inlineStr">
        <is>
          <t>Que todos los tornillos M3 de la tapa metálica superior estén presentes y ajustados</t>
        </is>
      </c>
      <c r="F79" s="12" t="inlineStr">
        <is>
          <t>Verificar visualmente y con destornillador que los 8 tornillos M3 de la tapa metálica superior estén presentes y ajustados, sin apretar en exceso.</t>
        </is>
      </c>
      <c r="G79" s="10" t="inlineStr">
        <is>
          <t>Sí/No</t>
        </is>
      </c>
      <c r="H79" s="10" t="inlineStr"/>
      <c r="I79" s="11" t="inlineStr">
        <is>
          <t>Tapa asegurada firmemente con sus 8 tornillos M3, para evitar vibraciones e ingreso de polvo</t>
        </is>
      </c>
      <c r="J79" s="13" t="inlineStr">
        <is>
          <t>Cobrable</t>
        </is>
      </c>
      <c r="K79" s="14" t="inlineStr">
        <is>
          <t>Tornillos ausentes o flojos por vibración</t>
        </is>
      </c>
      <c r="L79" s="15" t="inlineStr">
        <is>
          <t>8.3.1</t>
        </is>
      </c>
      <c r="M79" s="14" t="inlineStr">
        <is>
          <t>Reponer y ajustar los 8 tornillos M3 de la tapa</t>
        </is>
      </c>
      <c r="N79" s="16" t="inlineStr">
        <is>
          <t>Faltan o están flojos tornillos de la cubierta superior del analizador.</t>
        </is>
      </c>
      <c r="O79" s="10" t="n"/>
      <c r="P79" s="10" t="n"/>
      <c r="Q79" s="10" t="inlineStr">
        <is>
          <t>Sí</t>
        </is>
      </c>
      <c r="R79" s="10" t="inlineStr">
        <is>
          <t>No</t>
        </is>
      </c>
      <c r="S79" s="11" t="inlineStr">
        <is>
          <t>Screw (3030049516)</t>
        </is>
      </c>
      <c r="T79" s="11" t="inlineStr">
        <is>
          <t>MT_T5DMLT1N_APNA370 / MT_N4CAMPC1_APNA-370_230705_MTTO</t>
        </is>
      </c>
      <c r="U79" s="17" t="inlineStr">
        <is>
          <t>Pendiente</t>
        </is>
      </c>
      <c r="V79" s="17" t="n"/>
      <c r="W79" s="10">
        <f>IF($G79&lt;&gt;"Numérico","",IF($V79="","Sin dato",IF(AND(OR(NOT(ISNUMBER($O79)),$V79&gt;=$O79),OR(NOT(ISNUMBER($P79)),$V79&lt;=$P79)),"Dentro de rango","Fuera de rango")))</f>
        <v/>
      </c>
      <c r="X79" s="17" t="n"/>
      <c r="Y79" s="18" t="n"/>
      <c r="Z79" s="16">
        <f>IF(OR($U79="",$U79="Conforme",$U79="No aplica",$U79="Pendiente"),"",$N79&amp;IF($W79="Fuera de rango"," Valor medido: "&amp;TEXT($V79,"0.####")&amp;IF($H79="",""," "&amp;$H79)&amp;IF(AND(ISNUMBER($O79),$V79&lt;$O79),", por debajo del límite inferior de "&amp;TEXT($O79,"0.####")&amp;IF($H79="",""," "&amp;$H79),"")&amp;IF(AND(ISNUMBER($P79),$V79&gt;$P79),", por encima del límite superior de "&amp;TEXT($P79,"0.####")&amp;IF($H79="",""," "&amp;$H79),"")&amp;".","")&amp;IF($Y79="",""," "&amp;$Y79&amp;IF(RIGHT($Y79,1)=".","","."))&amp;" Acción recomendada: "&amp;$M79&amp;IF(RIGHT($M79,1)=".","",".")&amp;IF($J79="Bloqueante"," El equipo no se libera hasta resolver este hallazgo.",IF($J79="Cobrable"," Se incluye en la cotización de repuestos y consumibles."," Se deja registrado como observación.")))</f>
        <v/>
      </c>
    </row>
    <row r="80" ht="48" customHeight="1">
      <c r="A80" s="10" t="inlineStr">
        <is>
          <t>10.1.4</t>
        </is>
      </c>
      <c r="B80" s="10" t="inlineStr">
        <is>
          <t>10. Gabinete, montaje e instalación</t>
        </is>
      </c>
      <c r="C80" s="10" t="inlineStr">
        <is>
          <t>10.1 Gabinete y chasis</t>
        </is>
      </c>
      <c r="D80" s="11" t="inlineStr">
        <is>
          <t>Casquillos de bisagra de la puerta frontal</t>
        </is>
      </c>
      <c r="E80" s="11" t="inlineStr">
        <is>
          <t>Que la puerta delantera esté acoplada y gire suavemente</t>
        </is>
      </c>
      <c r="F80" s="12" t="inlineStr">
        <is>
          <t>Abrir y cerrar la puerta delantera varias veces, verificar que gire suavemente y quede alineada, e inspeccionar los casquillos de bisagra buscando desgaste u holgura.</t>
        </is>
      </c>
      <c r="G80" s="10" t="inlineStr">
        <is>
          <t>OK / No OK</t>
        </is>
      </c>
      <c r="H80" s="10" t="inlineStr"/>
      <c r="I80" s="11" t="inlineStr">
        <is>
          <t>Casquillos instalados, para evitar que la puerta delantera se descuelgue o se desacomode</t>
        </is>
      </c>
      <c r="J80" s="13" t="inlineStr">
        <is>
          <t>Cobrable</t>
        </is>
      </c>
      <c r="K80" s="14" t="inlineStr">
        <is>
          <t>Casquillo desgastado: la puerta se descuelga</t>
        </is>
      </c>
      <c r="L80" s="15" t="inlineStr">
        <is>
          <t>10.1.3</t>
        </is>
      </c>
      <c r="M80" s="14" t="inlineStr">
        <is>
          <t>Reemplazar los casquillos de bisagra y realinear la puerta</t>
        </is>
      </c>
      <c r="N80" s="16" t="inlineStr">
        <is>
          <t>Los casquillos de bisagra de la puerta frontal están desgastados: la puerta se descuelga.</t>
        </is>
      </c>
      <c r="O80" s="10" t="n"/>
      <c r="P80" s="10" t="n"/>
      <c r="Q80" s="10" t="inlineStr">
        <is>
          <t>Sí</t>
        </is>
      </c>
      <c r="R80" s="10" t="inlineStr">
        <is>
          <t>Sí</t>
        </is>
      </c>
      <c r="S80" s="11" t="inlineStr">
        <is>
          <t>Door Hinge (3012304034) · Hinji Bush (3012304035)</t>
        </is>
      </c>
      <c r="T80" s="11" t="inlineStr">
        <is>
          <t>MT_1TLF2RYU_APNA370_220511 / MT_A860VPB4</t>
        </is>
      </c>
      <c r="U80" s="17" t="inlineStr">
        <is>
          <t>Pendiente</t>
        </is>
      </c>
      <c r="V80" s="17" t="n"/>
      <c r="W80" s="10">
        <f>IF($G80&lt;&gt;"Numérico","",IF($V80="","Sin dato",IF(AND(OR(NOT(ISNUMBER($O80)),$V80&gt;=$O80),OR(NOT(ISNUMBER($P80)),$V80&lt;=$P80)),"Dentro de rango","Fuera de rango")))</f>
        <v/>
      </c>
      <c r="X80" s="17" t="n"/>
      <c r="Y80" s="18" t="n"/>
      <c r="Z80" s="16">
        <f>IF(OR($U80="",$U80="Conforme",$U80="No aplica",$U80="Pendiente"),"",$N80&amp;IF($W80="Fuera de rango"," Valor medido: "&amp;TEXT($V80,"0.####")&amp;IF($H80="",""," "&amp;$H80)&amp;IF(AND(ISNUMBER($O80),$V80&lt;$O80),", por debajo del límite inferior de "&amp;TEXT($O80,"0.####")&amp;IF($H80="",""," "&amp;$H80),"")&amp;IF(AND(ISNUMBER($P80),$V80&gt;$P80),", por encima del límite superior de "&amp;TEXT($P80,"0.####")&amp;IF($H80="",""," "&amp;$H80),"")&amp;".","")&amp;IF($Y80="",""," "&amp;$Y80&amp;IF(RIGHT($Y80,1)=".","","."))&amp;" Acción recomendada: "&amp;$M80&amp;IF(RIGHT($M80,1)=".","",".")&amp;IF($J80="Bloqueante"," El equipo no se libera hasta resolver este hallazgo.",IF($J80="Cobrable"," Se incluye en la cotización de repuestos y consumibles."," Se deja registrado como observación.")))</f>
        <v/>
      </c>
    </row>
    <row r="81" ht="48" customHeight="1">
      <c r="A81" s="10" t="inlineStr">
        <is>
          <t>10.2.1</t>
        </is>
      </c>
      <c r="B81" s="10" t="inlineStr">
        <is>
          <t>10. Gabinete, montaje e instalación</t>
        </is>
      </c>
      <c r="C81" s="10" t="inlineStr">
        <is>
          <t>10.2 Conexiones neumáticas traseras</t>
        </is>
      </c>
      <c r="D81" s="11" t="inlineStr">
        <is>
          <t>Racores y férulas en los puertos traseros</t>
        </is>
      </c>
      <c r="E81" s="11" t="inlineStr">
        <is>
          <t>Que todos los puertos neumáticos tengan instaladas las tuercas (Cap Nut) y férulas (Sleeve)</t>
        </is>
      </c>
      <c r="F81" s="12" t="inlineStr">
        <is>
          <t>Inspeccionar cada puerto neumático trasero y verificar que tenga su tuerca y su férula instaladas. Extraer una manguera para confirmar que la férula esté montada sobre el tubo.</t>
        </is>
      </c>
      <c r="G81" s="10" t="inlineStr">
        <is>
          <t>Presente / Ausente</t>
        </is>
      </c>
      <c r="H81" s="10" t="inlineStr"/>
      <c r="I81" s="11" t="inlineStr">
        <is>
          <t>Puertos equipados con racores de PVDF para asegurar el sello de teflón; evitar mangueras sueltas</t>
        </is>
      </c>
      <c r="J81" s="13" t="inlineStr">
        <is>
          <t>Bloqueante</t>
        </is>
      </c>
      <c r="K81" s="14" t="inlineStr">
        <is>
          <t>Férula o tuerca ausente: ingreso de aire falso por los puertos</t>
        </is>
      </c>
      <c r="L81" s="15" t="inlineStr">
        <is>
          <t>5.5.4 ; 3.1.1 ; 5.2.1</t>
        </is>
      </c>
      <c r="M81" s="14" t="inlineStr">
        <is>
          <t>Instalar férulas y tuercas de PVDF y repetir la prueba de hermeticidad antes de calibrar</t>
        </is>
      </c>
      <c r="N81" s="16" t="inlineStr">
        <is>
          <t>Faltan racores o férulas de sellado en los puertos neumáticos posteriores, lo que permite el ingreso de aire ambiente y altera la medición.</t>
        </is>
      </c>
      <c r="O81" s="10" t="n"/>
      <c r="P81" s="10" t="n"/>
      <c r="Q81" s="10" t="inlineStr">
        <is>
          <t>Sí</t>
        </is>
      </c>
      <c r="R81" s="10" t="inlineStr">
        <is>
          <t>Sí</t>
        </is>
      </c>
      <c r="S81" s="11" t="inlineStr">
        <is>
          <t>Cap Nut / S020020-6PVDF (3030021779) · Sleeve / SO2001-6 (3030021777)</t>
        </is>
      </c>
      <c r="T81" s="11" t="inlineStr">
        <is>
          <t>MT_1TLF2RYU_APNA370_220511 / MT_JV765TV0</t>
        </is>
      </c>
      <c r="U81" s="17" t="inlineStr">
        <is>
          <t>Pendiente</t>
        </is>
      </c>
      <c r="V81" s="17" t="n"/>
      <c r="W81" s="10">
        <f>IF($G81&lt;&gt;"Numérico","",IF($V81="","Sin dato",IF(AND(OR(NOT(ISNUMBER($O81)),$V81&gt;=$O81),OR(NOT(ISNUMBER($P81)),$V81&lt;=$P81)),"Dentro de rango","Fuera de rango")))</f>
        <v/>
      </c>
      <c r="X81" s="17" t="n"/>
      <c r="Y81" s="18" t="n"/>
      <c r="Z81" s="16">
        <f>IF(OR($U81="",$U81="Conforme",$U81="No aplica",$U81="Pendiente"),"",$N81&amp;IF($W81="Fuera de rango"," Valor medido: "&amp;TEXT($V81,"0.####")&amp;IF($H81="",""," "&amp;$H81)&amp;IF(AND(ISNUMBER($O81),$V81&lt;$O81),", por debajo del límite inferior de "&amp;TEXT($O81,"0.####")&amp;IF($H81="",""," "&amp;$H81),"")&amp;IF(AND(ISNUMBER($P81),$V81&gt;$P81),", por encima del límite superior de "&amp;TEXT($P81,"0.####")&amp;IF($H81="",""," "&amp;$H81),"")&amp;".","")&amp;IF($Y81="",""," "&amp;$Y81&amp;IF(RIGHT($Y81,1)=".","","."))&amp;" Acción recomendada: "&amp;$M81&amp;IF(RIGHT($M81,1)=".","",".")&amp;IF($J81="Bloqueante"," El equipo no se libera hasta resolver este hallazgo.",IF($J81="Cobrable"," Se incluye en la cotización de repuestos y consumibles."," Se deja registrado como observación.")))</f>
        <v/>
      </c>
    </row>
    <row r="82" ht="48" customHeight="1">
      <c r="A82" s="10" t="inlineStr">
        <is>
          <t>10.3.1</t>
        </is>
      </c>
      <c r="B82" s="10" t="inlineStr">
        <is>
          <t>10. Gabinete, montaje e instalación</t>
        </is>
      </c>
      <c r="C82" s="10" t="inlineStr">
        <is>
          <t>10.3 Entorno de operación</t>
        </is>
      </c>
      <c r="D82" s="11" t="inlineStr">
        <is>
          <t>Rango de temperatura ambiente del sitio</t>
        </is>
      </c>
      <c r="E82" s="11" t="inlineStr">
        <is>
          <t>Temperatura ambiente del shelter o estación de monitoreo, medida con termómetro</t>
        </is>
      </c>
      <c r="F82" s="12" t="inlineStr">
        <is>
          <t>Medir la temperatura del shelter con termohigrómetro calibrado, a la altura del equipo y alejado de la descarga del aire acondicionado. Registrar el máximo del día si hay datalogger.</t>
        </is>
      </c>
      <c r="G82" s="10" t="inlineStr">
        <is>
          <t>Numérico</t>
        </is>
      </c>
      <c r="H82" s="10" t="inlineStr">
        <is>
          <t>°C</t>
        </is>
      </c>
      <c r="I82" s="11" t="inlineStr">
        <is>
          <t>Debe estar dentro de los límites, evitando variaciones bruscas de 5 °C o más</t>
        </is>
      </c>
      <c r="J82" s="13" t="inlineStr">
        <is>
          <t>Alerta</t>
        </is>
      </c>
      <c r="K82" s="14" t="inlineStr">
        <is>
          <t>Aire acondicionado insuficiente o en falla</t>
        </is>
      </c>
      <c r="L82" s="15" t="inlineStr">
        <is>
          <t>9.1.1 ; 10.3.2</t>
        </is>
      </c>
      <c r="M82" s="14" t="inlineStr">
        <is>
          <t>Corregir la climatización del shelter; la deriva no se juzga hasta estabilizar la sala</t>
        </is>
      </c>
      <c r="N82" s="16" t="inlineStr">
        <is>
          <t>La temperatura de la cabina de monitoreo se encuentra fuera del rango de operación especificado para el analizador.</t>
        </is>
      </c>
      <c r="O82" s="10" t="n">
        <v>5</v>
      </c>
      <c r="P82" s="10" t="n">
        <v>40</v>
      </c>
      <c r="Q82" s="10" t="inlineStr">
        <is>
          <t>Sí</t>
        </is>
      </c>
      <c r="R82" s="10" t="inlineStr">
        <is>
          <t>No</t>
        </is>
      </c>
      <c r="S82" s="11" t="inlineStr"/>
      <c r="T82" s="11" t="inlineStr">
        <is>
          <t>OP_APNA-370 (Manual de Operación)</t>
        </is>
      </c>
      <c r="U82" s="17" t="inlineStr">
        <is>
          <t>Pendiente</t>
        </is>
      </c>
      <c r="V82" s="17" t="n"/>
      <c r="W82" s="10">
        <f>IF($G82&lt;&gt;"Numérico","",IF($V82="","Sin dato",IF(AND(OR(NOT(ISNUMBER($O82)),$V82&gt;=$O82),OR(NOT(ISNUMBER($P82)),$V82&lt;=$P82)),"Dentro de rango","Fuera de rango")))</f>
        <v/>
      </c>
      <c r="X82" s="17" t="n"/>
      <c r="Y82" s="18" t="n"/>
      <c r="Z82" s="16">
        <f>IF(OR($U82="",$U82="Conforme",$U82="No aplica",$U82="Pendiente"),"",$N82&amp;IF($W82="Fuera de rango"," Valor medido: "&amp;TEXT($V82,"0.####")&amp;IF($H82="",""," "&amp;$H82)&amp;IF(AND(ISNUMBER($O82),$V82&lt;$O82),", por debajo del límite inferior de "&amp;TEXT($O82,"0.####")&amp;IF($H82="",""," "&amp;$H82),"")&amp;IF(AND(ISNUMBER($P82),$V82&gt;$P82),", por encima del límite superior de "&amp;TEXT($P82,"0.####")&amp;IF($H82="",""," "&amp;$H82),"")&amp;".","")&amp;IF($Y82="",""," "&amp;$Y82&amp;IF(RIGHT($Y82,1)=".","","."))&amp;" Acción recomendada: "&amp;$M82&amp;IF(RIGHT($M82,1)=".","",".")&amp;IF($J82="Bloqueante"," El equipo no se libera hasta resolver este hallazgo.",IF($J82="Cobrable"," Se incluye en la cotización de repuestos y consumibles."," Se deja registrado como observación.")))</f>
        <v/>
      </c>
    </row>
    <row r="83" ht="48" customHeight="1">
      <c r="A83" s="10" t="inlineStr">
        <is>
          <t>10.3.2</t>
        </is>
      </c>
      <c r="B83" s="10" t="inlineStr">
        <is>
          <t>10. Gabinete, montaje e instalación</t>
        </is>
      </c>
      <c r="C83" s="10" t="inlineStr">
        <is>
          <t>10.3 Entorno de operación</t>
        </is>
      </c>
      <c r="D83" s="11" t="inlineStr">
        <is>
          <t>Límites de humedad relativa ambiente</t>
        </is>
      </c>
      <c r="E83" s="11" t="inlineStr">
        <is>
          <t>Humedad relativa del shelter, comprobada con higrómetro, para evitar condensación</t>
        </is>
      </c>
      <c r="F83" s="12" t="inlineStr">
        <is>
          <t>Medir la humedad relativa con termohigrómetro calibrado junto al equipo y registrarla junto con la temperatura medida en el mismo instante.</t>
        </is>
      </c>
      <c r="G83" s="10" t="inlineStr">
        <is>
          <t>Numérico</t>
        </is>
      </c>
      <c r="H83" s="10" t="inlineStr">
        <is>
          <t>%</t>
        </is>
      </c>
      <c r="I83" s="11" t="inlineStr">
        <is>
          <t>Para temperaturas menores de 31 °C la humedad relativa debe ser del 80 % o menor</t>
        </is>
      </c>
      <c r="J83" s="13" t="inlineStr">
        <is>
          <t>Alerta</t>
        </is>
      </c>
      <c r="K83" s="14" t="inlineStr">
        <is>
          <t>Humedad alta: condensación en líneas y sulfatación del panel táctil</t>
        </is>
      </c>
      <c r="L83" s="15" t="inlineStr">
        <is>
          <t>4.3.1 ; 7.3.2</t>
        </is>
      </c>
      <c r="M83" s="14" t="inlineStr">
        <is>
          <t>Deshumidificar la cabina y revisar la línea de muestreo</t>
        </is>
      </c>
      <c r="N83" s="16" t="inlineStr">
        <is>
          <t>La humedad relativa de la cabina supera el límite admisible, con riesgo de condensación en el analizador.</t>
        </is>
      </c>
      <c r="O83" s="10" t="n">
        <v>0</v>
      </c>
      <c r="P83" s="10" t="n">
        <v>80</v>
      </c>
      <c r="Q83" s="10" t="inlineStr">
        <is>
          <t>Sí</t>
        </is>
      </c>
      <c r="R83" s="10" t="inlineStr">
        <is>
          <t>No</t>
        </is>
      </c>
      <c r="S83" s="11" t="inlineStr"/>
      <c r="T83" s="11" t="inlineStr">
        <is>
          <t>OP_APNA-370 (Manual de Operación)</t>
        </is>
      </c>
      <c r="U83" s="17" t="inlineStr">
        <is>
          <t>Pendiente</t>
        </is>
      </c>
      <c r="V83" s="17" t="n"/>
      <c r="W83" s="10">
        <f>IF($G83&lt;&gt;"Numérico","",IF($V83="","Sin dato",IF(AND(OR(NOT(ISNUMBER($O83)),$V83&gt;=$O83),OR(NOT(ISNUMBER($P83)),$V83&lt;=$P83)),"Dentro de rango","Fuera de rango")))</f>
        <v/>
      </c>
      <c r="X83" s="17" t="n"/>
      <c r="Y83" s="18" t="n"/>
      <c r="Z83" s="16">
        <f>IF(OR($U83="",$U83="Conforme",$U83="No aplica",$U83="Pendiente"),"",$N83&amp;IF($W83="Fuera de rango"," Valor medido: "&amp;TEXT($V83,"0.####")&amp;IF($H83="",""," "&amp;$H83)&amp;IF(AND(ISNUMBER($O83),$V83&lt;$O83),", por debajo del límite inferior de "&amp;TEXT($O83,"0.####")&amp;IF($H83="",""," "&amp;$H83),"")&amp;IF(AND(ISNUMBER($P83),$V83&gt;$P83),", por encima del límite superior de "&amp;TEXT($P83,"0.####")&amp;IF($H83="",""," "&amp;$H83),"")&amp;".","")&amp;IF($Y83="",""," "&amp;$Y83&amp;IF(RIGHT($Y83,1)=".","","."))&amp;" Acción recomendada: "&amp;$M83&amp;IF(RIGHT($M83,1)=".","",".")&amp;IF($J83="Bloqueante"," El equipo no se libera hasta resolver este hallazgo.",IF($J83="Cobrable"," Se incluye en la cotización de repuestos y consumibles."," Se deja registrado como observación.")))</f>
        <v/>
      </c>
    </row>
    <row r="84" ht="48" customHeight="1">
      <c r="A84" s="10" t="inlineStr">
        <is>
          <t>10.3.3</t>
        </is>
      </c>
      <c r="B84" s="10" t="inlineStr">
        <is>
          <t>10. Gabinete, montaje e instalación</t>
        </is>
      </c>
      <c r="C84" s="10" t="inlineStr">
        <is>
          <t>10.3 Entorno de operación</t>
        </is>
      </c>
      <c r="D84" s="11" t="inlineStr">
        <is>
          <t>Límite máximo de altitud de operación</t>
        </is>
      </c>
      <c r="E84" s="11" t="inlineStr">
        <is>
          <t>Altitud geográfica del sitio de instalación del analizador</t>
        </is>
      </c>
      <c r="F84" s="12" t="inlineStr">
        <is>
          <t>Consultar la altitud del sitio de instalación con GPS o con la ficha de la estación, y contrastarla con el límite de operación especificado por el fabricante.</t>
        </is>
      </c>
      <c r="G84" s="10" t="inlineStr">
        <is>
          <t>Numérico</t>
        </is>
      </c>
      <c r="H84" s="10" t="inlineStr">
        <is>
          <t>msnm</t>
        </is>
      </c>
      <c r="I84" s="11" t="inlineStr">
        <is>
          <t>El equipo está diseñado para operar por debajo del límite de altitud establecido por el fabricante</t>
        </is>
      </c>
      <c r="J84" s="13" t="inlineStr">
        <is>
          <t>Alerta</t>
        </is>
      </c>
      <c r="K84" s="14" t="inlineStr">
        <is>
          <t>Sitio por encima del límite de diseño: la presión ambiente afecta la corrección</t>
        </is>
      </c>
      <c r="L84" s="15" t="inlineStr">
        <is>
          <t>9.2.2</t>
        </is>
      </c>
      <c r="M84" s="14" t="inlineStr">
        <is>
          <t>Documentar la altitud y validar con fábrica la corrección barométrica aplicada</t>
        </is>
      </c>
      <c r="N84" s="16" t="inlineStr">
        <is>
          <t>La altitud del sitio de instalación supera el límite de diseño del analizador, lo que afecta la corrección barométrica.</t>
        </is>
      </c>
      <c r="O84" s="10" t="n">
        <v>0</v>
      </c>
      <c r="P84" s="10" t="n">
        <v>3000</v>
      </c>
      <c r="Q84" s="10" t="inlineStr">
        <is>
          <t>Sí</t>
        </is>
      </c>
      <c r="R84" s="10" t="inlineStr">
        <is>
          <t>No</t>
        </is>
      </c>
      <c r="S84" s="11" t="inlineStr"/>
      <c r="T84" s="11" t="inlineStr">
        <is>
          <t>OP_APNA-370 (Manual de Operación)</t>
        </is>
      </c>
      <c r="U84" s="17" t="inlineStr">
        <is>
          <t>Pendiente</t>
        </is>
      </c>
      <c r="V84" s="17" t="n"/>
      <c r="W84" s="10">
        <f>IF($G84&lt;&gt;"Numérico","",IF($V84="","Sin dato",IF(AND(OR(NOT(ISNUMBER($O84)),$V84&gt;=$O84),OR(NOT(ISNUMBER($P84)),$V84&lt;=$P84)),"Dentro de rango","Fuera de rango")))</f>
        <v/>
      </c>
      <c r="X84" s="17" t="n"/>
      <c r="Y84" s="18" t="n"/>
      <c r="Z84" s="16">
        <f>IF(OR($U84="",$U84="Conforme",$U84="No aplica",$U84="Pendiente"),"",$N84&amp;IF($W84="Fuera de rango"," Valor medido: "&amp;TEXT($V84,"0.####")&amp;IF($H84="",""," "&amp;$H84)&amp;IF(AND(ISNUMBER($O84),$V84&lt;$O84),", por debajo del límite inferior de "&amp;TEXT($O84,"0.####")&amp;IF($H84="",""," "&amp;$H84),"")&amp;IF(AND(ISNUMBER($P84),$V84&gt;$P84),", por encima del límite superior de "&amp;TEXT($P84,"0.####")&amp;IF($H84="",""," "&amp;$H84),"")&amp;".","")&amp;IF($Y84="",""," "&amp;$Y84&amp;IF(RIGHT($Y84,1)=".","","."))&amp;" Acción recomendada: "&amp;$M84&amp;IF(RIGHT($M84,1)=".","",".")&amp;IF($J84="Bloqueante"," El equipo no se libera hasta resolver este hallazgo.",IF($J84="Cobrable"," Se incluye en la cotización de repuestos y consumibles."," Se deja registrado como observación.")))</f>
        <v/>
      </c>
    </row>
  </sheetData>
  <autoFilter ref="A8:Z84"/>
  <conditionalFormatting sqref="U9:U84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conditionalFormatting sqref="W9:W84">
    <cfRule type="cellIs" priority="4" operator="equal" dxfId="1">
      <formula>"Fuera de rango"</formula>
    </cfRule>
  </conditionalFormatting>
  <conditionalFormatting sqref="J9:J84">
    <cfRule type="cellIs" priority="5" operator="equal" dxfId="1">
      <formula>"Bloqueante"</formula>
    </cfRule>
    <cfRule type="cellIs" priority="6" operator="equal" dxfId="2">
      <formula>"Cobrable"</formula>
    </cfRule>
    <cfRule type="cellIs" priority="7" operator="equal" dxfId="3">
      <formula>"Alerta"</formula>
    </cfRule>
  </conditionalFormatting>
  <dataValidations count="3">
    <dataValidation sqref="U9:U84" showDropDown="0" showInputMessage="0" showErrorMessage="0" allowBlank="1" type="list">
      <formula1>Listas!$A$2:$A$6</formula1>
    </dataValidation>
    <dataValidation sqref="X9:X84" showDropDown="0" showInputMessage="0" showErrorMessage="0" allowBlank="1" type="list">
      <formula1>Listas!$B$2:$B$4</formula1>
    </dataValidation>
    <dataValidation sqref="J9:J84" showDropDown="0" showInputMessage="0" showErrorMessage="0" allowBlank="0" type="list">
      <formula1>Listas!$D$2:$D$4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30" customWidth="1" min="3" max="3"/>
    <col width="40" customWidth="1" min="4" max="4"/>
    <col width="15" customWidth="1" min="5" max="5"/>
    <col width="19" customWidth="1" min="6" max="6"/>
    <col width="13" customWidth="1" min="7" max="7"/>
    <col width="130" customWidth="1" min="8" max="8"/>
  </cols>
  <sheetData>
    <row r="1">
      <c r="A1" s="19" t="inlineStr">
        <is>
          <t>INFORME DE HALLAZGOS — TEXTO LISTO PARA EL INFORME AL CLIENTE</t>
        </is>
      </c>
    </row>
    <row r="2">
      <c r="A2" s="2" t="inlineStr">
        <is>
          <t>Los comentarios se redactan solos a partir del resultado, del valor medido y de la observación del técnico. Filtre la columna «Resultado» por «No conforme» y «Requiere reemplazo» y copie la columna de comentario al informe.</t>
        </is>
      </c>
    </row>
    <row r="4" ht="30" customHeight="1">
      <c r="A4" s="9" t="inlineStr">
        <is>
          <t>Modelo</t>
        </is>
      </c>
      <c r="B4" s="9" t="inlineStr">
        <is>
          <t>ID</t>
        </is>
      </c>
      <c r="C4" s="9" t="inlineStr">
        <is>
          <t>Nivel macro</t>
        </is>
      </c>
      <c r="D4" s="9" t="inlineStr">
        <is>
          <t>Ítem</t>
        </is>
      </c>
      <c r="E4" s="9" t="inlineStr">
        <is>
          <t>Criterio de falla</t>
        </is>
      </c>
      <c r="F4" s="9" t="inlineStr">
        <is>
          <t>Resultado</t>
        </is>
      </c>
      <c r="G4" s="9" t="inlineStr">
        <is>
          <t>Valor medido</t>
        </is>
      </c>
      <c r="H4" s="9" t="inlineStr">
        <is>
          <t>Comentario para el informe</t>
        </is>
      </c>
    </row>
    <row r="5" ht="30" customHeight="1">
      <c r="A5" s="20" t="inlineStr">
        <is>
          <t>APMA-370 (CO)</t>
        </is>
      </c>
      <c r="B5" s="21" t="inlineStr">
        <is>
          <t>1.1.1</t>
        </is>
      </c>
      <c r="C5" s="20">
        <f>'APMA-370 (CO)'!$B$9</f>
        <v/>
      </c>
      <c r="D5" s="22" t="inlineStr">
        <is>
          <t>LED de encendido (Power LED)</t>
        </is>
      </c>
      <c r="E5" s="23" t="inlineStr">
        <is>
          <t>Alerta</t>
        </is>
      </c>
      <c r="F5" s="21">
        <f>'APMA-370 (CO)'!$U$9</f>
        <v/>
      </c>
      <c r="G5" s="21">
        <f>'APMA-370 (CO)'!$V$9</f>
        <v/>
      </c>
      <c r="H5" s="22">
        <f>'APMA-370 (CO)'!$Z$9</f>
        <v/>
      </c>
    </row>
    <row r="6" ht="30" customHeight="1">
      <c r="A6" s="20" t="inlineStr">
        <is>
          <t>APMA-370 (CO)</t>
        </is>
      </c>
      <c r="B6" s="21" t="inlineStr">
        <is>
          <t>1.1.2</t>
        </is>
      </c>
      <c r="C6" s="20">
        <f>'APMA-370 (CO)'!$B$10</f>
        <v/>
      </c>
      <c r="D6" s="22" t="inlineStr">
        <is>
          <t>LED de alarma (Alarm LED)</t>
        </is>
      </c>
      <c r="E6" s="24" t="inlineStr">
        <is>
          <t>Bloqueante</t>
        </is>
      </c>
      <c r="F6" s="21">
        <f>'APMA-370 (CO)'!$U$10</f>
        <v/>
      </c>
      <c r="G6" s="21">
        <f>'APMA-370 (CO)'!$V$10</f>
        <v/>
      </c>
      <c r="H6" s="22">
        <f>'APMA-370 (CO)'!$Z$10</f>
        <v/>
      </c>
    </row>
    <row r="7" ht="30" customHeight="1">
      <c r="A7" s="20" t="inlineStr">
        <is>
          <t>APMA-370 (CO)</t>
        </is>
      </c>
      <c r="B7" s="21" t="inlineStr">
        <is>
          <t>1.1.3</t>
        </is>
      </c>
      <c r="C7" s="20">
        <f>'APMA-370 (CO)'!$B$11</f>
        <v/>
      </c>
      <c r="D7" s="22" t="inlineStr">
        <is>
          <t>Inicialización del display (TFT LCD)</t>
        </is>
      </c>
      <c r="E7" s="25" t="inlineStr">
        <is>
          <t>Cobrable</t>
        </is>
      </c>
      <c r="F7" s="21">
        <f>'APMA-370 (CO)'!$U$11</f>
        <v/>
      </c>
      <c r="G7" s="21">
        <f>'APMA-370 (CO)'!$V$11</f>
        <v/>
      </c>
      <c r="H7" s="22">
        <f>'APMA-370 (CO)'!$Z$11</f>
        <v/>
      </c>
    </row>
    <row r="8" ht="30" customHeight="1">
      <c r="A8" s="20" t="inlineStr">
        <is>
          <t>APMA-370 (CO)</t>
        </is>
      </c>
      <c r="B8" s="21" t="inlineStr">
        <is>
          <t>1.2.1</t>
        </is>
      </c>
      <c r="C8" s="20">
        <f>'APMA-370 (CO)'!$B$12</f>
        <v/>
      </c>
      <c r="D8" s="22" t="inlineStr">
        <is>
          <t>Versión de programa (firmware)</t>
        </is>
      </c>
      <c r="E8" s="23" t="inlineStr">
        <is>
          <t>Alerta</t>
        </is>
      </c>
      <c r="F8" s="21">
        <f>'APMA-370 (CO)'!$U$12</f>
        <v/>
      </c>
      <c r="G8" s="21">
        <f>'APMA-370 (CO)'!$V$12</f>
        <v/>
      </c>
      <c r="H8" s="22">
        <f>'APMA-370 (CO)'!$Z$12</f>
        <v/>
      </c>
    </row>
    <row r="9" ht="30" customHeight="1">
      <c r="A9" s="20" t="inlineStr">
        <is>
          <t>APMA-370 (CO)</t>
        </is>
      </c>
      <c r="B9" s="21" t="inlineStr">
        <is>
          <t>1.3.1</t>
        </is>
      </c>
      <c r="C9" s="20">
        <f>'APMA-370 (CO)'!$B$13</f>
        <v/>
      </c>
      <c r="D9" s="22" t="inlineStr">
        <is>
          <t>Tiempo de calentamiento inicial (warm-up)</t>
        </is>
      </c>
      <c r="E9" s="23" t="inlineStr">
        <is>
          <t>Alerta</t>
        </is>
      </c>
      <c r="F9" s="21">
        <f>'APMA-370 (CO)'!$U$13</f>
        <v/>
      </c>
      <c r="G9" s="21">
        <f>'APMA-370 (CO)'!$V$13</f>
        <v/>
      </c>
      <c r="H9" s="22">
        <f>'APMA-370 (CO)'!$Z$13</f>
        <v/>
      </c>
    </row>
    <row r="10" ht="30" customHeight="1">
      <c r="A10" s="20" t="inlineStr">
        <is>
          <t>APMA-370 (CO)</t>
        </is>
      </c>
      <c r="B10" s="21" t="inlineStr">
        <is>
          <t>2.1.1</t>
        </is>
      </c>
      <c r="C10" s="20">
        <f>'APMA-370 (CO)'!$B$14</f>
        <v/>
      </c>
      <c r="D10" s="22" t="inlineStr">
        <is>
          <t>Placa de número de serie frontal</t>
        </is>
      </c>
      <c r="E10" s="23" t="inlineStr">
        <is>
          <t>Alerta</t>
        </is>
      </c>
      <c r="F10" s="21">
        <f>'APMA-370 (CO)'!$U$14</f>
        <v/>
      </c>
      <c r="G10" s="21">
        <f>'APMA-370 (CO)'!$V$14</f>
        <v/>
      </c>
      <c r="H10" s="22">
        <f>'APMA-370 (CO)'!$Z$14</f>
        <v/>
      </c>
    </row>
    <row r="11" ht="30" customHeight="1">
      <c r="A11" s="20" t="inlineStr">
        <is>
          <t>APMA-370 (CO)</t>
        </is>
      </c>
      <c r="B11" s="21" t="inlineStr">
        <is>
          <t>2.1.2</t>
        </is>
      </c>
      <c r="C11" s="20">
        <f>'APMA-370 (CO)'!$B$15</f>
        <v/>
      </c>
      <c r="D11" s="22" t="inlineStr">
        <is>
          <t>Placa de número de serie posterior</t>
        </is>
      </c>
      <c r="E11" s="23" t="inlineStr">
        <is>
          <t>Alerta</t>
        </is>
      </c>
      <c r="F11" s="21">
        <f>'APMA-370 (CO)'!$U$15</f>
        <v/>
      </c>
      <c r="G11" s="21">
        <f>'APMA-370 (CO)'!$V$15</f>
        <v/>
      </c>
      <c r="H11" s="22">
        <f>'APMA-370 (CO)'!$Z$15</f>
        <v/>
      </c>
    </row>
    <row r="12" ht="30" customHeight="1">
      <c r="A12" s="20" t="inlineStr">
        <is>
          <t>APMA-370 (CO)</t>
        </is>
      </c>
      <c r="B12" s="21" t="inlineStr">
        <is>
          <t>2.2.1</t>
        </is>
      </c>
      <c r="C12" s="20">
        <f>'APMA-370 (CO)'!$B$16</f>
        <v/>
      </c>
      <c r="D12" s="22" t="inlineStr">
        <is>
          <t>ID del equipo (Machine ID)</t>
        </is>
      </c>
      <c r="E12" s="23" t="inlineStr">
        <is>
          <t>Alerta</t>
        </is>
      </c>
      <c r="F12" s="21">
        <f>'APMA-370 (CO)'!$U$16</f>
        <v/>
      </c>
      <c r="G12" s="21">
        <f>'APMA-370 (CO)'!$V$16</f>
        <v/>
      </c>
      <c r="H12" s="22">
        <f>'APMA-370 (CO)'!$Z$16</f>
        <v/>
      </c>
    </row>
    <row r="13" ht="30" customHeight="1">
      <c r="A13" s="20" t="inlineStr">
        <is>
          <t>APMA-370 (CO)</t>
        </is>
      </c>
      <c r="B13" s="21" t="inlineStr">
        <is>
          <t>2.3.1</t>
        </is>
      </c>
      <c r="C13" s="20">
        <f>'APMA-370 (CO)'!$B$17</f>
        <v/>
      </c>
      <c r="D13" s="22" t="inlineStr">
        <is>
          <t>Señalización de choque eléctrico</t>
        </is>
      </c>
      <c r="E13" s="23" t="inlineStr">
        <is>
          <t>Alerta</t>
        </is>
      </c>
      <c r="F13" s="21">
        <f>'APMA-370 (CO)'!$U$17</f>
        <v/>
      </c>
      <c r="G13" s="21">
        <f>'APMA-370 (CO)'!$V$17</f>
        <v/>
      </c>
      <c r="H13" s="22">
        <f>'APMA-370 (CO)'!$Z$17</f>
        <v/>
      </c>
    </row>
    <row r="14" ht="30" customHeight="1">
      <c r="A14" s="20" t="inlineStr">
        <is>
          <t>APMA-370 (CO)</t>
        </is>
      </c>
      <c r="B14" s="21" t="inlineStr">
        <is>
          <t>2.3.2</t>
        </is>
      </c>
      <c r="C14" s="20">
        <f>'APMA-370 (CO)'!$B$18</f>
        <v/>
      </c>
      <c r="D14" s="22" t="inlineStr">
        <is>
          <t>Señalización de componentes calientes</t>
        </is>
      </c>
      <c r="E14" s="23" t="inlineStr">
        <is>
          <t>Alerta</t>
        </is>
      </c>
      <c r="F14" s="21">
        <f>'APMA-370 (CO)'!$U$18</f>
        <v/>
      </c>
      <c r="G14" s="21">
        <f>'APMA-370 (CO)'!$V$18</f>
        <v/>
      </c>
      <c r="H14" s="22">
        <f>'APMA-370 (CO)'!$Z$18</f>
        <v/>
      </c>
    </row>
    <row r="15" ht="30" customHeight="1">
      <c r="A15" s="20" t="inlineStr">
        <is>
          <t>APMA-370 (CO)</t>
        </is>
      </c>
      <c r="B15" s="21" t="inlineStr">
        <is>
          <t>3.1.1</t>
        </is>
      </c>
      <c r="C15" s="20">
        <f>'APMA-370 (CO)'!$B$19</f>
        <v/>
      </c>
      <c r="D15" s="22" t="inlineStr">
        <is>
          <t>Coeficiente de calibración de cero</t>
        </is>
      </c>
      <c r="E15" s="24" t="inlineStr">
        <is>
          <t>Bloqueante</t>
        </is>
      </c>
      <c r="F15" s="21">
        <f>'APMA-370 (CO)'!$U$19</f>
        <v/>
      </c>
      <c r="G15" s="21">
        <f>'APMA-370 (CO)'!$V$19</f>
        <v/>
      </c>
      <c r="H15" s="22">
        <f>'APMA-370 (CO)'!$Z$19</f>
        <v/>
      </c>
    </row>
    <row r="16" ht="30" customHeight="1">
      <c r="A16" s="20" t="inlineStr">
        <is>
          <t>APMA-370 (CO)</t>
        </is>
      </c>
      <c r="B16" s="21" t="inlineStr">
        <is>
          <t>3.1.2</t>
        </is>
      </c>
      <c r="C16" s="20">
        <f>'APMA-370 (CO)'!$B$20</f>
        <v/>
      </c>
      <c r="D16" s="22" t="inlineStr">
        <is>
          <t>Coeficiente de calibración de span</t>
        </is>
      </c>
      <c r="E16" s="24" t="inlineStr">
        <is>
          <t>Bloqueante</t>
        </is>
      </c>
      <c r="F16" s="21">
        <f>'APMA-370 (CO)'!$U$20</f>
        <v/>
      </c>
      <c r="G16" s="21">
        <f>'APMA-370 (CO)'!$V$20</f>
        <v/>
      </c>
      <c r="H16" s="22">
        <f>'APMA-370 (CO)'!$Z$20</f>
        <v/>
      </c>
    </row>
    <row r="17" ht="30" customHeight="1">
      <c r="A17" s="20" t="inlineStr">
        <is>
          <t>APMA-370 (CO)</t>
        </is>
      </c>
      <c r="B17" s="21" t="inlineStr">
        <is>
          <t>3.2.1</t>
        </is>
      </c>
      <c r="C17" s="20">
        <f>'APMA-370 (CO)'!$B$21</f>
        <v/>
      </c>
      <c r="D17" s="22" t="inlineStr">
        <is>
          <t>Presión de entrada de gas patrón</t>
        </is>
      </c>
      <c r="E17" s="24" t="inlineStr">
        <is>
          <t>Bloqueante</t>
        </is>
      </c>
      <c r="F17" s="21">
        <f>'APMA-370 (CO)'!$U$21</f>
        <v/>
      </c>
      <c r="G17" s="21">
        <f>'APMA-370 (CO)'!$V$21</f>
        <v/>
      </c>
      <c r="H17" s="22">
        <f>'APMA-370 (CO)'!$Z$21</f>
        <v/>
      </c>
    </row>
    <row r="18" ht="30" customHeight="1">
      <c r="A18" s="20" t="inlineStr">
        <is>
          <t>APMA-370 (CO)</t>
        </is>
      </c>
      <c r="B18" s="21" t="inlineStr">
        <is>
          <t>3.2.2</t>
        </is>
      </c>
      <c r="C18" s="20">
        <f>'APMA-370 (CO)'!$B$22</f>
        <v/>
      </c>
      <c r="D18" s="22" t="inlineStr">
        <is>
          <t>Caudal de exceso de gas de calibración (OVER FLOW)</t>
        </is>
      </c>
      <c r="E18" s="24" t="inlineStr">
        <is>
          <t>Bloqueante</t>
        </is>
      </c>
      <c r="F18" s="21">
        <f>'APMA-370 (CO)'!$U$22</f>
        <v/>
      </c>
      <c r="G18" s="21">
        <f>'APMA-370 (CO)'!$V$22</f>
        <v/>
      </c>
      <c r="H18" s="22">
        <f>'APMA-370 (CO)'!$Z$22</f>
        <v/>
      </c>
    </row>
    <row r="19" ht="30" customHeight="1">
      <c r="A19" s="20" t="inlineStr">
        <is>
          <t>APMA-370 (CO)</t>
        </is>
      </c>
      <c r="B19" s="21" t="inlineStr">
        <is>
          <t>3.3.1</t>
        </is>
      </c>
      <c r="C19" s="20">
        <f>'APMA-370 (CO)'!$B$23</f>
        <v/>
      </c>
      <c r="D19" s="22" t="inlineStr">
        <is>
          <t>Tiempo de espera (WAIT) en AIC</t>
        </is>
      </c>
      <c r="E19" s="23" t="inlineStr">
        <is>
          <t>Alerta</t>
        </is>
      </c>
      <c r="F19" s="21">
        <f>'APMA-370 (CO)'!$U$23</f>
        <v/>
      </c>
      <c r="G19" s="21">
        <f>'APMA-370 (CO)'!$V$23</f>
        <v/>
      </c>
      <c r="H19" s="22">
        <f>'APMA-370 (CO)'!$Z$23</f>
        <v/>
      </c>
    </row>
    <row r="20" ht="30" customHeight="1">
      <c r="A20" s="20" t="inlineStr">
        <is>
          <t>APMA-370 (CO)</t>
        </is>
      </c>
      <c r="B20" s="21" t="inlineStr">
        <is>
          <t>3.3.2</t>
        </is>
      </c>
      <c r="C20" s="20">
        <f>'APMA-370 (CO)'!$B$24</f>
        <v/>
      </c>
      <c r="D20" s="22" t="inlineStr">
        <is>
          <t>Tiempo de sostenimiento (HOLD) en AIC</t>
        </is>
      </c>
      <c r="E20" s="23" t="inlineStr">
        <is>
          <t>Alerta</t>
        </is>
      </c>
      <c r="F20" s="21">
        <f>'APMA-370 (CO)'!$U$24</f>
        <v/>
      </c>
      <c r="G20" s="21">
        <f>'APMA-370 (CO)'!$V$24</f>
        <v/>
      </c>
      <c r="H20" s="22">
        <f>'APMA-370 (CO)'!$Z$24</f>
        <v/>
      </c>
    </row>
    <row r="21" ht="30" customHeight="1">
      <c r="A21" s="20" t="inlineStr">
        <is>
          <t>APMA-370 (CO)</t>
        </is>
      </c>
      <c r="B21" s="21" t="inlineStr">
        <is>
          <t>3.3.3</t>
        </is>
      </c>
      <c r="C21" s="20">
        <f>'APMA-370 (CO)'!$B$25</f>
        <v/>
      </c>
      <c r="D21" s="22" t="inlineStr">
        <is>
          <t>Activación de calibración (CAL) en AIC</t>
        </is>
      </c>
      <c r="E21" s="23" t="inlineStr">
        <is>
          <t>Alerta</t>
        </is>
      </c>
      <c r="F21" s="21">
        <f>'APMA-370 (CO)'!$U$25</f>
        <v/>
      </c>
      <c r="G21" s="21">
        <f>'APMA-370 (CO)'!$V$25</f>
        <v/>
      </c>
      <c r="H21" s="22">
        <f>'APMA-370 (CO)'!$Z$25</f>
        <v/>
      </c>
    </row>
    <row r="22" ht="30" customHeight="1">
      <c r="A22" s="20" t="inlineStr">
        <is>
          <t>APMA-370 (CO)</t>
        </is>
      </c>
      <c r="B22" s="21" t="inlineStr">
        <is>
          <t>4.1.1</t>
        </is>
      </c>
      <c r="C22" s="20">
        <f>'APMA-370 (CO)'!$B$26</f>
        <v/>
      </c>
      <c r="D22" s="22" t="inlineStr">
        <is>
          <t>Férula de Sample Inlet (Sleeve)</t>
        </is>
      </c>
      <c r="E22" s="24" t="inlineStr">
        <is>
          <t>Bloqueante</t>
        </is>
      </c>
      <c r="F22" s="21">
        <f>'APMA-370 (CO)'!$U$26</f>
        <v/>
      </c>
      <c r="G22" s="21">
        <f>'APMA-370 (CO)'!$V$26</f>
        <v/>
      </c>
      <c r="H22" s="22">
        <f>'APMA-370 (CO)'!$Z$26</f>
        <v/>
      </c>
    </row>
    <row r="23" ht="30" customHeight="1">
      <c r="A23" s="20" t="inlineStr">
        <is>
          <t>APMA-370 (CO)</t>
        </is>
      </c>
      <c r="B23" s="21" t="inlineStr">
        <is>
          <t>4.1.2</t>
        </is>
      </c>
      <c r="C23" s="20">
        <f>'APMA-370 (CO)'!$B$27</f>
        <v/>
      </c>
      <c r="D23" s="22" t="inlineStr">
        <is>
          <t>Tuerca de Sample Inlet (Cap Nut)</t>
        </is>
      </c>
      <c r="E23" s="24" t="inlineStr">
        <is>
          <t>Bloqueante</t>
        </is>
      </c>
      <c r="F23" s="21">
        <f>'APMA-370 (CO)'!$U$27</f>
        <v/>
      </c>
      <c r="G23" s="21">
        <f>'APMA-370 (CO)'!$V$27</f>
        <v/>
      </c>
      <c r="H23" s="22">
        <f>'APMA-370 (CO)'!$Z$27</f>
        <v/>
      </c>
    </row>
    <row r="24" ht="30" customHeight="1">
      <c r="A24" s="20" t="inlineStr">
        <is>
          <t>APMA-370 (CO)</t>
        </is>
      </c>
      <c r="B24" s="21" t="inlineStr">
        <is>
          <t>4.1.3</t>
        </is>
      </c>
      <c r="C24" s="20">
        <f>'APMA-370 (CO)'!$B$28</f>
        <v/>
      </c>
      <c r="D24" s="22" t="inlineStr">
        <is>
          <t>Férula de Exhaust (Sleeve)</t>
        </is>
      </c>
      <c r="E24" s="24" t="inlineStr">
        <is>
          <t>Bloqueante</t>
        </is>
      </c>
      <c r="F24" s="21">
        <f>'APMA-370 (CO)'!$U$28</f>
        <v/>
      </c>
      <c r="G24" s="21">
        <f>'APMA-370 (CO)'!$V$28</f>
        <v/>
      </c>
      <c r="H24" s="22">
        <f>'APMA-370 (CO)'!$Z$28</f>
        <v/>
      </c>
    </row>
    <row r="25" ht="30" customHeight="1">
      <c r="A25" s="20" t="inlineStr">
        <is>
          <t>APMA-370 (CO)</t>
        </is>
      </c>
      <c r="B25" s="21" t="inlineStr">
        <is>
          <t>4.1.4</t>
        </is>
      </c>
      <c r="C25" s="20">
        <f>'APMA-370 (CO)'!$B$29</f>
        <v/>
      </c>
      <c r="D25" s="22" t="inlineStr">
        <is>
          <t>Tuerca de Exhaust (Cap Nut)</t>
        </is>
      </c>
      <c r="E25" s="24" t="inlineStr">
        <is>
          <t>Bloqueante</t>
        </is>
      </c>
      <c r="F25" s="21">
        <f>'APMA-370 (CO)'!$U$29</f>
        <v/>
      </c>
      <c r="G25" s="21">
        <f>'APMA-370 (CO)'!$V$29</f>
        <v/>
      </c>
      <c r="H25" s="22">
        <f>'APMA-370 (CO)'!$Z$29</f>
        <v/>
      </c>
    </row>
    <row r="26" ht="30" customHeight="1">
      <c r="A26" s="20" t="inlineStr">
        <is>
          <t>APMA-370 (CO)</t>
        </is>
      </c>
      <c r="B26" s="21" t="inlineStr">
        <is>
          <t>4.1.5</t>
        </is>
      </c>
      <c r="C26" s="20">
        <f>'APMA-370 (CO)'!$B$30</f>
        <v/>
      </c>
      <c r="D26" s="22" t="inlineStr">
        <is>
          <t>Panel Mount Union (SO21521-6 PVDF)</t>
        </is>
      </c>
      <c r="E26" s="24" t="inlineStr">
        <is>
          <t>Bloqueante</t>
        </is>
      </c>
      <c r="F26" s="21">
        <f>'APMA-370 (CO)'!$U$30</f>
        <v/>
      </c>
      <c r="G26" s="21">
        <f>'APMA-370 (CO)'!$V$30</f>
        <v/>
      </c>
      <c r="H26" s="22">
        <f>'APMA-370 (CO)'!$Z$30</f>
        <v/>
      </c>
    </row>
    <row r="27" ht="30" customHeight="1">
      <c r="A27" s="20" t="inlineStr">
        <is>
          <t>APMA-370 (CO)</t>
        </is>
      </c>
      <c r="B27" s="21" t="inlineStr">
        <is>
          <t>4.2.1</t>
        </is>
      </c>
      <c r="C27" s="20">
        <f>'APMA-370 (CO)'!$B$31</f>
        <v/>
      </c>
      <c r="D27" s="22" t="inlineStr">
        <is>
          <t>Colmatación del filtro de partículas PA-10L</t>
        </is>
      </c>
      <c r="E27" s="25" t="inlineStr">
        <is>
          <t>Cobrable</t>
        </is>
      </c>
      <c r="F27" s="21">
        <f>'APMA-370 (CO)'!$U$31</f>
        <v/>
      </c>
      <c r="G27" s="21">
        <f>'APMA-370 (CO)'!$V$31</f>
        <v/>
      </c>
      <c r="H27" s="22">
        <f>'APMA-370 (CO)'!$Z$31</f>
        <v/>
      </c>
    </row>
    <row r="28" ht="30" customHeight="1">
      <c r="A28" s="20" t="inlineStr">
        <is>
          <t>APMA-370 (CO)</t>
        </is>
      </c>
      <c r="B28" s="21" t="inlineStr">
        <is>
          <t>4.2.2</t>
        </is>
      </c>
      <c r="C28" s="20">
        <f>'APMA-370 (CO)'!$B$32</f>
        <v/>
      </c>
      <c r="D28" s="22" t="inlineStr">
        <is>
          <t>Empaque del filtro frontal (PA-10L)</t>
        </is>
      </c>
      <c r="E28" s="25" t="inlineStr">
        <is>
          <t>Cobrable</t>
        </is>
      </c>
      <c r="F28" s="21">
        <f>'APMA-370 (CO)'!$U$32</f>
        <v/>
      </c>
      <c r="G28" s="21">
        <f>'APMA-370 (CO)'!$V$32</f>
        <v/>
      </c>
      <c r="H28" s="22">
        <f>'APMA-370 (CO)'!$Z$32</f>
        <v/>
      </c>
    </row>
    <row r="29" ht="30" customHeight="1">
      <c r="A29" s="20" t="inlineStr">
        <is>
          <t>APMA-370 (CO)</t>
        </is>
      </c>
      <c r="B29" s="21" t="inlineStr">
        <is>
          <t>4.2.3</t>
        </is>
      </c>
      <c r="C29" s="20">
        <f>'APMA-370 (CO)'!$B$33</f>
        <v/>
      </c>
      <c r="D29" s="22" t="inlineStr">
        <is>
          <t>Junta tórica del portafiltros (O-Ring)</t>
        </is>
      </c>
      <c r="E29" s="25" t="inlineStr">
        <is>
          <t>Cobrable</t>
        </is>
      </c>
      <c r="F29" s="21">
        <f>'APMA-370 (CO)'!$U$33</f>
        <v/>
      </c>
      <c r="G29" s="21">
        <f>'APMA-370 (CO)'!$V$33</f>
        <v/>
      </c>
      <c r="H29" s="22">
        <f>'APMA-370 (CO)'!$Z$33</f>
        <v/>
      </c>
    </row>
    <row r="30" ht="30" customHeight="1">
      <c r="A30" s="20" t="inlineStr">
        <is>
          <t>APMA-370 (CO)</t>
        </is>
      </c>
      <c r="B30" s="21" t="inlineStr">
        <is>
          <t>4.3.1</t>
        </is>
      </c>
      <c r="C30" s="20">
        <f>'APMA-370 (CO)'!$B$34</f>
        <v/>
      </c>
      <c r="D30" s="22" t="inlineStr">
        <is>
          <t>Trampa de humedad (Mist Catcher BAA)</t>
        </is>
      </c>
      <c r="E30" s="25" t="inlineStr">
        <is>
          <t>Cobrable</t>
        </is>
      </c>
      <c r="F30" s="21">
        <f>'APMA-370 (CO)'!$U$34</f>
        <v/>
      </c>
      <c r="G30" s="21">
        <f>'APMA-370 (CO)'!$V$34</f>
        <v/>
      </c>
      <c r="H30" s="22">
        <f>'APMA-370 (CO)'!$Z$34</f>
        <v/>
      </c>
    </row>
    <row r="31" ht="30" customHeight="1">
      <c r="A31" s="20" t="inlineStr">
        <is>
          <t>APMA-370 (CO)</t>
        </is>
      </c>
      <c r="B31" s="21" t="inlineStr">
        <is>
          <t>4.3.2</t>
        </is>
      </c>
      <c r="C31" s="20">
        <f>'APMA-370 (CO)'!$B$35</f>
        <v/>
      </c>
      <c r="D31" s="22" t="inlineStr">
        <is>
          <t>Líneas de teflón internas</t>
        </is>
      </c>
      <c r="E31" s="25" t="inlineStr">
        <is>
          <t>Cobrable</t>
        </is>
      </c>
      <c r="F31" s="21">
        <f>'APMA-370 (CO)'!$U$35</f>
        <v/>
      </c>
      <c r="G31" s="21">
        <f>'APMA-370 (CO)'!$V$35</f>
        <v/>
      </c>
      <c r="H31" s="22">
        <f>'APMA-370 (CO)'!$Z$35</f>
        <v/>
      </c>
    </row>
    <row r="32" ht="30" customHeight="1">
      <c r="A32" s="20" t="inlineStr">
        <is>
          <t>APMA-370 (CO)</t>
        </is>
      </c>
      <c r="B32" s="21" t="inlineStr">
        <is>
          <t>5.1.1</t>
        </is>
      </c>
      <c r="C32" s="20">
        <f>'APMA-370 (CO)'!$B$36</f>
        <v/>
      </c>
      <c r="D32" s="22" t="inlineStr">
        <is>
          <t>Caudal volumétrico de muestra (SAMPLE)</t>
        </is>
      </c>
      <c r="E32" s="24" t="inlineStr">
        <is>
          <t>Bloqueante</t>
        </is>
      </c>
      <c r="F32" s="21">
        <f>'APMA-370 (CO)'!$U$36</f>
        <v/>
      </c>
      <c r="G32" s="21">
        <f>'APMA-370 (CO)'!$V$36</f>
        <v/>
      </c>
      <c r="H32" s="22">
        <f>'APMA-370 (CO)'!$Z$36</f>
        <v/>
      </c>
    </row>
    <row r="33" ht="30" customHeight="1">
      <c r="A33" s="20" t="inlineStr">
        <is>
          <t>APMA-370 (CO)</t>
        </is>
      </c>
      <c r="B33" s="21" t="inlineStr">
        <is>
          <t>5.1.2</t>
        </is>
      </c>
      <c r="C33" s="20">
        <f>'APMA-370 (CO)'!$B$37</f>
        <v/>
      </c>
      <c r="D33" s="22" t="inlineStr">
        <is>
          <t>Presión de succión de la bomba (PUMP)</t>
        </is>
      </c>
      <c r="E33" s="24" t="inlineStr">
        <is>
          <t>Bloqueante</t>
        </is>
      </c>
      <c r="F33" s="21">
        <f>'APMA-370 (CO)'!$U$37</f>
        <v/>
      </c>
      <c r="G33" s="21">
        <f>'APMA-370 (CO)'!$V$37</f>
        <v/>
      </c>
      <c r="H33" s="22">
        <f>'APMA-370 (CO)'!$Z$37</f>
        <v/>
      </c>
    </row>
    <row r="34" ht="30" customHeight="1">
      <c r="A34" s="20" t="inlineStr">
        <is>
          <t>APMA-370 (CO)</t>
        </is>
      </c>
      <c r="B34" s="21" t="inlineStr">
        <is>
          <t>5.2.1</t>
        </is>
      </c>
      <c r="C34" s="20">
        <f>'APMA-370 (CO)'!$B$38</f>
        <v/>
      </c>
      <c r="D34" s="22" t="inlineStr">
        <is>
          <t>Vibración y ruido mecánico de la bomba (P-1-B)</t>
        </is>
      </c>
      <c r="E34" s="25" t="inlineStr">
        <is>
          <t>Cobrable</t>
        </is>
      </c>
      <c r="F34" s="21">
        <f>'APMA-370 (CO)'!$U$38</f>
        <v/>
      </c>
      <c r="G34" s="21">
        <f>'APMA-370 (CO)'!$V$38</f>
        <v/>
      </c>
      <c r="H34" s="22">
        <f>'APMA-370 (CO)'!$Z$38</f>
        <v/>
      </c>
    </row>
    <row r="35" ht="30" customHeight="1">
      <c r="A35" s="20" t="inlineStr">
        <is>
          <t>APMA-370 (CO)</t>
        </is>
      </c>
      <c r="B35" s="21" t="inlineStr">
        <is>
          <t>5.2.2</t>
        </is>
      </c>
      <c r="C35" s="20">
        <f>'APMA-370 (CO)'!$B$39</f>
        <v/>
      </c>
      <c r="D35" s="22" t="inlineStr">
        <is>
          <t>Desgaste de diafragmas de la bomba (P-1-D)</t>
        </is>
      </c>
      <c r="E35" s="25" t="inlineStr">
        <is>
          <t>Cobrable</t>
        </is>
      </c>
      <c r="F35" s="21">
        <f>'APMA-370 (CO)'!$U$39</f>
        <v/>
      </c>
      <c r="G35" s="21">
        <f>'APMA-370 (CO)'!$V$39</f>
        <v/>
      </c>
      <c r="H35" s="22">
        <f>'APMA-370 (CO)'!$Z$39</f>
        <v/>
      </c>
    </row>
    <row r="36" ht="30" customHeight="1">
      <c r="A36" s="20" t="inlineStr">
        <is>
          <t>APMA-370 (CO)</t>
        </is>
      </c>
      <c r="B36" s="21" t="inlineStr">
        <is>
          <t>5.2.3</t>
        </is>
      </c>
      <c r="C36" s="20">
        <f>'APMA-370 (CO)'!$B$40</f>
        <v/>
      </c>
      <c r="D36" s="22" t="inlineStr">
        <is>
          <t>Limpieza de cabezales y válvulas de la bomba</t>
        </is>
      </c>
      <c r="E36" s="25" t="inlineStr">
        <is>
          <t>Cobrable</t>
        </is>
      </c>
      <c r="F36" s="21">
        <f>'APMA-370 (CO)'!$U$40</f>
        <v/>
      </c>
      <c r="G36" s="21">
        <f>'APMA-370 (CO)'!$V$40</f>
        <v/>
      </c>
      <c r="H36" s="22">
        <f>'APMA-370 (CO)'!$Z$40</f>
        <v/>
      </c>
    </row>
    <row r="37" ht="30" customHeight="1">
      <c r="A37" s="20" t="inlineStr">
        <is>
          <t>APMA-370 (CO)</t>
        </is>
      </c>
      <c r="B37" s="21" t="inlineStr">
        <is>
          <t>5.3.1</t>
        </is>
      </c>
      <c r="C37" s="20">
        <f>'APMA-370 (CO)'!$B$41</f>
        <v/>
      </c>
      <c r="D37" s="22" t="inlineStr">
        <is>
          <t>Conmutación de la válvula de modulación (SV-2)</t>
        </is>
      </c>
      <c r="E37" s="24" t="inlineStr">
        <is>
          <t>Bloqueante</t>
        </is>
      </c>
      <c r="F37" s="21">
        <f>'APMA-370 (CO)'!$U$41</f>
        <v/>
      </c>
      <c r="G37" s="21">
        <f>'APMA-370 (CO)'!$V$41</f>
        <v/>
      </c>
      <c r="H37" s="22">
        <f>'APMA-370 (CO)'!$Z$41</f>
        <v/>
      </c>
    </row>
    <row r="38" ht="30" customHeight="1">
      <c r="A38" s="20" t="inlineStr">
        <is>
          <t>APMA-370 (CO)</t>
        </is>
      </c>
      <c r="B38" s="21" t="inlineStr">
        <is>
          <t>5.3.2</t>
        </is>
      </c>
      <c r="C38" s="20">
        <f>'APMA-370 (CO)'!$B$42</f>
        <v/>
      </c>
      <c r="D38" s="22" t="inlineStr">
        <is>
          <t>Prueba de estanqueidad (Leak Test)</t>
        </is>
      </c>
      <c r="E38" s="24" t="inlineStr">
        <is>
          <t>Bloqueante</t>
        </is>
      </c>
      <c r="F38" s="21">
        <f>'APMA-370 (CO)'!$U$42</f>
        <v/>
      </c>
      <c r="G38" s="21">
        <f>'APMA-370 (CO)'!$V$42</f>
        <v/>
      </c>
      <c r="H38" s="22">
        <f>'APMA-370 (CO)'!$Z$42</f>
        <v/>
      </c>
    </row>
    <row r="39" ht="30" customHeight="1">
      <c r="A39" s="20" t="inlineStr">
        <is>
          <t>APMA-370 (CO)</t>
        </is>
      </c>
      <c r="B39" s="21" t="inlineStr">
        <is>
          <t>6.1.1</t>
        </is>
      </c>
      <c r="C39" s="20">
        <f>'APMA-370 (CO)'!$B$43</f>
        <v/>
      </c>
      <c r="D39" s="22" t="inlineStr">
        <is>
          <t>Tensión de señal principal (SIGNAL MAIN)</t>
        </is>
      </c>
      <c r="E39" s="24" t="inlineStr">
        <is>
          <t>Bloqueante</t>
        </is>
      </c>
      <c r="F39" s="21">
        <f>'APMA-370 (CO)'!$U$43</f>
        <v/>
      </c>
      <c r="G39" s="21">
        <f>'APMA-370 (CO)'!$V$43</f>
        <v/>
      </c>
      <c r="H39" s="22">
        <f>'APMA-370 (CO)'!$Z$43</f>
        <v/>
      </c>
    </row>
    <row r="40" ht="30" customHeight="1">
      <c r="A40" s="20" t="inlineStr">
        <is>
          <t>APMA-370 (CO)</t>
        </is>
      </c>
      <c r="B40" s="21" t="inlineStr">
        <is>
          <t>6.1.2</t>
        </is>
      </c>
      <c r="C40" s="20">
        <f>'APMA-370 (CO)'!$B$44</f>
        <v/>
      </c>
      <c r="D40" s="22" t="inlineStr">
        <is>
          <t>Tensión de señal de compensación (SIGNAL COMP)</t>
        </is>
      </c>
      <c r="E40" s="24" t="inlineStr">
        <is>
          <t>Bloqueante</t>
        </is>
      </c>
      <c r="F40" s="21">
        <f>'APMA-370 (CO)'!$U$44</f>
        <v/>
      </c>
      <c r="G40" s="21">
        <f>'APMA-370 (CO)'!$V$44</f>
        <v/>
      </c>
      <c r="H40" s="22">
        <f>'APMA-370 (CO)'!$Z$44</f>
        <v/>
      </c>
    </row>
    <row r="41" ht="30" customHeight="1">
      <c r="A41" s="20" t="inlineStr">
        <is>
          <t>APMA-370 (CO)</t>
        </is>
      </c>
      <c r="B41" s="21" t="inlineStr">
        <is>
          <t>6.2.1</t>
        </is>
      </c>
      <c r="C41" s="20">
        <f>'APMA-370 (CO)'!$B$45</f>
        <v/>
      </c>
      <c r="D41" s="22" t="inlineStr">
        <is>
          <t>Lámpara infrarroja (IR Lamp)</t>
        </is>
      </c>
      <c r="E41" s="24" t="inlineStr">
        <is>
          <t>Bloqueante</t>
        </is>
      </c>
      <c r="F41" s="21">
        <f>'APMA-370 (CO)'!$U$45</f>
        <v/>
      </c>
      <c r="G41" s="21">
        <f>'APMA-370 (CO)'!$V$45</f>
        <v/>
      </c>
      <c r="H41" s="22">
        <f>'APMA-370 (CO)'!$Z$45</f>
        <v/>
      </c>
    </row>
    <row r="42" ht="30" customHeight="1">
      <c r="A42" s="20" t="inlineStr">
        <is>
          <t>APMA-370 (CO)</t>
        </is>
      </c>
      <c r="B42" s="21" t="inlineStr">
        <is>
          <t>6.2.2</t>
        </is>
      </c>
      <c r="C42" s="20">
        <f>'APMA-370 (CO)'!$B$46</f>
        <v/>
      </c>
      <c r="D42" s="22" t="inlineStr">
        <is>
          <t>Limpieza de ventanas ópticas y lentes de la celda</t>
        </is>
      </c>
      <c r="E42" s="25" t="inlineStr">
        <is>
          <t>Cobrable</t>
        </is>
      </c>
      <c r="F42" s="21">
        <f>'APMA-370 (CO)'!$U$46</f>
        <v/>
      </c>
      <c r="G42" s="21">
        <f>'APMA-370 (CO)'!$V$46</f>
        <v/>
      </c>
      <c r="H42" s="22">
        <f>'APMA-370 (CO)'!$Z$46</f>
        <v/>
      </c>
    </row>
    <row r="43" ht="30" customHeight="1">
      <c r="A43" s="20" t="inlineStr">
        <is>
          <t>APMA-370 (CO)</t>
        </is>
      </c>
      <c r="B43" s="21" t="inlineStr">
        <is>
          <t>6.3.1</t>
        </is>
      </c>
      <c r="C43" s="20">
        <f>'APMA-370 (CO)'!$B$47</f>
        <v/>
      </c>
      <c r="D43" s="22" t="inlineStr">
        <is>
          <t>Resortes de amortiguación del banco óptico</t>
        </is>
      </c>
      <c r="E43" s="25" t="inlineStr">
        <is>
          <t>Cobrable</t>
        </is>
      </c>
      <c r="F43" s="21">
        <f>'APMA-370 (CO)'!$U$47</f>
        <v/>
      </c>
      <c r="G43" s="21">
        <f>'APMA-370 (CO)'!$V$47</f>
        <v/>
      </c>
      <c r="H43" s="22">
        <f>'APMA-370 (CO)'!$Z$47</f>
        <v/>
      </c>
    </row>
    <row r="44" ht="30" customHeight="1">
      <c r="A44" s="20" t="inlineStr">
        <is>
          <t>APMA-370 (CO)</t>
        </is>
      </c>
      <c r="B44" s="21" t="inlineStr">
        <is>
          <t>6.3.2</t>
        </is>
      </c>
      <c r="C44" s="20">
        <f>'APMA-370 (CO)'!$B$48</f>
        <v/>
      </c>
      <c r="D44" s="22" t="inlineStr">
        <is>
          <t>Topes amortiguadores (Stoppers)</t>
        </is>
      </c>
      <c r="E44" s="25" t="inlineStr">
        <is>
          <t>Cobrable</t>
        </is>
      </c>
      <c r="F44" s="21">
        <f>'APMA-370 (CO)'!$U$48</f>
        <v/>
      </c>
      <c r="G44" s="21">
        <f>'APMA-370 (CO)'!$V$48</f>
        <v/>
      </c>
      <c r="H44" s="22">
        <f>'APMA-370 (CO)'!$Z$48</f>
        <v/>
      </c>
    </row>
    <row r="45" ht="30" customHeight="1">
      <c r="A45" s="20" t="inlineStr">
        <is>
          <t>APMA-370 (CO)</t>
        </is>
      </c>
      <c r="B45" s="21" t="inlineStr">
        <is>
          <t>6.3.3</t>
        </is>
      </c>
      <c r="C45" s="20">
        <f>'APMA-370 (CO)'!$B$49</f>
        <v/>
      </c>
      <c r="D45" s="22" t="inlineStr">
        <is>
          <t>Tornillos de tope (Screw Stopper)</t>
        </is>
      </c>
      <c r="E45" s="25" t="inlineStr">
        <is>
          <t>Cobrable</t>
        </is>
      </c>
      <c r="F45" s="21">
        <f>'APMA-370 (CO)'!$U$49</f>
        <v/>
      </c>
      <c r="G45" s="21">
        <f>'APMA-370 (CO)'!$V$49</f>
        <v/>
      </c>
      <c r="H45" s="22">
        <f>'APMA-370 (CO)'!$Z$49</f>
        <v/>
      </c>
    </row>
    <row r="46" ht="30" customHeight="1">
      <c r="A46" s="20" t="inlineStr">
        <is>
          <t>APMA-370 (CO)</t>
        </is>
      </c>
      <c r="B46" s="21" t="inlineStr">
        <is>
          <t>6.3.4</t>
        </is>
      </c>
      <c r="C46" s="20">
        <f>'APMA-370 (CO)'!$B$50</f>
        <v/>
      </c>
      <c r="D46" s="22" t="inlineStr">
        <is>
          <t>Tuercas hexagonales de fijación</t>
        </is>
      </c>
      <c r="E46" s="25" t="inlineStr">
        <is>
          <t>Cobrable</t>
        </is>
      </c>
      <c r="F46" s="21">
        <f>'APMA-370 (CO)'!$U$50</f>
        <v/>
      </c>
      <c r="G46" s="21">
        <f>'APMA-370 (CO)'!$V$50</f>
        <v/>
      </c>
      <c r="H46" s="22">
        <f>'APMA-370 (CO)'!$Z$50</f>
        <v/>
      </c>
    </row>
    <row r="47" ht="30" customHeight="1">
      <c r="A47" s="20" t="inlineStr">
        <is>
          <t>APMA-370 (CO)</t>
        </is>
      </c>
      <c r="B47" s="21" t="inlineStr">
        <is>
          <t>6.4.1</t>
        </is>
      </c>
      <c r="C47" s="20">
        <f>'APMA-370 (CO)'!$B$51</f>
        <v/>
      </c>
      <c r="D47" s="22" t="inlineStr">
        <is>
          <t>Eficiencia del relleno catalítico de CO (CAT-1)</t>
        </is>
      </c>
      <c r="E47" s="24" t="inlineStr">
        <is>
          <t>Bloqueante</t>
        </is>
      </c>
      <c r="F47" s="21">
        <f>'APMA-370 (CO)'!$U$51</f>
        <v/>
      </c>
      <c r="G47" s="21">
        <f>'APMA-370 (CO)'!$V$51</f>
        <v/>
      </c>
      <c r="H47" s="22">
        <f>'APMA-370 (CO)'!$Z$51</f>
        <v/>
      </c>
    </row>
    <row r="48" ht="30" customHeight="1">
      <c r="A48" s="20" t="inlineStr">
        <is>
          <t>APMA-370 (CO)</t>
        </is>
      </c>
      <c r="B48" s="21" t="inlineStr">
        <is>
          <t>6.4.2</t>
        </is>
      </c>
      <c r="C48" s="20">
        <f>'APMA-370 (CO)'!$B$52</f>
        <v/>
      </c>
      <c r="D48" s="22" t="inlineStr">
        <is>
          <t>Filtro coalescente interno (DFU9900-05-BK)</t>
        </is>
      </c>
      <c r="E48" s="25" t="inlineStr">
        <is>
          <t>Cobrable</t>
        </is>
      </c>
      <c r="F48" s="21">
        <f>'APMA-370 (CO)'!$U$52</f>
        <v/>
      </c>
      <c r="G48" s="21">
        <f>'APMA-370 (CO)'!$V$52</f>
        <v/>
      </c>
      <c r="H48" s="22">
        <f>'APMA-370 (CO)'!$Z$52</f>
        <v/>
      </c>
    </row>
    <row r="49" ht="30" customHeight="1">
      <c r="A49" s="20" t="inlineStr">
        <is>
          <t>APMA-370 (CO)</t>
        </is>
      </c>
      <c r="B49" s="21" t="inlineStr">
        <is>
          <t>7.1.1</t>
        </is>
      </c>
      <c r="C49" s="20">
        <f>'APMA-370 (CO)'!$B$53</f>
        <v/>
      </c>
      <c r="D49" s="22" t="inlineStr">
        <is>
          <t>Estado de la tarjeta principal CPU (AP-CPU-02)</t>
        </is>
      </c>
      <c r="E49" s="24" t="inlineStr">
        <is>
          <t>Bloqueante</t>
        </is>
      </c>
      <c r="F49" s="21">
        <f>'APMA-370 (CO)'!$U$53</f>
        <v/>
      </c>
      <c r="G49" s="21">
        <f>'APMA-370 (CO)'!$V$53</f>
        <v/>
      </c>
      <c r="H49" s="22">
        <f>'APMA-370 (CO)'!$Z$53</f>
        <v/>
      </c>
    </row>
    <row r="50" ht="30" customHeight="1">
      <c r="A50" s="20" t="inlineStr">
        <is>
          <t>APMA-370 (CO)</t>
        </is>
      </c>
      <c r="B50" s="21" t="inlineStr">
        <is>
          <t>7.1.2</t>
        </is>
      </c>
      <c r="C50" s="20">
        <f>'APMA-370 (CO)'!$B$54</f>
        <v/>
      </c>
      <c r="D50" s="22" t="inlineStr">
        <is>
          <t>Configuración del DIP switch SW2 en AP-ADC-05</t>
        </is>
      </c>
      <c r="E50" s="24" t="inlineStr">
        <is>
          <t>Bloqueante</t>
        </is>
      </c>
      <c r="F50" s="21">
        <f>'APMA-370 (CO)'!$U$54</f>
        <v/>
      </c>
      <c r="G50" s="21">
        <f>'APMA-370 (CO)'!$V$54</f>
        <v/>
      </c>
      <c r="H50" s="22">
        <f>'APMA-370 (CO)'!$Z$54</f>
        <v/>
      </c>
    </row>
    <row r="51" ht="30" customHeight="1">
      <c r="A51" s="20" t="inlineStr">
        <is>
          <t>APMA-370 (CO)</t>
        </is>
      </c>
      <c r="B51" s="21" t="inlineStr">
        <is>
          <t>7.1.3</t>
        </is>
      </c>
      <c r="C51" s="20">
        <f>'APMA-370 (CO)'!$B$55</f>
        <v/>
      </c>
      <c r="D51" s="22" t="inlineStr">
        <is>
          <t>Indicadores LED de la tarjeta ADC (+24V, +5V)</t>
        </is>
      </c>
      <c r="E51" s="24" t="inlineStr">
        <is>
          <t>Bloqueante</t>
        </is>
      </c>
      <c r="F51" s="21">
        <f>'APMA-370 (CO)'!$U$55</f>
        <v/>
      </c>
      <c r="G51" s="21">
        <f>'APMA-370 (CO)'!$V$55</f>
        <v/>
      </c>
      <c r="H51" s="22">
        <f>'APMA-370 (CO)'!$Z$55</f>
        <v/>
      </c>
    </row>
    <row r="52" ht="30" customHeight="1">
      <c r="A52" s="20" t="inlineStr">
        <is>
          <t>APMA-370 (CO)</t>
        </is>
      </c>
      <c r="B52" s="21" t="inlineStr">
        <is>
          <t>7.1.4</t>
        </is>
      </c>
      <c r="C52" s="20">
        <f>'APMA-370 (CO)'!$B$56</f>
        <v/>
      </c>
      <c r="D52" s="22" t="inlineStr">
        <is>
          <t>Estado físico de la tarjeta de relés (AP-RPL-02A)</t>
        </is>
      </c>
      <c r="E52" s="24" t="inlineStr">
        <is>
          <t>Bloqueante</t>
        </is>
      </c>
      <c r="F52" s="21">
        <f>'APMA-370 (CO)'!$U$56</f>
        <v/>
      </c>
      <c r="G52" s="21">
        <f>'APMA-370 (CO)'!$V$56</f>
        <v/>
      </c>
      <c r="H52" s="22">
        <f>'APMA-370 (CO)'!$Z$56</f>
        <v/>
      </c>
    </row>
    <row r="53" ht="30" customHeight="1">
      <c r="A53" s="20" t="inlineStr">
        <is>
          <t>APMA-370 (CO)</t>
        </is>
      </c>
      <c r="B53" s="21" t="inlineStr">
        <is>
          <t>7.1.5</t>
        </is>
      </c>
      <c r="C53" s="20">
        <f>'APMA-370 (CO)'!$B$57</f>
        <v/>
      </c>
      <c r="D53" s="22" t="inlineStr">
        <is>
          <t>LED de comunicación ST0 y ST1 en tarjeta RPL</t>
        </is>
      </c>
      <c r="E53" s="24" t="inlineStr">
        <is>
          <t>Bloqueante</t>
        </is>
      </c>
      <c r="F53" s="21">
        <f>'APMA-370 (CO)'!$U$57</f>
        <v/>
      </c>
      <c r="G53" s="21">
        <f>'APMA-370 (CO)'!$V$57</f>
        <v/>
      </c>
      <c r="H53" s="22">
        <f>'APMA-370 (CO)'!$Z$57</f>
        <v/>
      </c>
    </row>
    <row r="54" ht="30" customHeight="1">
      <c r="A54" s="20" t="inlineStr">
        <is>
          <t>APMA-370 (CO)</t>
        </is>
      </c>
      <c r="B54" s="21" t="inlineStr">
        <is>
          <t>7.1.6</t>
        </is>
      </c>
      <c r="C54" s="20">
        <f>'APMA-370 (CO)'!$B$58</f>
        <v/>
      </c>
      <c r="D54" s="22" t="inlineStr">
        <is>
          <t>LED de tensión +5 V en tarjeta RPL</t>
        </is>
      </c>
      <c r="E54" s="24" t="inlineStr">
        <is>
          <t>Bloqueante</t>
        </is>
      </c>
      <c r="F54" s="21">
        <f>'APMA-370 (CO)'!$U$58</f>
        <v/>
      </c>
      <c r="G54" s="21">
        <f>'APMA-370 (CO)'!$V$58</f>
        <v/>
      </c>
      <c r="H54" s="22">
        <f>'APMA-370 (CO)'!$Z$58</f>
        <v/>
      </c>
    </row>
    <row r="55" ht="30" customHeight="1">
      <c r="A55" s="20" t="inlineStr">
        <is>
          <t>APMA-370 (CO)</t>
        </is>
      </c>
      <c r="B55" s="21" t="inlineStr">
        <is>
          <t>7.1.7</t>
        </is>
      </c>
      <c r="C55" s="20">
        <f>'APMA-370 (CO)'!$B$59</f>
        <v/>
      </c>
      <c r="D55" s="22" t="inlineStr">
        <is>
          <t>Switch de selección de alarma general (SW1/SW2 en RPL)</t>
        </is>
      </c>
      <c r="E55" s="23" t="inlineStr">
        <is>
          <t>Alerta</t>
        </is>
      </c>
      <c r="F55" s="21">
        <f>'APMA-370 (CO)'!$U$59</f>
        <v/>
      </c>
      <c r="G55" s="21">
        <f>'APMA-370 (CO)'!$V$59</f>
        <v/>
      </c>
      <c r="H55" s="22">
        <f>'APMA-370 (CO)'!$Z$59</f>
        <v/>
      </c>
    </row>
    <row r="56" ht="30" customHeight="1">
      <c r="A56" s="20" t="inlineStr">
        <is>
          <t>APMA-370 (CO)</t>
        </is>
      </c>
      <c r="B56" s="21" t="inlineStr">
        <is>
          <t>7.2.1</t>
        </is>
      </c>
      <c r="C56" s="20">
        <f>'APMA-370 (CO)'!$B$60</f>
        <v/>
      </c>
      <c r="D56" s="22" t="inlineStr">
        <is>
          <t>Batería de litio del reloj de tiempo real (BATT1 / CR2032)</t>
        </is>
      </c>
      <c r="E56" s="25" t="inlineStr">
        <is>
          <t>Cobrable</t>
        </is>
      </c>
      <c r="F56" s="21">
        <f>'APMA-370 (CO)'!$U$60</f>
        <v/>
      </c>
      <c r="G56" s="21">
        <f>'APMA-370 (CO)'!$V$60</f>
        <v/>
      </c>
      <c r="H56" s="22">
        <f>'APMA-370 (CO)'!$Z$60</f>
        <v/>
      </c>
    </row>
    <row r="57" ht="30" customHeight="1">
      <c r="A57" s="20" t="inlineStr">
        <is>
          <t>APMA-370 (CO)</t>
        </is>
      </c>
      <c r="B57" s="21" t="inlineStr">
        <is>
          <t>7.3.1</t>
        </is>
      </c>
      <c r="C57" s="20">
        <f>'APMA-370 (CO)'!$B$61</f>
        <v/>
      </c>
      <c r="D57" s="22" t="inlineStr">
        <is>
          <t>Cintas flex de la pantalla táctil LCD (Tape Wire)</t>
        </is>
      </c>
      <c r="E57" s="25" t="inlineStr">
        <is>
          <t>Cobrable</t>
        </is>
      </c>
      <c r="F57" s="21">
        <f>'APMA-370 (CO)'!$U$61</f>
        <v/>
      </c>
      <c r="G57" s="21">
        <f>'APMA-370 (CO)'!$V$61</f>
        <v/>
      </c>
      <c r="H57" s="22">
        <f>'APMA-370 (CO)'!$Z$61</f>
        <v/>
      </c>
    </row>
    <row r="58" ht="30" customHeight="1">
      <c r="A58" s="20" t="inlineStr">
        <is>
          <t>APMA-370 (CO)</t>
        </is>
      </c>
      <c r="B58" s="21" t="inlineStr">
        <is>
          <t>7.3.2</t>
        </is>
      </c>
      <c r="C58" s="20">
        <f>'APMA-370 (CO)'!$B$62</f>
        <v/>
      </c>
      <c r="D58" s="22" t="inlineStr">
        <is>
          <t>Respuesta táctil de la pantalla (Touch Panel)</t>
        </is>
      </c>
      <c r="E58" s="25" t="inlineStr">
        <is>
          <t>Cobrable</t>
        </is>
      </c>
      <c r="F58" s="21">
        <f>'APMA-370 (CO)'!$U$62</f>
        <v/>
      </c>
      <c r="G58" s="21">
        <f>'APMA-370 (CO)'!$V$62</f>
        <v/>
      </c>
      <c r="H58" s="22">
        <f>'APMA-370 (CO)'!$Z$62</f>
        <v/>
      </c>
    </row>
    <row r="59" ht="30" customHeight="1">
      <c r="A59" s="20" t="inlineStr">
        <is>
          <t>APMA-370 (CO)</t>
        </is>
      </c>
      <c r="B59" s="21" t="inlineStr">
        <is>
          <t>7.4.1</t>
        </is>
      </c>
      <c r="C59" s="20">
        <f>'APMA-370 (CO)'!$B$63</f>
        <v/>
      </c>
      <c r="D59" s="22" t="inlineStr">
        <is>
          <t>Tensiones secundarias de la fuente de poder principal</t>
        </is>
      </c>
      <c r="E59" s="24" t="inlineStr">
        <is>
          <t>Bloqueante</t>
        </is>
      </c>
      <c r="F59" s="21">
        <f>'APMA-370 (CO)'!$U$63</f>
        <v/>
      </c>
      <c r="G59" s="21">
        <f>'APMA-370 (CO)'!$V$63</f>
        <v/>
      </c>
      <c r="H59" s="22">
        <f>'APMA-370 (CO)'!$Z$63</f>
        <v/>
      </c>
    </row>
    <row r="60" ht="30" customHeight="1">
      <c r="A60" s="20" t="inlineStr">
        <is>
          <t>APMA-370 (CO)</t>
        </is>
      </c>
      <c r="B60" s="21" t="inlineStr">
        <is>
          <t>7.4.2</t>
        </is>
      </c>
      <c r="C60" s="20">
        <f>'APMA-370 (CO)'!$B$64</f>
        <v/>
      </c>
      <c r="D60" s="22" t="inlineStr">
        <is>
          <t>Transformador de la bomba de muestreo</t>
        </is>
      </c>
      <c r="E60" s="24" t="inlineStr">
        <is>
          <t>Bloqueante</t>
        </is>
      </c>
      <c r="F60" s="21">
        <f>'APMA-370 (CO)'!$U$64</f>
        <v/>
      </c>
      <c r="G60" s="21">
        <f>'APMA-370 (CO)'!$V$64</f>
        <v/>
      </c>
      <c r="H60" s="22">
        <f>'APMA-370 (CO)'!$Z$64</f>
        <v/>
      </c>
    </row>
    <row r="61" ht="30" customHeight="1">
      <c r="A61" s="20" t="inlineStr">
        <is>
          <t>APMA-370 (CO)</t>
        </is>
      </c>
      <c r="B61" s="21" t="inlineStr">
        <is>
          <t>7.5.1</t>
        </is>
      </c>
      <c r="C61" s="20">
        <f>'APMA-370 (CO)'!$B$65</f>
        <v/>
      </c>
      <c r="D61" s="22" t="inlineStr">
        <is>
          <t>Conector del cable serial RS-232C</t>
        </is>
      </c>
      <c r="E61" s="23" t="inlineStr">
        <is>
          <t>Alerta</t>
        </is>
      </c>
      <c r="F61" s="21">
        <f>'APMA-370 (CO)'!$U$65</f>
        <v/>
      </c>
      <c r="G61" s="21">
        <f>'APMA-370 (CO)'!$V$65</f>
        <v/>
      </c>
      <c r="H61" s="22">
        <f>'APMA-370 (CO)'!$Z$65</f>
        <v/>
      </c>
    </row>
    <row r="62" ht="30" customHeight="1">
      <c r="A62" s="20" t="inlineStr">
        <is>
          <t>APMA-370 (CO)</t>
        </is>
      </c>
      <c r="B62" s="21" t="inlineStr">
        <is>
          <t>7.5.2</t>
        </is>
      </c>
      <c r="C62" s="20">
        <f>'APMA-370 (CO)'!$B$66</f>
        <v/>
      </c>
      <c r="D62" s="22" t="inlineStr">
        <is>
          <t>Tarjeta serial opcional (AP-SIO-04)</t>
        </is>
      </c>
      <c r="E62" s="23" t="inlineStr">
        <is>
          <t>Alerta</t>
        </is>
      </c>
      <c r="F62" s="21">
        <f>'APMA-370 (CO)'!$U$66</f>
        <v/>
      </c>
      <c r="G62" s="21">
        <f>'APMA-370 (CO)'!$V$66</f>
        <v/>
      </c>
      <c r="H62" s="22">
        <f>'APMA-370 (CO)'!$Z$66</f>
        <v/>
      </c>
    </row>
    <row r="63" ht="30" customHeight="1">
      <c r="A63" s="20" t="inlineStr">
        <is>
          <t>APMA-370 (CO)</t>
        </is>
      </c>
      <c r="B63" s="21" t="inlineStr">
        <is>
          <t>8.1.1</t>
        </is>
      </c>
      <c r="C63" s="20">
        <f>'APMA-370 (CO)'!$B$67</f>
        <v/>
      </c>
      <c r="D63" s="22" t="inlineStr">
        <is>
          <t>Horas acumuladas del filtro de partículas PA-10L</t>
        </is>
      </c>
      <c r="E63" s="25" t="inlineStr">
        <is>
          <t>Cobrable</t>
        </is>
      </c>
      <c r="F63" s="21">
        <f>'APMA-370 (CO)'!$U$67</f>
        <v/>
      </c>
      <c r="G63" s="21">
        <f>'APMA-370 (CO)'!$V$67</f>
        <v/>
      </c>
      <c r="H63" s="22">
        <f>'APMA-370 (CO)'!$Z$67</f>
        <v/>
      </c>
    </row>
    <row r="64" ht="30" customHeight="1">
      <c r="A64" s="20" t="inlineStr">
        <is>
          <t>APMA-370 (CO)</t>
        </is>
      </c>
      <c r="B64" s="21" t="inlineStr">
        <is>
          <t>8.1.2</t>
        </is>
      </c>
      <c r="C64" s="20">
        <f>'APMA-370 (CO)'!$B$68</f>
        <v/>
      </c>
      <c r="D64" s="22" t="inlineStr">
        <is>
          <t>Horas acumuladas de diafragmas de la bomba (P-1-D)</t>
        </is>
      </c>
      <c r="E64" s="25" t="inlineStr">
        <is>
          <t>Cobrable</t>
        </is>
      </c>
      <c r="F64" s="21">
        <f>'APMA-370 (CO)'!$U$68</f>
        <v/>
      </c>
      <c r="G64" s="21">
        <f>'APMA-370 (CO)'!$V$68</f>
        <v/>
      </c>
      <c r="H64" s="22">
        <f>'APMA-370 (CO)'!$Z$68</f>
        <v/>
      </c>
    </row>
    <row r="65" ht="30" customHeight="1">
      <c r="A65" s="20" t="inlineStr">
        <is>
          <t>APMA-370 (CO)</t>
        </is>
      </c>
      <c r="B65" s="21" t="inlineStr">
        <is>
          <t>8.1.3</t>
        </is>
      </c>
      <c r="C65" s="20">
        <f>'APMA-370 (CO)'!$B$69</f>
        <v/>
      </c>
      <c r="D65" s="22" t="inlineStr">
        <is>
          <t>Horas acumuladas del catalizador de CO (CAT-1)</t>
        </is>
      </c>
      <c r="E65" s="25" t="inlineStr">
        <is>
          <t>Cobrable</t>
        </is>
      </c>
      <c r="F65" s="21">
        <f>'APMA-370 (CO)'!$U$69</f>
        <v/>
      </c>
      <c r="G65" s="21">
        <f>'APMA-370 (CO)'!$V$69</f>
        <v/>
      </c>
      <c r="H65" s="22">
        <f>'APMA-370 (CO)'!$Z$69</f>
        <v/>
      </c>
    </row>
    <row r="66" ht="30" customHeight="1">
      <c r="A66" s="20" t="inlineStr">
        <is>
          <t>APMA-370 (CO)</t>
        </is>
      </c>
      <c r="B66" s="21" t="inlineStr">
        <is>
          <t>8.1.4</t>
        </is>
      </c>
      <c r="C66" s="20">
        <f>'APMA-370 (CO)'!$B$70</f>
        <v/>
      </c>
      <c r="D66" s="22" t="inlineStr">
        <is>
          <t>Horas acumuladas de la trampa Mist Catcher (MC-1)</t>
        </is>
      </c>
      <c r="E66" s="25" t="inlineStr">
        <is>
          <t>Cobrable</t>
        </is>
      </c>
      <c r="F66" s="21">
        <f>'APMA-370 (CO)'!$U$70</f>
        <v/>
      </c>
      <c r="G66" s="21">
        <f>'APMA-370 (CO)'!$V$70</f>
        <v/>
      </c>
      <c r="H66" s="22">
        <f>'APMA-370 (CO)'!$Z$70</f>
        <v/>
      </c>
    </row>
    <row r="67" ht="30" customHeight="1">
      <c r="A67" s="20" t="inlineStr">
        <is>
          <t>APMA-370 (CO)</t>
        </is>
      </c>
      <c r="B67" s="21" t="inlineStr">
        <is>
          <t>8.1.5</t>
        </is>
      </c>
      <c r="C67" s="20">
        <f>'APMA-370 (CO)'!$B$71</f>
        <v/>
      </c>
      <c r="D67" s="22" t="inlineStr">
        <is>
          <t>Horas acumuladas de la bomba completa (P-1-B)</t>
        </is>
      </c>
      <c r="E67" s="25" t="inlineStr">
        <is>
          <t>Cobrable</t>
        </is>
      </c>
      <c r="F67" s="21">
        <f>'APMA-370 (CO)'!$U$71</f>
        <v/>
      </c>
      <c r="G67" s="21">
        <f>'APMA-370 (CO)'!$V$71</f>
        <v/>
      </c>
      <c r="H67" s="22">
        <f>'APMA-370 (CO)'!$Z$71</f>
        <v/>
      </c>
    </row>
    <row r="68" ht="30" customHeight="1">
      <c r="A68" s="20" t="inlineStr">
        <is>
          <t>APMA-370 (CO)</t>
        </is>
      </c>
      <c r="B68" s="21" t="inlineStr">
        <is>
          <t>8.2.1</t>
        </is>
      </c>
      <c r="C68" s="20">
        <f>'APMA-370 (CO)'!$B$72</f>
        <v/>
      </c>
      <c r="D68" s="22" t="inlineStr">
        <is>
          <t>Obstrucción de esponjas disipadoras (Filter Sponge)</t>
        </is>
      </c>
      <c r="E68" s="25" t="inlineStr">
        <is>
          <t>Cobrable</t>
        </is>
      </c>
      <c r="F68" s="21">
        <f>'APMA-370 (CO)'!$U$72</f>
        <v/>
      </c>
      <c r="G68" s="21">
        <f>'APMA-370 (CO)'!$V$72</f>
        <v/>
      </c>
      <c r="H68" s="22">
        <f>'APMA-370 (CO)'!$Z$72</f>
        <v/>
      </c>
    </row>
    <row r="69" ht="30" customHeight="1">
      <c r="A69" s="20" t="inlineStr">
        <is>
          <t>APMA-370 (CO)</t>
        </is>
      </c>
      <c r="B69" s="21" t="inlineStr">
        <is>
          <t>9.1.1</t>
        </is>
      </c>
      <c r="C69" s="20">
        <f>'APMA-370 (CO)'!$B$73</f>
        <v/>
      </c>
      <c r="D69" s="22" t="inlineStr">
        <is>
          <t>Temperatura de la celda de medida (CELL)</t>
        </is>
      </c>
      <c r="E69" s="24" t="inlineStr">
        <is>
          <t>Bloqueante</t>
        </is>
      </c>
      <c r="F69" s="21">
        <f>'APMA-370 (CO)'!$U$73</f>
        <v/>
      </c>
      <c r="G69" s="21">
        <f>'APMA-370 (CO)'!$V$73</f>
        <v/>
      </c>
      <c r="H69" s="22">
        <f>'APMA-370 (CO)'!$Z$73</f>
        <v/>
      </c>
    </row>
    <row r="70" ht="30" customHeight="1">
      <c r="A70" s="20" t="inlineStr">
        <is>
          <t>APMA-370 (CO)</t>
        </is>
      </c>
      <c r="B70" s="21" t="inlineStr">
        <is>
          <t>9.1.2</t>
        </is>
      </c>
      <c r="C70" s="20">
        <f>'APMA-370 (CO)'!$B$74</f>
        <v/>
      </c>
      <c r="D70" s="22" t="inlineStr">
        <is>
          <t>Sensor de temperatura del catalizador de CO (CAT)</t>
        </is>
      </c>
      <c r="E70" s="24" t="inlineStr">
        <is>
          <t>Bloqueante</t>
        </is>
      </c>
      <c r="F70" s="21">
        <f>'APMA-370 (CO)'!$U$74</f>
        <v/>
      </c>
      <c r="G70" s="21">
        <f>'APMA-370 (CO)'!$V$74</f>
        <v/>
      </c>
      <c r="H70" s="22">
        <f>'APMA-370 (CO)'!$Z$74</f>
        <v/>
      </c>
    </row>
    <row r="71" ht="30" customHeight="1">
      <c r="A71" s="20" t="inlineStr">
        <is>
          <t>APMA-370 (CO)</t>
        </is>
      </c>
      <c r="B71" s="21" t="inlineStr">
        <is>
          <t>9.2.1</t>
        </is>
      </c>
      <c r="C71" s="20">
        <f>'APMA-370 (CO)'!$B$75</f>
        <v/>
      </c>
      <c r="D71" s="22" t="inlineStr">
        <is>
          <t>Presión barométrica ambiental (AMBIENT)</t>
        </is>
      </c>
      <c r="E71" s="24" t="inlineStr">
        <is>
          <t>Bloqueante</t>
        </is>
      </c>
      <c r="F71" s="21">
        <f>'APMA-370 (CO)'!$U$75</f>
        <v/>
      </c>
      <c r="G71" s="21">
        <f>'APMA-370 (CO)'!$V$75</f>
        <v/>
      </c>
      <c r="H71" s="22">
        <f>'APMA-370 (CO)'!$Z$75</f>
        <v/>
      </c>
    </row>
    <row r="72" ht="30" customHeight="1">
      <c r="A72" s="20" t="inlineStr">
        <is>
          <t>APMA-370 (CO)</t>
        </is>
      </c>
      <c r="B72" s="21" t="inlineStr">
        <is>
          <t>9.2.2</t>
        </is>
      </c>
      <c r="C72" s="20">
        <f>'APMA-370 (CO)'!$B$76</f>
        <v/>
      </c>
      <c r="D72" s="22" t="inlineStr">
        <is>
          <t>Desviación de los sensores de presión</t>
        </is>
      </c>
      <c r="E72" s="24" t="inlineStr">
        <is>
          <t>Bloqueante</t>
        </is>
      </c>
      <c r="F72" s="21">
        <f>'APMA-370 (CO)'!$U$76</f>
        <v/>
      </c>
      <c r="G72" s="21">
        <f>'APMA-370 (CO)'!$V$76</f>
        <v/>
      </c>
      <c r="H72" s="22">
        <f>'APMA-370 (CO)'!$Z$76</f>
        <v/>
      </c>
    </row>
    <row r="73" ht="30" customHeight="1">
      <c r="A73" s="20" t="inlineStr">
        <is>
          <t>APMA-370 (CO)</t>
        </is>
      </c>
      <c r="B73" s="21" t="inlineStr">
        <is>
          <t>9.3.1</t>
        </is>
      </c>
      <c r="C73" s="20">
        <f>'APMA-370 (CO)'!$B$77</f>
        <v/>
      </c>
      <c r="D73" s="22" t="inlineStr">
        <is>
          <t>Tensión interna del riel DC 24 V</t>
        </is>
      </c>
      <c r="E73" s="24" t="inlineStr">
        <is>
          <t>Bloqueante</t>
        </is>
      </c>
      <c r="F73" s="21">
        <f>'APMA-370 (CO)'!$U$77</f>
        <v/>
      </c>
      <c r="G73" s="21">
        <f>'APMA-370 (CO)'!$V$77</f>
        <v/>
      </c>
      <c r="H73" s="22">
        <f>'APMA-370 (CO)'!$Z$77</f>
        <v/>
      </c>
    </row>
    <row r="74" ht="30" customHeight="1">
      <c r="A74" s="20" t="inlineStr">
        <is>
          <t>APMA-370 (CO)</t>
        </is>
      </c>
      <c r="B74" s="21" t="inlineStr">
        <is>
          <t>9.3.2</t>
        </is>
      </c>
      <c r="C74" s="20">
        <f>'APMA-370 (CO)'!$B$78</f>
        <v/>
      </c>
      <c r="D74" s="22" t="inlineStr">
        <is>
          <t>Tensión interna del riel DC 5 V</t>
        </is>
      </c>
      <c r="E74" s="24" t="inlineStr">
        <is>
          <t>Bloqueante</t>
        </is>
      </c>
      <c r="F74" s="21">
        <f>'APMA-370 (CO)'!$U$78</f>
        <v/>
      </c>
      <c r="G74" s="21">
        <f>'APMA-370 (CO)'!$V$78</f>
        <v/>
      </c>
      <c r="H74" s="22">
        <f>'APMA-370 (CO)'!$Z$78</f>
        <v/>
      </c>
    </row>
    <row r="75" ht="30" customHeight="1">
      <c r="A75" s="20" t="inlineStr">
        <is>
          <t>APMA-370 (CO)</t>
        </is>
      </c>
      <c r="B75" s="21" t="inlineStr">
        <is>
          <t>10.1.1</t>
        </is>
      </c>
      <c r="C75" s="20">
        <f>'APMA-370 (CO)'!$B$79</f>
        <v/>
      </c>
      <c r="D75" s="22" t="inlineStr">
        <is>
          <t>Ajuste y fijación de la puerta frontal</t>
        </is>
      </c>
      <c r="E75" s="25" t="inlineStr">
        <is>
          <t>Cobrable</t>
        </is>
      </c>
      <c r="F75" s="21">
        <f>'APMA-370 (CO)'!$U$79</f>
        <v/>
      </c>
      <c r="G75" s="21">
        <f>'APMA-370 (CO)'!$V$79</f>
        <v/>
      </c>
      <c r="H75" s="22">
        <f>'APMA-370 (CO)'!$Z$79</f>
        <v/>
      </c>
    </row>
    <row r="76" ht="30" customHeight="1">
      <c r="A76" s="20" t="inlineStr">
        <is>
          <t>APMA-370 (CO)</t>
        </is>
      </c>
      <c r="B76" s="21" t="inlineStr">
        <is>
          <t>10.1.2</t>
        </is>
      </c>
      <c r="C76" s="20">
        <f>'APMA-370 (CO)'!$B$80</f>
        <v/>
      </c>
      <c r="D76" s="22" t="inlineStr">
        <is>
          <t>Casquillos de bisagra de la puerta frontal</t>
        </is>
      </c>
      <c r="E76" s="25" t="inlineStr">
        <is>
          <t>Cobrable</t>
        </is>
      </c>
      <c r="F76" s="21">
        <f>'APMA-370 (CO)'!$U$80</f>
        <v/>
      </c>
      <c r="G76" s="21">
        <f>'APMA-370 (CO)'!$V$80</f>
        <v/>
      </c>
      <c r="H76" s="22">
        <f>'APMA-370 (CO)'!$Z$80</f>
        <v/>
      </c>
    </row>
    <row r="77" ht="30" customHeight="1">
      <c r="A77" s="20" t="inlineStr">
        <is>
          <t>APMA-370 (CO)</t>
        </is>
      </c>
      <c r="B77" s="21" t="inlineStr">
        <is>
          <t>10.1.3</t>
        </is>
      </c>
      <c r="C77" s="20">
        <f>'APMA-370 (CO)'!$B$81</f>
        <v/>
      </c>
      <c r="D77" s="22" t="inlineStr">
        <is>
          <t>Eje de bisagra de la puerta frontal</t>
        </is>
      </c>
      <c r="E77" s="25" t="inlineStr">
        <is>
          <t>Cobrable</t>
        </is>
      </c>
      <c r="F77" s="21">
        <f>'APMA-370 (CO)'!$U$81</f>
        <v/>
      </c>
      <c r="G77" s="21">
        <f>'APMA-370 (CO)'!$V$81</f>
        <v/>
      </c>
      <c r="H77" s="22">
        <f>'APMA-370 (CO)'!$Z$81</f>
        <v/>
      </c>
    </row>
    <row r="78" ht="30" customHeight="1">
      <c r="A78" s="20" t="inlineStr">
        <is>
          <t>APMA-370 (CO)</t>
        </is>
      </c>
      <c r="B78" s="21" t="inlineStr">
        <is>
          <t>10.2.1</t>
        </is>
      </c>
      <c r="C78" s="20">
        <f>'APMA-370 (CO)'!$B$82</f>
        <v/>
      </c>
      <c r="D78" s="22" t="inlineStr">
        <is>
          <t>Extractor de calor (Cooling Fan) posterior</t>
        </is>
      </c>
      <c r="E78" s="24" t="inlineStr">
        <is>
          <t>Bloqueante</t>
        </is>
      </c>
      <c r="F78" s="21">
        <f>'APMA-370 (CO)'!$U$82</f>
        <v/>
      </c>
      <c r="G78" s="21">
        <f>'APMA-370 (CO)'!$V$82</f>
        <v/>
      </c>
      <c r="H78" s="22">
        <f>'APMA-370 (CO)'!$Z$82</f>
        <v/>
      </c>
    </row>
    <row r="79" ht="30" customHeight="1">
      <c r="A79" s="20" t="inlineStr">
        <is>
          <t>APMA-370 (CO)</t>
        </is>
      </c>
      <c r="B79" s="21" t="inlineStr">
        <is>
          <t>10.3.1</t>
        </is>
      </c>
      <c r="C79" s="20">
        <f>'APMA-370 (CO)'!$B$83</f>
        <v/>
      </c>
      <c r="D79" s="22" t="inlineStr">
        <is>
          <t>Rieles o bandeja de base en rack de 19 pulgadas</t>
        </is>
      </c>
      <c r="E79" s="23" t="inlineStr">
        <is>
          <t>Alerta</t>
        </is>
      </c>
      <c r="F79" s="21">
        <f>'APMA-370 (CO)'!$U$83</f>
        <v/>
      </c>
      <c r="G79" s="21">
        <f>'APMA-370 (CO)'!$V$83</f>
        <v/>
      </c>
      <c r="H79" s="22">
        <f>'APMA-370 (CO)'!$Z$83</f>
        <v/>
      </c>
    </row>
    <row r="80" ht="30" customHeight="1">
      <c r="A80" s="20" t="inlineStr">
        <is>
          <t>APMA-370 (CO)</t>
        </is>
      </c>
      <c r="B80" s="21" t="inlineStr">
        <is>
          <t>10.3.2</t>
        </is>
      </c>
      <c r="C80" s="20">
        <f>'APMA-370 (CO)'!$B$84</f>
        <v/>
      </c>
      <c r="D80" s="22" t="inlineStr">
        <is>
          <t>Holgura con el fondo del rack</t>
        </is>
      </c>
      <c r="E80" s="23" t="inlineStr">
        <is>
          <t>Alerta</t>
        </is>
      </c>
      <c r="F80" s="21">
        <f>'APMA-370 (CO)'!$U$84</f>
        <v/>
      </c>
      <c r="G80" s="21">
        <f>'APMA-370 (CO)'!$V$84</f>
        <v/>
      </c>
      <c r="H80" s="22">
        <f>'APMA-370 (CO)'!$Z$84</f>
        <v/>
      </c>
    </row>
    <row r="81" ht="30" customHeight="1">
      <c r="A81" s="20" t="inlineStr">
        <is>
          <t>APMA-370 (CO)</t>
        </is>
      </c>
      <c r="B81" s="21" t="inlineStr">
        <is>
          <t>10.4.1</t>
        </is>
      </c>
      <c r="C81" s="20">
        <f>'APMA-370 (CO)'!$B$85</f>
        <v/>
      </c>
      <c r="D81" s="22" t="inlineStr">
        <is>
          <t>Temperatura ambiental de operación de la sala</t>
        </is>
      </c>
      <c r="E81" s="23" t="inlineStr">
        <is>
          <t>Alerta</t>
        </is>
      </c>
      <c r="F81" s="21">
        <f>'APMA-370 (CO)'!$U$85</f>
        <v/>
      </c>
      <c r="G81" s="21">
        <f>'APMA-370 (CO)'!$V$85</f>
        <v/>
      </c>
      <c r="H81" s="22">
        <f>'APMA-370 (CO)'!$Z$85</f>
        <v/>
      </c>
    </row>
    <row r="82" ht="30" customHeight="1">
      <c r="A82" s="20" t="inlineStr">
        <is>
          <t>APMA-370 (CO)</t>
        </is>
      </c>
      <c r="B82" s="21" t="inlineStr">
        <is>
          <t>10.4.2</t>
        </is>
      </c>
      <c r="C82" s="20">
        <f>'APMA-370 (CO)'!$B$86</f>
        <v/>
      </c>
      <c r="D82" s="22" t="inlineStr">
        <is>
          <t>Humedad relativa con temperatura menor a 31 °C</t>
        </is>
      </c>
      <c r="E82" s="23" t="inlineStr">
        <is>
          <t>Alerta</t>
        </is>
      </c>
      <c r="F82" s="21">
        <f>'APMA-370 (CO)'!$U$86</f>
        <v/>
      </c>
      <c r="G82" s="21">
        <f>'APMA-370 (CO)'!$V$86</f>
        <v/>
      </c>
      <c r="H82" s="22">
        <f>'APMA-370 (CO)'!$Z$86</f>
        <v/>
      </c>
    </row>
    <row r="83" ht="30" customHeight="1">
      <c r="A83" s="20" t="inlineStr">
        <is>
          <t>APMA-370 (CO)</t>
        </is>
      </c>
      <c r="B83" s="21" t="inlineStr">
        <is>
          <t>10.4.3</t>
        </is>
      </c>
      <c r="C83" s="20">
        <f>'APMA-370 (CO)'!$B$87</f>
        <v/>
      </c>
      <c r="D83" s="22" t="inlineStr">
        <is>
          <t>Humedad relativa con temperatura entre 31 y 40 °C</t>
        </is>
      </c>
      <c r="E83" s="23" t="inlineStr">
        <is>
          <t>Alerta</t>
        </is>
      </c>
      <c r="F83" s="21">
        <f>'APMA-370 (CO)'!$U$87</f>
        <v/>
      </c>
      <c r="G83" s="21">
        <f>'APMA-370 (CO)'!$V$87</f>
        <v/>
      </c>
      <c r="H83" s="22">
        <f>'APMA-370 (CO)'!$Z$87</f>
        <v/>
      </c>
    </row>
    <row r="84" ht="30" customHeight="1">
      <c r="A84" s="20" t="inlineStr">
        <is>
          <t>APMA-370 (CO)</t>
        </is>
      </c>
      <c r="B84" s="21" t="inlineStr">
        <is>
          <t>10.5.1</t>
        </is>
      </c>
      <c r="C84" s="20">
        <f>'APMA-370 (CO)'!$B$88</f>
        <v/>
      </c>
      <c r="D84" s="22" t="inlineStr">
        <is>
          <t>Variación de tensión nominal AC</t>
        </is>
      </c>
      <c r="E84" s="24" t="inlineStr">
        <is>
          <t>Bloqueante</t>
        </is>
      </c>
      <c r="F84" s="21">
        <f>'APMA-370 (CO)'!$U$88</f>
        <v/>
      </c>
      <c r="G84" s="21">
        <f>'APMA-370 (CO)'!$V$88</f>
        <v/>
      </c>
      <c r="H84" s="22">
        <f>'APMA-370 (CO)'!$Z$88</f>
        <v/>
      </c>
    </row>
    <row r="85" ht="30" customHeight="1">
      <c r="A85" s="20" t="inlineStr">
        <is>
          <t>APSA-370 (SO2)</t>
        </is>
      </c>
      <c r="B85" s="21" t="inlineStr">
        <is>
          <t>1.1.1</t>
        </is>
      </c>
      <c r="C85" s="20">
        <f>'APSA-370 (SO2)'!$B$9</f>
        <v/>
      </c>
      <c r="D85" s="22" t="inlineStr">
        <is>
          <t>LED de encendido del panel frontal</t>
        </is>
      </c>
      <c r="E85" s="23" t="inlineStr">
        <is>
          <t>Alerta</t>
        </is>
      </c>
      <c r="F85" s="21">
        <f>'APSA-370 (SO2)'!$U$9</f>
        <v/>
      </c>
      <c r="G85" s="21">
        <f>'APSA-370 (SO2)'!$V$9</f>
        <v/>
      </c>
      <c r="H85" s="22">
        <f>'APSA-370 (SO2)'!$Z$9</f>
        <v/>
      </c>
    </row>
    <row r="86" ht="30" customHeight="1">
      <c r="A86" s="20" t="inlineStr">
        <is>
          <t>APSA-370 (SO2)</t>
        </is>
      </c>
      <c r="B86" s="21" t="inlineStr">
        <is>
          <t>1.2.1</t>
        </is>
      </c>
      <c r="C86" s="20">
        <f>'APSA-370 (SO2)'!$B$10</f>
        <v/>
      </c>
      <c r="D86" s="22" t="inlineStr">
        <is>
          <t>Inicialización de parámetros en SRAM</t>
        </is>
      </c>
      <c r="E86" s="24" t="inlineStr">
        <is>
          <t>Bloqueante</t>
        </is>
      </c>
      <c r="F86" s="21">
        <f>'APSA-370 (SO2)'!$U$10</f>
        <v/>
      </c>
      <c r="G86" s="21">
        <f>'APSA-370 (SO2)'!$V$10</f>
        <v/>
      </c>
      <c r="H86" s="22">
        <f>'APSA-370 (SO2)'!$Z$10</f>
        <v/>
      </c>
    </row>
    <row r="87" ht="30" customHeight="1">
      <c r="A87" s="20" t="inlineStr">
        <is>
          <t>APSA-370 (SO2)</t>
        </is>
      </c>
      <c r="B87" s="21" t="inlineStr">
        <is>
          <t>1.2.2</t>
        </is>
      </c>
      <c r="C87" s="20">
        <f>'APSA-370 (SO2)'!$B$11</f>
        <v/>
      </c>
      <c r="D87" s="22" t="inlineStr">
        <is>
          <t>Indicador de alarmas activas en pantalla</t>
        </is>
      </c>
      <c r="E87" s="24" t="inlineStr">
        <is>
          <t>Bloqueante</t>
        </is>
      </c>
      <c r="F87" s="21">
        <f>'APSA-370 (SO2)'!$U$11</f>
        <v/>
      </c>
      <c r="G87" s="21">
        <f>'APSA-370 (SO2)'!$V$11</f>
        <v/>
      </c>
      <c r="H87" s="22">
        <f>'APSA-370 (SO2)'!$Z$11</f>
        <v/>
      </c>
    </row>
    <row r="88" ht="30" customHeight="1">
      <c r="A88" s="20" t="inlineStr">
        <is>
          <t>APSA-370 (SO2)</t>
        </is>
      </c>
      <c r="B88" s="21" t="inlineStr">
        <is>
          <t>1.2.3</t>
        </is>
      </c>
      <c r="C88" s="20">
        <f>'APSA-370 (SO2)'!$B$12</f>
        <v/>
      </c>
      <c r="D88" s="22" t="inlineStr">
        <is>
          <t>Identificación del programa en menú</t>
        </is>
      </c>
      <c r="E88" s="23" t="inlineStr">
        <is>
          <t>Alerta</t>
        </is>
      </c>
      <c r="F88" s="21">
        <f>'APSA-370 (SO2)'!$U$12</f>
        <v/>
      </c>
      <c r="G88" s="21">
        <f>'APSA-370 (SO2)'!$V$12</f>
        <v/>
      </c>
      <c r="H88" s="22">
        <f>'APSA-370 (SO2)'!$Z$12</f>
        <v/>
      </c>
    </row>
    <row r="89" ht="30" customHeight="1">
      <c r="A89" s="20" t="inlineStr">
        <is>
          <t>APSA-370 (SO2)</t>
        </is>
      </c>
      <c r="B89" s="21" t="inlineStr">
        <is>
          <t>1.3.1</t>
        </is>
      </c>
      <c r="C89" s="20">
        <f>'APSA-370 (SO2)'!$B$13</f>
        <v/>
      </c>
      <c r="D89" s="22" t="inlineStr">
        <is>
          <t>Tiempo de calentamiento y estabilización</t>
        </is>
      </c>
      <c r="E89" s="23" t="inlineStr">
        <is>
          <t>Alerta</t>
        </is>
      </c>
      <c r="F89" s="21">
        <f>'APSA-370 (SO2)'!$U$13</f>
        <v/>
      </c>
      <c r="G89" s="21">
        <f>'APSA-370 (SO2)'!$V$13</f>
        <v/>
      </c>
      <c r="H89" s="22">
        <f>'APSA-370 (SO2)'!$Z$13</f>
        <v/>
      </c>
    </row>
    <row r="90" ht="30" customHeight="1">
      <c r="A90" s="20" t="inlineStr">
        <is>
          <t>APSA-370 (SO2)</t>
        </is>
      </c>
      <c r="B90" s="21" t="inlineStr">
        <is>
          <t>1.3.2</t>
        </is>
      </c>
      <c r="C90" s="20">
        <f>'APSA-370 (SO2)'!$B$14</f>
        <v/>
      </c>
      <c r="D90" s="22" t="inlineStr">
        <is>
          <t>Ajuste del minuto de reset de integración</t>
        </is>
      </c>
      <c r="E90" s="23" t="inlineStr">
        <is>
          <t>Alerta</t>
        </is>
      </c>
      <c r="F90" s="21">
        <f>'APSA-370 (SO2)'!$U$14</f>
        <v/>
      </c>
      <c r="G90" s="21">
        <f>'APSA-370 (SO2)'!$V$14</f>
        <v/>
      </c>
      <c r="H90" s="22">
        <f>'APSA-370 (SO2)'!$Z$14</f>
        <v/>
      </c>
    </row>
    <row r="91" ht="30" customHeight="1">
      <c r="A91" s="20" t="inlineStr">
        <is>
          <t>APSA-370 (SO2)</t>
        </is>
      </c>
      <c r="B91" s="21" t="inlineStr">
        <is>
          <t>2.1.1</t>
        </is>
      </c>
      <c r="C91" s="20">
        <f>'APSA-370 (SO2)'!$B$15</f>
        <v/>
      </c>
      <c r="D91" s="22" t="inlineStr">
        <is>
          <t>Número de serie del analizador</t>
        </is>
      </c>
      <c r="E91" s="23" t="inlineStr">
        <is>
          <t>Alerta</t>
        </is>
      </c>
      <c r="F91" s="21">
        <f>'APSA-370 (SO2)'!$U$15</f>
        <v/>
      </c>
      <c r="G91" s="21">
        <f>'APSA-370 (SO2)'!$V$15</f>
        <v/>
      </c>
      <c r="H91" s="22">
        <f>'APSA-370 (SO2)'!$Z$15</f>
        <v/>
      </c>
    </row>
    <row r="92" ht="30" customHeight="1">
      <c r="A92" s="20" t="inlineStr">
        <is>
          <t>APSA-370 (SO2)</t>
        </is>
      </c>
      <c r="B92" s="21" t="inlineStr">
        <is>
          <t>2.1.2</t>
        </is>
      </c>
      <c r="C92" s="20">
        <f>'APSA-370 (SO2)'!$B$16</f>
        <v/>
      </c>
      <c r="D92" s="22" t="inlineStr">
        <is>
          <t>Número HGS del analizador</t>
        </is>
      </c>
      <c r="E92" s="23" t="inlineStr">
        <is>
          <t>Alerta</t>
        </is>
      </c>
      <c r="F92" s="21">
        <f>'APSA-370 (SO2)'!$U$16</f>
        <v/>
      </c>
      <c r="G92" s="21">
        <f>'APSA-370 (SO2)'!$V$16</f>
        <v/>
      </c>
      <c r="H92" s="22">
        <f>'APSA-370 (SO2)'!$Z$16</f>
        <v/>
      </c>
    </row>
    <row r="93" ht="30" customHeight="1">
      <c r="A93" s="20" t="inlineStr">
        <is>
          <t>APSA-370 (SO2)</t>
        </is>
      </c>
      <c r="B93" s="21" t="inlineStr">
        <is>
          <t>2.2.1</t>
        </is>
      </c>
      <c r="C93" s="20">
        <f>'APSA-370 (SO2)'!$B$17</f>
        <v/>
      </c>
      <c r="D93" s="22" t="inlineStr">
        <is>
          <t>Etiqueta de advertencia de alto voltaje (lámpara)</t>
        </is>
      </c>
      <c r="E93" s="23" t="inlineStr">
        <is>
          <t>Alerta</t>
        </is>
      </c>
      <c r="F93" s="21">
        <f>'APSA-370 (SO2)'!$U$17</f>
        <v/>
      </c>
      <c r="G93" s="21">
        <f>'APSA-370 (SO2)'!$V$17</f>
        <v/>
      </c>
      <c r="H93" s="22">
        <f>'APSA-370 (SO2)'!$Z$17</f>
        <v/>
      </c>
    </row>
    <row r="94" ht="30" customHeight="1">
      <c r="A94" s="20" t="inlineStr">
        <is>
          <t>APSA-370 (SO2)</t>
        </is>
      </c>
      <c r="B94" s="21" t="inlineStr">
        <is>
          <t>2.2.2</t>
        </is>
      </c>
      <c r="C94" s="20">
        <f>'APSA-370 (SO2)'!$B$18</f>
        <v/>
      </c>
      <c r="D94" s="22" t="inlineStr">
        <is>
          <t>Etiqueta de advertencia de alta temperatura</t>
        </is>
      </c>
      <c r="E94" s="23" t="inlineStr">
        <is>
          <t>Alerta</t>
        </is>
      </c>
      <c r="F94" s="21">
        <f>'APSA-370 (SO2)'!$U$18</f>
        <v/>
      </c>
      <c r="G94" s="21">
        <f>'APSA-370 (SO2)'!$V$18</f>
        <v/>
      </c>
      <c r="H94" s="22">
        <f>'APSA-370 (SO2)'!$Z$18</f>
        <v/>
      </c>
    </row>
    <row r="95" ht="30" customHeight="1">
      <c r="A95" s="20" t="inlineStr">
        <is>
          <t>APSA-370 (SO2)</t>
        </is>
      </c>
      <c r="B95" s="21" t="inlineStr">
        <is>
          <t>3.1.1</t>
        </is>
      </c>
      <c r="C95" s="20">
        <f>'APSA-370 (SO2)'!$B$19</f>
        <v/>
      </c>
      <c r="D95" s="22" t="inlineStr">
        <is>
          <t>Coeficiente de calibración de cero (ZERO ADJUST)</t>
        </is>
      </c>
      <c r="E95" s="24" t="inlineStr">
        <is>
          <t>Bloqueante</t>
        </is>
      </c>
      <c r="F95" s="21">
        <f>'APSA-370 (SO2)'!$U$19</f>
        <v/>
      </c>
      <c r="G95" s="21">
        <f>'APSA-370 (SO2)'!$V$19</f>
        <v/>
      </c>
      <c r="H95" s="22">
        <f>'APSA-370 (SO2)'!$Z$19</f>
        <v/>
      </c>
    </row>
    <row r="96" ht="30" customHeight="1">
      <c r="A96" s="20" t="inlineStr">
        <is>
          <t>APSA-370 (SO2)</t>
        </is>
      </c>
      <c r="B96" s="21" t="inlineStr">
        <is>
          <t>3.1.2</t>
        </is>
      </c>
      <c r="C96" s="20">
        <f>'APSA-370 (SO2)'!$B$20</f>
        <v/>
      </c>
      <c r="D96" s="22" t="inlineStr">
        <is>
          <t>Coeficiente de calibración de span (SPAN ADJUST)</t>
        </is>
      </c>
      <c r="E96" s="24" t="inlineStr">
        <is>
          <t>Bloqueante</t>
        </is>
      </c>
      <c r="F96" s="21">
        <f>'APSA-370 (SO2)'!$U$20</f>
        <v/>
      </c>
      <c r="G96" s="21">
        <f>'APSA-370 (SO2)'!$V$20</f>
        <v/>
      </c>
      <c r="H96" s="22">
        <f>'APSA-370 (SO2)'!$Z$20</f>
        <v/>
      </c>
    </row>
    <row r="97" ht="30" customHeight="1">
      <c r="A97" s="20" t="inlineStr">
        <is>
          <t>APSA-370 (SO2)</t>
        </is>
      </c>
      <c r="B97" s="21" t="inlineStr">
        <is>
          <t>3.1.3</t>
        </is>
      </c>
      <c r="C97" s="20">
        <f>'APSA-370 (SO2)'!$B$21</f>
        <v/>
      </c>
      <c r="D97" s="22" t="inlineStr">
        <is>
          <t>Concentración de gas de span configurada (SPAN CONC)</t>
        </is>
      </c>
      <c r="E97" s="24" t="inlineStr">
        <is>
          <t>Bloqueante</t>
        </is>
      </c>
      <c r="F97" s="21">
        <f>'APSA-370 (SO2)'!$U$21</f>
        <v/>
      </c>
      <c r="G97" s="21">
        <f>'APSA-370 (SO2)'!$V$21</f>
        <v/>
      </c>
      <c r="H97" s="22">
        <f>'APSA-370 (SO2)'!$Z$21</f>
        <v/>
      </c>
    </row>
    <row r="98" ht="30" customHeight="1">
      <c r="A98" s="20" t="inlineStr">
        <is>
          <t>APSA-370 (SO2)</t>
        </is>
      </c>
      <c r="B98" s="21" t="inlineStr">
        <is>
          <t>3.2.1</t>
        </is>
      </c>
      <c r="C98" s="20">
        <f>'APSA-370 (SO2)'!$B$22</f>
        <v/>
      </c>
      <c r="D98" s="22" t="inlineStr">
        <is>
          <t>Presión del gas en el puerto posterior de calibración</t>
        </is>
      </c>
      <c r="E98" s="24" t="inlineStr">
        <is>
          <t>Bloqueante</t>
        </is>
      </c>
      <c r="F98" s="21">
        <f>'APSA-370 (SO2)'!$U$22</f>
        <v/>
      </c>
      <c r="G98" s="21">
        <f>'APSA-370 (SO2)'!$V$22</f>
        <v/>
      </c>
      <c r="H98" s="22">
        <f>'APSA-370 (SO2)'!$Z$22</f>
        <v/>
      </c>
    </row>
    <row r="99" ht="30" customHeight="1">
      <c r="A99" s="20" t="inlineStr">
        <is>
          <t>APSA-370 (SO2)</t>
        </is>
      </c>
      <c r="B99" s="21" t="inlineStr">
        <is>
          <t>3.3.1</t>
        </is>
      </c>
      <c r="C99" s="20">
        <f>'APSA-370 (SO2)'!$B$23</f>
        <v/>
      </c>
      <c r="D99" s="22" t="inlineStr">
        <is>
          <t>Tiempo de espera para estabilización en AIC (WAIT)</t>
        </is>
      </c>
      <c r="E99" s="23" t="inlineStr">
        <is>
          <t>Alerta</t>
        </is>
      </c>
      <c r="F99" s="21">
        <f>'APSA-370 (SO2)'!$U$23</f>
        <v/>
      </c>
      <c r="G99" s="21">
        <f>'APSA-370 (SO2)'!$V$23</f>
        <v/>
      </c>
      <c r="H99" s="22">
        <f>'APSA-370 (SO2)'!$Z$23</f>
        <v/>
      </c>
    </row>
    <row r="100" ht="30" customHeight="1">
      <c r="A100" s="20" t="inlineStr">
        <is>
          <t>APSA-370 (SO2)</t>
        </is>
      </c>
      <c r="B100" s="21" t="inlineStr">
        <is>
          <t>3.3.2</t>
        </is>
      </c>
      <c r="C100" s="20">
        <f>'APSA-370 (SO2)'!$B$24</f>
        <v/>
      </c>
      <c r="D100" s="22" t="inlineStr">
        <is>
          <t>Tiempo de retención en AIC (HOLD)</t>
        </is>
      </c>
      <c r="E100" s="23" t="inlineStr">
        <is>
          <t>Alerta</t>
        </is>
      </c>
      <c r="F100" s="21">
        <f>'APSA-370 (SO2)'!$U$24</f>
        <v/>
      </c>
      <c r="G100" s="21">
        <f>'APSA-370 (SO2)'!$V$24</f>
        <v/>
      </c>
      <c r="H100" s="22">
        <f>'APSA-370 (SO2)'!$Z$24</f>
        <v/>
      </c>
    </row>
    <row r="101" ht="30" customHeight="1">
      <c r="A101" s="20" t="inlineStr">
        <is>
          <t>APSA-370 (SO2)</t>
        </is>
      </c>
      <c r="B101" s="21" t="inlineStr">
        <is>
          <t>3.3.3</t>
        </is>
      </c>
      <c r="C101" s="20">
        <f>'APSA-370 (SO2)'!$B$25</f>
        <v/>
      </c>
      <c r="D101" s="22" t="inlineStr">
        <is>
          <t>Habilitación de calibración en AIC (CAL YES/NO)</t>
        </is>
      </c>
      <c r="E101" s="23" t="inlineStr">
        <is>
          <t>Alerta</t>
        </is>
      </c>
      <c r="F101" s="21">
        <f>'APSA-370 (SO2)'!$U$25</f>
        <v/>
      </c>
      <c r="G101" s="21">
        <f>'APSA-370 (SO2)'!$V$25</f>
        <v/>
      </c>
      <c r="H101" s="22">
        <f>'APSA-370 (SO2)'!$Z$25</f>
        <v/>
      </c>
    </row>
    <row r="102" ht="30" customHeight="1">
      <c r="A102" s="20" t="inlineStr">
        <is>
          <t>APSA-370 (SO2)</t>
        </is>
      </c>
      <c r="B102" s="21" t="inlineStr">
        <is>
          <t>3.4.1</t>
        </is>
      </c>
      <c r="C102" s="20">
        <f>'APSA-370 (SO2)'!$B$26</f>
        <v/>
      </c>
      <c r="D102" s="22" t="inlineStr">
        <is>
          <t>Deriva diaria de cero en rangos bajos (rango menor o igual a 0,2 ppm)</t>
        </is>
      </c>
      <c r="E102" s="24" t="inlineStr">
        <is>
          <t>Bloqueante</t>
        </is>
      </c>
      <c r="F102" s="21">
        <f>'APSA-370 (SO2)'!$U$26</f>
        <v/>
      </c>
      <c r="G102" s="21">
        <f>'APSA-370 (SO2)'!$V$26</f>
        <v/>
      </c>
      <c r="H102" s="22">
        <f>'APSA-370 (SO2)'!$Z$26</f>
        <v/>
      </c>
    </row>
    <row r="103" ht="30" customHeight="1">
      <c r="A103" s="20" t="inlineStr">
        <is>
          <t>APSA-370 (SO2)</t>
        </is>
      </c>
      <c r="B103" s="21" t="inlineStr">
        <is>
          <t>3.4.2</t>
        </is>
      </c>
      <c r="C103" s="20">
        <f>'APSA-370 (SO2)'!$B$27</f>
        <v/>
      </c>
      <c r="D103" s="22" t="inlineStr">
        <is>
          <t>Deriva semanal de cero en rangos bajos (rango menor o igual a 0,2 ppm)</t>
        </is>
      </c>
      <c r="E103" s="24" t="inlineStr">
        <is>
          <t>Bloqueante</t>
        </is>
      </c>
      <c r="F103" s="21">
        <f>'APSA-370 (SO2)'!$U$27</f>
        <v/>
      </c>
      <c r="G103" s="21">
        <f>'APSA-370 (SO2)'!$V$27</f>
        <v/>
      </c>
      <c r="H103" s="22">
        <f>'APSA-370 (SO2)'!$Z$27</f>
        <v/>
      </c>
    </row>
    <row r="104" ht="30" customHeight="1">
      <c r="A104" s="20" t="inlineStr">
        <is>
          <t>APSA-370 (SO2)</t>
        </is>
      </c>
      <c r="B104" s="21" t="inlineStr">
        <is>
          <t>3.4.3</t>
        </is>
      </c>
      <c r="C104" s="20">
        <f>'APSA-370 (SO2)'!$B$28</f>
        <v/>
      </c>
      <c r="D104" s="22" t="inlineStr">
        <is>
          <t>Deriva diaria de cero en rangos altos (rango mayor a 0,2 ppm)</t>
        </is>
      </c>
      <c r="E104" s="24" t="inlineStr">
        <is>
          <t>Bloqueante</t>
        </is>
      </c>
      <c r="F104" s="21">
        <f>'APSA-370 (SO2)'!$U$28</f>
        <v/>
      </c>
      <c r="G104" s="21">
        <f>'APSA-370 (SO2)'!$V$28</f>
        <v/>
      </c>
      <c r="H104" s="22">
        <f>'APSA-370 (SO2)'!$Z$28</f>
        <v/>
      </c>
    </row>
    <row r="105" ht="30" customHeight="1">
      <c r="A105" s="20" t="inlineStr">
        <is>
          <t>APSA-370 (SO2)</t>
        </is>
      </c>
      <c r="B105" s="21" t="inlineStr">
        <is>
          <t>3.4.4</t>
        </is>
      </c>
      <c r="C105" s="20">
        <f>'APSA-370 (SO2)'!$B$29</f>
        <v/>
      </c>
      <c r="D105" s="22" t="inlineStr">
        <is>
          <t>Deriva semanal de cero en rangos altos (rango mayor a 0,2 ppm)</t>
        </is>
      </c>
      <c r="E105" s="24" t="inlineStr">
        <is>
          <t>Bloqueante</t>
        </is>
      </c>
      <c r="F105" s="21">
        <f>'APSA-370 (SO2)'!$U$29</f>
        <v/>
      </c>
      <c r="G105" s="21">
        <f>'APSA-370 (SO2)'!$V$29</f>
        <v/>
      </c>
      <c r="H105" s="22">
        <f>'APSA-370 (SO2)'!$Z$29</f>
        <v/>
      </c>
    </row>
    <row r="106" ht="30" customHeight="1">
      <c r="A106" s="20" t="inlineStr">
        <is>
          <t>APSA-370 (SO2)</t>
        </is>
      </c>
      <c r="B106" s="21" t="inlineStr">
        <is>
          <t>3.5.1</t>
        </is>
      </c>
      <c r="C106" s="20">
        <f>'APSA-370 (SO2)'!$B$30</f>
        <v/>
      </c>
      <c r="D106" s="22" t="inlineStr">
        <is>
          <t>Deriva diaria de span (todos los rangos)</t>
        </is>
      </c>
      <c r="E106" s="24" t="inlineStr">
        <is>
          <t>Bloqueante</t>
        </is>
      </c>
      <c r="F106" s="21">
        <f>'APSA-370 (SO2)'!$U$30</f>
        <v/>
      </c>
      <c r="G106" s="21">
        <f>'APSA-370 (SO2)'!$V$30</f>
        <v/>
      </c>
      <c r="H106" s="22">
        <f>'APSA-370 (SO2)'!$Z$30</f>
        <v/>
      </c>
    </row>
    <row r="107" ht="30" customHeight="1">
      <c r="A107" s="20" t="inlineStr">
        <is>
          <t>APSA-370 (SO2)</t>
        </is>
      </c>
      <c r="B107" s="21" t="inlineStr">
        <is>
          <t>3.5.2</t>
        </is>
      </c>
      <c r="C107" s="20">
        <f>'APSA-370 (SO2)'!$B$31</f>
        <v/>
      </c>
      <c r="D107" s="22" t="inlineStr">
        <is>
          <t>Deriva semanal de span (todos los rangos)</t>
        </is>
      </c>
      <c r="E107" s="24" t="inlineStr">
        <is>
          <t>Bloqueante</t>
        </is>
      </c>
      <c r="F107" s="21">
        <f>'APSA-370 (SO2)'!$U$31</f>
        <v/>
      </c>
      <c r="G107" s="21">
        <f>'APSA-370 (SO2)'!$V$31</f>
        <v/>
      </c>
      <c r="H107" s="22">
        <f>'APSA-370 (SO2)'!$Z$31</f>
        <v/>
      </c>
    </row>
    <row r="108" ht="30" customHeight="1">
      <c r="A108" s="20" t="inlineStr">
        <is>
          <t>APSA-370 (SO2)</t>
        </is>
      </c>
      <c r="B108" s="21" t="inlineStr">
        <is>
          <t>3.6.1</t>
        </is>
      </c>
      <c r="C108" s="20">
        <f>'APSA-370 (SO2)'!$B$32</f>
        <v/>
      </c>
      <c r="D108" s="22" t="inlineStr">
        <is>
          <t>Criterio de linealidad de calibración (diferencia de mejor ajuste)</t>
        </is>
      </c>
      <c r="E108" s="24" t="inlineStr">
        <is>
          <t>Bloqueante</t>
        </is>
      </c>
      <c r="F108" s="21">
        <f>'APSA-370 (SO2)'!$U$32</f>
        <v/>
      </c>
      <c r="G108" s="21">
        <f>'APSA-370 (SO2)'!$V$32</f>
        <v/>
      </c>
      <c r="H108" s="22">
        <f>'APSA-370 (SO2)'!$Z$32</f>
        <v/>
      </c>
    </row>
    <row r="109" ht="30" customHeight="1">
      <c r="A109" s="20" t="inlineStr">
        <is>
          <t>APSA-370 (SO2)</t>
        </is>
      </c>
      <c r="B109" s="21" t="inlineStr">
        <is>
          <t>4.1.1</t>
        </is>
      </c>
      <c r="C109" s="20">
        <f>'APSA-370 (SO2)'!$B$33</f>
        <v/>
      </c>
      <c r="D109" s="22" t="inlineStr">
        <is>
          <t>Estado del elemento filtrante PA-10L</t>
        </is>
      </c>
      <c r="E109" s="25" t="inlineStr">
        <is>
          <t>Cobrable</t>
        </is>
      </c>
      <c r="F109" s="21">
        <f>'APSA-370 (SO2)'!$U$33</f>
        <v/>
      </c>
      <c r="G109" s="21">
        <f>'APSA-370 (SO2)'!$V$33</f>
        <v/>
      </c>
      <c r="H109" s="22">
        <f>'APSA-370 (SO2)'!$Z$33</f>
        <v/>
      </c>
    </row>
    <row r="110" ht="30" customHeight="1">
      <c r="A110" s="20" t="inlineStr">
        <is>
          <t>APSA-370 (SO2)</t>
        </is>
      </c>
      <c r="B110" s="21" t="inlineStr">
        <is>
          <t>4.1.2</t>
        </is>
      </c>
      <c r="C110" s="20">
        <f>'APSA-370 (SO2)'!$B$34</f>
        <v/>
      </c>
      <c r="D110" s="22" t="inlineStr">
        <is>
          <t>Junta tórica del portafiltros (O-Ring)</t>
        </is>
      </c>
      <c r="E110" s="25" t="inlineStr">
        <is>
          <t>Cobrable</t>
        </is>
      </c>
      <c r="F110" s="21">
        <f>'APSA-370 (SO2)'!$U$34</f>
        <v/>
      </c>
      <c r="G110" s="21">
        <f>'APSA-370 (SO2)'!$V$34</f>
        <v/>
      </c>
      <c r="H110" s="22">
        <f>'APSA-370 (SO2)'!$Z$34</f>
        <v/>
      </c>
    </row>
    <row r="111" ht="30" customHeight="1">
      <c r="A111" s="20" t="inlineStr">
        <is>
          <t>APSA-370 (SO2)</t>
        </is>
      </c>
      <c r="B111" s="21" t="inlineStr">
        <is>
          <t>4.1.3</t>
        </is>
      </c>
      <c r="C111" s="20">
        <f>'APSA-370 (SO2)'!$B$35</f>
        <v/>
      </c>
      <c r="D111" s="22" t="inlineStr">
        <is>
          <t>Humedad en el portafiltros</t>
        </is>
      </c>
      <c r="E111" s="24" t="inlineStr">
        <is>
          <t>Bloqueante</t>
        </is>
      </c>
      <c r="F111" s="21">
        <f>'APSA-370 (SO2)'!$U$35</f>
        <v/>
      </c>
      <c r="G111" s="21">
        <f>'APSA-370 (SO2)'!$V$35</f>
        <v/>
      </c>
      <c r="H111" s="22">
        <f>'APSA-370 (SO2)'!$Z$35</f>
        <v/>
      </c>
    </row>
    <row r="112" ht="30" customHeight="1">
      <c r="A112" s="20" t="inlineStr">
        <is>
          <t>APSA-370 (SO2)</t>
        </is>
      </c>
      <c r="B112" s="21" t="inlineStr">
        <is>
          <t>4.2.1</t>
        </is>
      </c>
      <c r="C112" s="20">
        <f>'APSA-370 (SO2)'!$B$36</f>
        <v/>
      </c>
      <c r="D112" s="22" t="inlineStr">
        <is>
          <t>Integridad de la línea de teflón</t>
        </is>
      </c>
      <c r="E112" s="25" t="inlineStr">
        <is>
          <t>Cobrable</t>
        </is>
      </c>
      <c r="F112" s="21">
        <f>'APSA-370 (SO2)'!$U$36</f>
        <v/>
      </c>
      <c r="G112" s="21">
        <f>'APSA-370 (SO2)'!$V$36</f>
        <v/>
      </c>
      <c r="H112" s="22">
        <f>'APSA-370 (SO2)'!$Z$36</f>
        <v/>
      </c>
    </row>
    <row r="113" ht="30" customHeight="1">
      <c r="A113" s="20" t="inlineStr">
        <is>
          <t>APSA-370 (SO2)</t>
        </is>
      </c>
      <c r="B113" s="21" t="inlineStr">
        <is>
          <t>4.2.2</t>
        </is>
      </c>
      <c r="C113" s="20">
        <f>'APSA-370 (SO2)'!$B$37</f>
        <v/>
      </c>
      <c r="D113" s="22" t="inlineStr">
        <is>
          <t>Protección térmica de las líneas</t>
        </is>
      </c>
      <c r="E113" s="23" t="inlineStr">
        <is>
          <t>Alerta</t>
        </is>
      </c>
      <c r="F113" s="21">
        <f>'APSA-370 (SO2)'!$U$37</f>
        <v/>
      </c>
      <c r="G113" s="21">
        <f>'APSA-370 (SO2)'!$V$37</f>
        <v/>
      </c>
      <c r="H113" s="22">
        <f>'APSA-370 (SO2)'!$Z$37</f>
        <v/>
      </c>
    </row>
    <row r="114" ht="30" customHeight="1">
      <c r="A114" s="20" t="inlineStr">
        <is>
          <t>APSA-370 (SO2)</t>
        </is>
      </c>
      <c r="B114" s="21" t="inlineStr">
        <is>
          <t>4.3.1</t>
        </is>
      </c>
      <c r="C114" s="20">
        <f>'APSA-370 (SO2)'!$B$38</f>
        <v/>
      </c>
      <c r="D114" s="22" t="inlineStr">
        <is>
          <t>Férulas (Sleeve) en puertos de entrada y salida</t>
        </is>
      </c>
      <c r="E114" s="24" t="inlineStr">
        <is>
          <t>Bloqueante</t>
        </is>
      </c>
      <c r="F114" s="21">
        <f>'APSA-370 (SO2)'!$U$38</f>
        <v/>
      </c>
      <c r="G114" s="21">
        <f>'APSA-370 (SO2)'!$V$38</f>
        <v/>
      </c>
      <c r="H114" s="22">
        <f>'APSA-370 (SO2)'!$Z$38</f>
        <v/>
      </c>
    </row>
    <row r="115" ht="30" customHeight="1">
      <c r="A115" s="20" t="inlineStr">
        <is>
          <t>APSA-370 (SO2)</t>
        </is>
      </c>
      <c r="B115" s="21" t="inlineStr">
        <is>
          <t>4.3.2</t>
        </is>
      </c>
      <c r="C115" s="20">
        <f>'APSA-370 (SO2)'!$B$39</f>
        <v/>
      </c>
      <c r="D115" s="22" t="inlineStr">
        <is>
          <t>Tuercas de compresión PVDF (Cap Nut) en puertos traseros</t>
        </is>
      </c>
      <c r="E115" s="24" t="inlineStr">
        <is>
          <t>Bloqueante</t>
        </is>
      </c>
      <c r="F115" s="21">
        <f>'APSA-370 (SO2)'!$U$39</f>
        <v/>
      </c>
      <c r="G115" s="21">
        <f>'APSA-370 (SO2)'!$V$39</f>
        <v/>
      </c>
      <c r="H115" s="22">
        <f>'APSA-370 (SO2)'!$Z$39</f>
        <v/>
      </c>
    </row>
    <row r="116" ht="30" customHeight="1">
      <c r="A116" s="20" t="inlineStr">
        <is>
          <t>APSA-370 (SO2)</t>
        </is>
      </c>
      <c r="B116" s="21" t="inlineStr">
        <is>
          <t>5.1.1</t>
        </is>
      </c>
      <c r="C116" s="20">
        <f>'APSA-370 (SO2)'!$B$40</f>
        <v/>
      </c>
      <c r="D116" s="22" t="inlineStr">
        <is>
          <t>Caudal de gas de muestra (SAMPLE)</t>
        </is>
      </c>
      <c r="E116" s="24" t="inlineStr">
        <is>
          <t>Bloqueante</t>
        </is>
      </c>
      <c r="F116" s="21">
        <f>'APSA-370 (SO2)'!$U$40</f>
        <v/>
      </c>
      <c r="G116" s="21">
        <f>'APSA-370 (SO2)'!$V$40</f>
        <v/>
      </c>
      <c r="H116" s="22">
        <f>'APSA-370 (SO2)'!$Z$40</f>
        <v/>
      </c>
    </row>
    <row r="117" ht="30" customHeight="1">
      <c r="A117" s="20" t="inlineStr">
        <is>
          <t>APSA-370 (SO2)</t>
        </is>
      </c>
      <c r="B117" s="21" t="inlineStr">
        <is>
          <t>5.1.2</t>
        </is>
      </c>
      <c r="C117" s="20">
        <f>'APSA-370 (SO2)'!$B$41</f>
        <v/>
      </c>
      <c r="D117" s="22" t="inlineStr">
        <is>
          <t>Presión de succión de la bomba (PUMP)</t>
        </is>
      </c>
      <c r="E117" s="24" t="inlineStr">
        <is>
          <t>Bloqueante</t>
        </is>
      </c>
      <c r="F117" s="21">
        <f>'APSA-370 (SO2)'!$U$41</f>
        <v/>
      </c>
      <c r="G117" s="21">
        <f>'APSA-370 (SO2)'!$V$41</f>
        <v/>
      </c>
      <c r="H117" s="22">
        <f>'APSA-370 (SO2)'!$Z$41</f>
        <v/>
      </c>
    </row>
    <row r="118" ht="30" customHeight="1">
      <c r="A118" s="20" t="inlineStr">
        <is>
          <t>APSA-370 (SO2)</t>
        </is>
      </c>
      <c r="B118" s="21" t="inlineStr">
        <is>
          <t>5.1.3</t>
        </is>
      </c>
      <c r="C118" s="20">
        <f>'APSA-370 (SO2)'!$B$42</f>
        <v/>
      </c>
      <c r="D118" s="22" t="inlineStr">
        <is>
          <t>Integridad del diafragma de la bomba</t>
        </is>
      </c>
      <c r="E118" s="25" t="inlineStr">
        <is>
          <t>Cobrable</t>
        </is>
      </c>
      <c r="F118" s="21">
        <f>'APSA-370 (SO2)'!$U$42</f>
        <v/>
      </c>
      <c r="G118" s="21">
        <f>'APSA-370 (SO2)'!$V$42</f>
        <v/>
      </c>
      <c r="H118" s="22">
        <f>'APSA-370 (SO2)'!$Z$42</f>
        <v/>
      </c>
    </row>
    <row r="119" ht="30" customHeight="1">
      <c r="A119" s="20" t="inlineStr">
        <is>
          <t>APSA-370 (SO2)</t>
        </is>
      </c>
      <c r="B119" s="21" t="inlineStr">
        <is>
          <t>5.1.4</t>
        </is>
      </c>
      <c r="C119" s="20">
        <f>'APSA-370 (SO2)'!$B$43</f>
        <v/>
      </c>
      <c r="D119" s="22" t="inlineStr">
        <is>
          <t>Válvulas del cabezal de la bomba</t>
        </is>
      </c>
      <c r="E119" s="25" t="inlineStr">
        <is>
          <t>Cobrable</t>
        </is>
      </c>
      <c r="F119" s="21">
        <f>'APSA-370 (SO2)'!$U$43</f>
        <v/>
      </c>
      <c r="G119" s="21">
        <f>'APSA-370 (SO2)'!$V$43</f>
        <v/>
      </c>
      <c r="H119" s="22">
        <f>'APSA-370 (SO2)'!$Z$43</f>
        <v/>
      </c>
    </row>
    <row r="120" ht="30" customHeight="1">
      <c r="A120" s="20" t="inlineStr">
        <is>
          <t>APSA-370 (SO2)</t>
        </is>
      </c>
      <c r="B120" s="21" t="inlineStr">
        <is>
          <t>5.1.5</t>
        </is>
      </c>
      <c r="C120" s="20">
        <f>'APSA-370 (SO2)'!$B$44</f>
        <v/>
      </c>
      <c r="D120" s="22" t="inlineStr">
        <is>
          <t>Sellado de las juntas de conexión de la bomba</t>
        </is>
      </c>
      <c r="E120" s="24" t="inlineStr">
        <is>
          <t>Bloqueante</t>
        </is>
      </c>
      <c r="F120" s="21">
        <f>'APSA-370 (SO2)'!$U$44</f>
        <v/>
      </c>
      <c r="G120" s="21">
        <f>'APSA-370 (SO2)'!$V$44</f>
        <v/>
      </c>
      <c r="H120" s="22">
        <f>'APSA-370 (SO2)'!$Z$44</f>
        <v/>
      </c>
    </row>
    <row r="121" ht="30" customHeight="1">
      <c r="A121" s="20" t="inlineStr">
        <is>
          <t>APSA-370 (SO2)</t>
        </is>
      </c>
      <c r="B121" s="21" t="inlineStr">
        <is>
          <t>5.2.1</t>
        </is>
      </c>
      <c r="C121" s="20">
        <f>'APSA-370 (SO2)'!$B$45</f>
        <v/>
      </c>
      <c r="D121" s="22" t="inlineStr">
        <is>
          <t>Caudal de purga del HC Cutter</t>
        </is>
      </c>
      <c r="E121" s="24" t="inlineStr">
        <is>
          <t>Bloqueante</t>
        </is>
      </c>
      <c r="F121" s="21">
        <f>'APSA-370 (SO2)'!$U$45</f>
        <v/>
      </c>
      <c r="G121" s="21">
        <f>'APSA-370 (SO2)'!$V$45</f>
        <v/>
      </c>
      <c r="H121" s="22">
        <f>'APSA-370 (SO2)'!$Z$45</f>
        <v/>
      </c>
    </row>
    <row r="122" ht="30" customHeight="1">
      <c r="A122" s="20" t="inlineStr">
        <is>
          <t>APSA-370 (SO2)</t>
        </is>
      </c>
      <c r="B122" s="21" t="inlineStr">
        <is>
          <t>5.3.1</t>
        </is>
      </c>
      <c r="C122" s="20">
        <f>'APSA-370 (SO2)'!$B$46</f>
        <v/>
      </c>
      <c r="D122" s="22" t="inlineStr">
        <is>
          <t>Operación de la solenoide de cero (SV3)</t>
        </is>
      </c>
      <c r="E122" s="24" t="inlineStr">
        <is>
          <t>Bloqueante</t>
        </is>
      </c>
      <c r="F122" s="21">
        <f>'APSA-370 (SO2)'!$U$46</f>
        <v/>
      </c>
      <c r="G122" s="21">
        <f>'APSA-370 (SO2)'!$V$46</f>
        <v/>
      </c>
      <c r="H122" s="22">
        <f>'APSA-370 (SO2)'!$Z$46</f>
        <v/>
      </c>
    </row>
    <row r="123" ht="30" customHeight="1">
      <c r="A123" s="20" t="inlineStr">
        <is>
          <t>APSA-370 (SO2)</t>
        </is>
      </c>
      <c r="B123" s="21" t="inlineStr">
        <is>
          <t>5.3.2</t>
        </is>
      </c>
      <c r="C123" s="20">
        <f>'APSA-370 (SO2)'!$B$47</f>
        <v/>
      </c>
      <c r="D123" s="22" t="inlineStr">
        <is>
          <t>Operación de la solenoide de span (SV7)</t>
        </is>
      </c>
      <c r="E123" s="24" t="inlineStr">
        <is>
          <t>Bloqueante</t>
        </is>
      </c>
      <c r="F123" s="21">
        <f>'APSA-370 (SO2)'!$U$47</f>
        <v/>
      </c>
      <c r="G123" s="21">
        <f>'APSA-370 (SO2)'!$V$47</f>
        <v/>
      </c>
      <c r="H123" s="22">
        <f>'APSA-370 (SO2)'!$Z$47</f>
        <v/>
      </c>
    </row>
    <row r="124" ht="30" customHeight="1">
      <c r="A124" s="20" t="inlineStr">
        <is>
          <t>APSA-370 (SO2)</t>
        </is>
      </c>
      <c r="B124" s="21" t="inlineStr">
        <is>
          <t>5.3.3</t>
        </is>
      </c>
      <c r="C124" s="20">
        <f>'APSA-370 (SO2)'!$B$48</f>
        <v/>
      </c>
      <c r="D124" s="22" t="inlineStr">
        <is>
          <t>Operación de la solenoide de selección MEAS-CAL (SV8)</t>
        </is>
      </c>
      <c r="E124" s="24" t="inlineStr">
        <is>
          <t>Bloqueante</t>
        </is>
      </c>
      <c r="F124" s="21">
        <f>'APSA-370 (SO2)'!$U$48</f>
        <v/>
      </c>
      <c r="G124" s="21">
        <f>'APSA-370 (SO2)'!$V$48</f>
        <v/>
      </c>
      <c r="H124" s="22">
        <f>'APSA-370 (SO2)'!$Z$48</f>
        <v/>
      </c>
    </row>
    <row r="125" ht="30" customHeight="1">
      <c r="A125" s="20" t="inlineStr">
        <is>
          <t>APSA-370 (SO2)</t>
        </is>
      </c>
      <c r="B125" s="21" t="inlineStr">
        <is>
          <t>5.4.1</t>
        </is>
      </c>
      <c r="C125" s="20">
        <f>'APSA-370 (SO2)'!$B$49</f>
        <v/>
      </c>
      <c r="D125" s="22" t="inlineStr">
        <is>
          <t>Caudal de gases de escape (Exhaust Flow)</t>
        </is>
      </c>
      <c r="E125" s="23" t="inlineStr">
        <is>
          <t>Alerta</t>
        </is>
      </c>
      <c r="F125" s="21">
        <f>'APSA-370 (SO2)'!$U$49</f>
        <v/>
      </c>
      <c r="G125" s="21">
        <f>'APSA-370 (SO2)'!$V$49</f>
        <v/>
      </c>
      <c r="H125" s="22">
        <f>'APSA-370 (SO2)'!$Z$49</f>
        <v/>
      </c>
    </row>
    <row r="126" ht="30" customHeight="1">
      <c r="A126" s="20" t="inlineStr">
        <is>
          <t>APSA-370 (SO2)</t>
        </is>
      </c>
      <c r="B126" s="21" t="inlineStr">
        <is>
          <t>5.4.2</t>
        </is>
      </c>
      <c r="C126" s="20">
        <f>'APSA-370 (SO2)'!$B$50</f>
        <v/>
      </c>
      <c r="D126" s="22" t="inlineStr">
        <is>
          <t>Presión de descarga del gas de escape</t>
        </is>
      </c>
      <c r="E126" s="23" t="inlineStr">
        <is>
          <t>Alerta</t>
        </is>
      </c>
      <c r="F126" s="21">
        <f>'APSA-370 (SO2)'!$U$50</f>
        <v/>
      </c>
      <c r="G126" s="21">
        <f>'APSA-370 (SO2)'!$V$50</f>
        <v/>
      </c>
      <c r="H126" s="22">
        <f>'APSA-370 (SO2)'!$Z$50</f>
        <v/>
      </c>
    </row>
    <row r="127" ht="30" customHeight="1">
      <c r="A127" s="20" t="inlineStr">
        <is>
          <t>APSA-370 (SO2)</t>
        </is>
      </c>
      <c r="B127" s="21" t="inlineStr">
        <is>
          <t>6.1.1</t>
        </is>
      </c>
      <c r="C127" s="20">
        <f>'APSA-370 (SO2)'!$B$51</f>
        <v/>
      </c>
      <c r="D127" s="22" t="inlineStr">
        <is>
          <t>Voltaje de intensidad de la lámpara de xenón (LAMP)</t>
        </is>
      </c>
      <c r="E127" s="24" t="inlineStr">
        <is>
          <t>Bloqueante</t>
        </is>
      </c>
      <c r="F127" s="21">
        <f>'APSA-370 (SO2)'!$U$51</f>
        <v/>
      </c>
      <c r="G127" s="21">
        <f>'APSA-370 (SO2)'!$V$51</f>
        <v/>
      </c>
      <c r="H127" s="22">
        <f>'APSA-370 (SO2)'!$Z$51</f>
        <v/>
      </c>
    </row>
    <row r="128" ht="30" customHeight="1">
      <c r="A128" s="20" t="inlineStr">
        <is>
          <t>APSA-370 (SO2)</t>
        </is>
      </c>
      <c r="B128" s="21" t="inlineStr">
        <is>
          <t>6.1.2</t>
        </is>
      </c>
      <c r="C128" s="20">
        <f>'APSA-370 (SO2)'!$B$52</f>
        <v/>
      </c>
      <c r="D128" s="22" t="inlineStr">
        <is>
          <t>Contacto del socket y terminales de la lámpara</t>
        </is>
      </c>
      <c r="E128" s="25" t="inlineStr">
        <is>
          <t>Cobrable</t>
        </is>
      </c>
      <c r="F128" s="21">
        <f>'APSA-370 (SO2)'!$U$52</f>
        <v/>
      </c>
      <c r="G128" s="21">
        <f>'APSA-370 (SO2)'!$V$52</f>
        <v/>
      </c>
      <c r="H128" s="22">
        <f>'APSA-370 (SO2)'!$Z$52</f>
        <v/>
      </c>
    </row>
    <row r="129" ht="30" customHeight="1">
      <c r="A129" s="20" t="inlineStr">
        <is>
          <t>APSA-370 (SO2)</t>
        </is>
      </c>
      <c r="B129" s="21" t="inlineStr">
        <is>
          <t>6.1.3</t>
        </is>
      </c>
      <c r="C129" s="20">
        <f>'APSA-370 (SO2)'!$B$53</f>
        <v/>
      </c>
      <c r="D129" s="22" t="inlineStr">
        <is>
          <t>Ajuste de la tensión de alimentación de la lámpara</t>
        </is>
      </c>
      <c r="E129" s="25" t="inlineStr">
        <is>
          <t>Cobrable</t>
        </is>
      </c>
      <c r="F129" s="21">
        <f>'APSA-370 (SO2)'!$U$53</f>
        <v/>
      </c>
      <c r="G129" s="21">
        <f>'APSA-370 (SO2)'!$V$53</f>
        <v/>
      </c>
      <c r="H129" s="22">
        <f>'APSA-370 (SO2)'!$Z$53</f>
        <v/>
      </c>
    </row>
    <row r="130" ht="30" customHeight="1">
      <c r="A130" s="20" t="inlineStr">
        <is>
          <t>APSA-370 (SO2)</t>
        </is>
      </c>
      <c r="B130" s="21" t="inlineStr">
        <is>
          <t>6.1.4</t>
        </is>
      </c>
      <c r="C130" s="20">
        <f>'APSA-370 (SO2)'!$B$54</f>
        <v/>
      </c>
      <c r="D130" s="22" t="inlineStr">
        <is>
          <t>Desgaste de electrodos de la lámpara de xenón</t>
        </is>
      </c>
      <c r="E130" s="25" t="inlineStr">
        <is>
          <t>Cobrable</t>
        </is>
      </c>
      <c r="F130" s="21">
        <f>'APSA-370 (SO2)'!$U$54</f>
        <v/>
      </c>
      <c r="G130" s="21">
        <f>'APSA-370 (SO2)'!$V$54</f>
        <v/>
      </c>
      <c r="H130" s="22">
        <f>'APSA-370 (SO2)'!$Z$54</f>
        <v/>
      </c>
    </row>
    <row r="131" ht="30" customHeight="1">
      <c r="A131" s="20" t="inlineStr">
        <is>
          <t>APSA-370 (SO2)</t>
        </is>
      </c>
      <c r="B131" s="21" t="inlineStr">
        <is>
          <t>6.2.1</t>
        </is>
      </c>
      <c r="C131" s="20">
        <f>'APSA-370 (SO2)'!$B$55</f>
        <v/>
      </c>
      <c r="D131" s="22" t="inlineStr">
        <is>
          <t>Integridad del espejo del detector y su holder</t>
        </is>
      </c>
      <c r="E131" s="24" t="inlineStr">
        <is>
          <t>Bloqueante</t>
        </is>
      </c>
      <c r="F131" s="21">
        <f>'APSA-370 (SO2)'!$U$55</f>
        <v/>
      </c>
      <c r="G131" s="21">
        <f>'APSA-370 (SO2)'!$V$55</f>
        <v/>
      </c>
      <c r="H131" s="22">
        <f>'APSA-370 (SO2)'!$Z$55</f>
        <v/>
      </c>
    </row>
    <row r="132" ht="30" customHeight="1">
      <c r="A132" s="20" t="inlineStr">
        <is>
          <t>APSA-370 (SO2)</t>
        </is>
      </c>
      <c r="B132" s="21" t="inlineStr">
        <is>
          <t>6.2.2</t>
        </is>
      </c>
      <c r="C132" s="20">
        <f>'APSA-370 (SO2)'!$B$56</f>
        <v/>
      </c>
      <c r="D132" s="22" t="inlineStr">
        <is>
          <t>Filtro óptico de color HA-50 (lente de emisión)</t>
        </is>
      </c>
      <c r="E132" s="25" t="inlineStr">
        <is>
          <t>Cobrable</t>
        </is>
      </c>
      <c r="F132" s="21">
        <f>'APSA-370 (SO2)'!$U$56</f>
        <v/>
      </c>
      <c r="G132" s="21">
        <f>'APSA-370 (SO2)'!$V$56</f>
        <v/>
      </c>
      <c r="H132" s="22">
        <f>'APSA-370 (SO2)'!$Z$56</f>
        <v/>
      </c>
    </row>
    <row r="133" ht="30" customHeight="1">
      <c r="A133" s="20" t="inlineStr">
        <is>
          <t>APSA-370 (SO2)</t>
        </is>
      </c>
      <c r="B133" s="21" t="inlineStr">
        <is>
          <t>6.2.3</t>
        </is>
      </c>
      <c r="C133" s="20">
        <f>'APSA-370 (SO2)'!$B$57</f>
        <v/>
      </c>
      <c r="D133" s="22" t="inlineStr">
        <is>
          <t>Filtro óptico UV U-330 (lente de excitación)</t>
        </is>
      </c>
      <c r="E133" s="25" t="inlineStr">
        <is>
          <t>Cobrable</t>
        </is>
      </c>
      <c r="F133" s="21">
        <f>'APSA-370 (SO2)'!$U$57</f>
        <v/>
      </c>
      <c r="G133" s="21">
        <f>'APSA-370 (SO2)'!$V$57</f>
        <v/>
      </c>
      <c r="H133" s="22">
        <f>'APSA-370 (SO2)'!$Z$57</f>
        <v/>
      </c>
    </row>
    <row r="134" ht="30" customHeight="1">
      <c r="A134" s="20" t="inlineStr">
        <is>
          <t>APSA-370 (SO2)</t>
        </is>
      </c>
      <c r="B134" s="21" t="inlineStr">
        <is>
          <t>6.2.4</t>
        </is>
      </c>
      <c r="C134" s="20">
        <f>'APSA-370 (SO2)'!$B$58</f>
        <v/>
      </c>
      <c r="D134" s="22" t="inlineStr">
        <is>
          <t>Estado de los lentes de la cámara de medición</t>
        </is>
      </c>
      <c r="E134" s="25" t="inlineStr">
        <is>
          <t>Cobrable</t>
        </is>
      </c>
      <c r="F134" s="21">
        <f>'APSA-370 (SO2)'!$U$58</f>
        <v/>
      </c>
      <c r="G134" s="21">
        <f>'APSA-370 (SO2)'!$V$58</f>
        <v/>
      </c>
      <c r="H134" s="22">
        <f>'APSA-370 (SO2)'!$Z$58</f>
        <v/>
      </c>
    </row>
    <row r="135" ht="30" customHeight="1">
      <c r="A135" s="20" t="inlineStr">
        <is>
          <t>APSA-370 (SO2)</t>
        </is>
      </c>
      <c r="B135" s="21" t="inlineStr">
        <is>
          <t>6.2.5</t>
        </is>
      </c>
      <c r="C135" s="20">
        <f>'APSA-370 (SO2)'!$B$59</f>
        <v/>
      </c>
      <c r="D135" s="22" t="inlineStr">
        <is>
          <t>Acumulación de polvo en la cámara de reacción</t>
        </is>
      </c>
      <c r="E135" s="25" t="inlineStr">
        <is>
          <t>Cobrable</t>
        </is>
      </c>
      <c r="F135" s="21">
        <f>'APSA-370 (SO2)'!$U$59</f>
        <v/>
      </c>
      <c r="G135" s="21">
        <f>'APSA-370 (SO2)'!$V$59</f>
        <v/>
      </c>
      <c r="H135" s="22">
        <f>'APSA-370 (SO2)'!$Z$59</f>
        <v/>
      </c>
    </row>
    <row r="136" ht="30" customHeight="1">
      <c r="A136" s="20" t="inlineStr">
        <is>
          <t>APSA-370 (SO2)</t>
        </is>
      </c>
      <c r="B136" s="21" t="inlineStr">
        <is>
          <t>6.2.6</t>
        </is>
      </c>
      <c r="C136" s="20">
        <f>'APSA-370 (SO2)'!$B$60</f>
        <v/>
      </c>
      <c r="D136" s="22" t="inlineStr">
        <is>
          <t>Tubo fotomultiplicador (PMT)</t>
        </is>
      </c>
      <c r="E136" s="24" t="inlineStr">
        <is>
          <t>Bloqueante</t>
        </is>
      </c>
      <c r="F136" s="21">
        <f>'APSA-370 (SO2)'!$U$60</f>
        <v/>
      </c>
      <c r="G136" s="21">
        <f>'APSA-370 (SO2)'!$V$60</f>
        <v/>
      </c>
      <c r="H136" s="22">
        <f>'APSA-370 (SO2)'!$Z$60</f>
        <v/>
      </c>
    </row>
    <row r="137" ht="30" customHeight="1">
      <c r="A137" s="20" t="inlineStr">
        <is>
          <t>APSA-370 (SO2)</t>
        </is>
      </c>
      <c r="B137" s="21" t="inlineStr">
        <is>
          <t>6.2.7</t>
        </is>
      </c>
      <c r="C137" s="20">
        <f>'APSA-370 (SO2)'!$B$61</f>
        <v/>
      </c>
      <c r="D137" s="22" t="inlineStr">
        <is>
          <t>Fotodiodo de monitoreo de la lámpara UV</t>
        </is>
      </c>
      <c r="E137" s="24" t="inlineStr">
        <is>
          <t>Bloqueante</t>
        </is>
      </c>
      <c r="F137" s="21">
        <f>'APSA-370 (SO2)'!$U$61</f>
        <v/>
      </c>
      <c r="G137" s="21">
        <f>'APSA-370 (SO2)'!$V$61</f>
        <v/>
      </c>
      <c r="H137" s="22">
        <f>'APSA-370 (SO2)'!$Z$61</f>
        <v/>
      </c>
    </row>
    <row r="138" ht="30" customHeight="1">
      <c r="A138" s="20" t="inlineStr">
        <is>
          <t>APSA-370 (SO2)</t>
        </is>
      </c>
      <c r="B138" s="21" t="inlineStr">
        <is>
          <t>6.3.1</t>
        </is>
      </c>
      <c r="C138" s="20">
        <f>'APSA-370 (SO2)'!$B$62</f>
        <v/>
      </c>
      <c r="D138" s="22" t="inlineStr">
        <is>
          <t>Estado del eliminador de hidrocarburos (HC Cutter)</t>
        </is>
      </c>
      <c r="E138" s="24" t="inlineStr">
        <is>
          <t>Bloqueante</t>
        </is>
      </c>
      <c r="F138" s="21">
        <f>'APSA-370 (SO2)'!$U$62</f>
        <v/>
      </c>
      <c r="G138" s="21">
        <f>'APSA-370 (SO2)'!$V$62</f>
        <v/>
      </c>
      <c r="H138" s="22">
        <f>'APSA-370 (SO2)'!$Z$62</f>
        <v/>
      </c>
    </row>
    <row r="139" ht="30" customHeight="1">
      <c r="A139" s="20" t="inlineStr">
        <is>
          <t>APSA-370 (SO2)</t>
        </is>
      </c>
      <c r="B139" s="21" t="inlineStr">
        <is>
          <t>6.3.2</t>
        </is>
      </c>
      <c r="C139" s="20">
        <f>'APSA-370 (SO2)'!$B$63</f>
        <v/>
      </c>
      <c r="D139" s="22" t="inlineStr">
        <is>
          <t>Filtro depurador scrubber de entrada (ESU-050A)</t>
        </is>
      </c>
      <c r="E139" s="25" t="inlineStr">
        <is>
          <t>Cobrable</t>
        </is>
      </c>
      <c r="F139" s="21">
        <f>'APSA-370 (SO2)'!$U$63</f>
        <v/>
      </c>
      <c r="G139" s="21">
        <f>'APSA-370 (SO2)'!$V$63</f>
        <v/>
      </c>
      <c r="H139" s="22">
        <f>'APSA-370 (SO2)'!$Z$63</f>
        <v/>
      </c>
    </row>
    <row r="140" ht="30" customHeight="1">
      <c r="A140" s="20" t="inlineStr">
        <is>
          <t>APSA-370 (SO2)</t>
        </is>
      </c>
      <c r="B140" s="21" t="inlineStr">
        <is>
          <t>7.1.1</t>
        </is>
      </c>
      <c r="C140" s="20">
        <f>'APSA-370 (SO2)'!$B$64</f>
        <v/>
      </c>
      <c r="D140" s="22" t="inlineStr">
        <is>
          <t>Tarjeta amplificadora AP-PRE-13</t>
        </is>
      </c>
      <c r="E140" s="24" t="inlineStr">
        <is>
          <t>Bloqueante</t>
        </is>
      </c>
      <c r="F140" s="21">
        <f>'APSA-370 (SO2)'!$U$64</f>
        <v/>
      </c>
      <c r="G140" s="21">
        <f>'APSA-370 (SO2)'!$V$64</f>
        <v/>
      </c>
      <c r="H140" s="22">
        <f>'APSA-370 (SO2)'!$Z$64</f>
        <v/>
      </c>
    </row>
    <row r="141" ht="30" customHeight="1">
      <c r="A141" s="20" t="inlineStr">
        <is>
          <t>APSA-370 (SO2)</t>
        </is>
      </c>
      <c r="B141" s="21" t="inlineStr">
        <is>
          <t>7.1.2</t>
        </is>
      </c>
      <c r="C141" s="20">
        <f>'APSA-370 (SO2)'!$B$65</f>
        <v/>
      </c>
      <c r="D141" s="22" t="inlineStr">
        <is>
          <t>Tarjeta controladora de bomba AP-PMP-01</t>
        </is>
      </c>
      <c r="E141" s="24" t="inlineStr">
        <is>
          <t>Bloqueante</t>
        </is>
      </c>
      <c r="F141" s="21">
        <f>'APSA-370 (SO2)'!$U$65</f>
        <v/>
      </c>
      <c r="G141" s="21">
        <f>'APSA-370 (SO2)'!$V$65</f>
        <v/>
      </c>
      <c r="H141" s="22">
        <f>'APSA-370 (SO2)'!$Z$65</f>
        <v/>
      </c>
    </row>
    <row r="142" ht="30" customHeight="1">
      <c r="A142" s="20" t="inlineStr">
        <is>
          <t>APSA-370 (SO2)</t>
        </is>
      </c>
      <c r="B142" s="21" t="inlineStr">
        <is>
          <t>7.1.3</t>
        </is>
      </c>
      <c r="C142" s="20">
        <f>'APSA-370 (SO2)'!$B$66</f>
        <v/>
      </c>
      <c r="D142" s="22" t="inlineStr">
        <is>
          <t>LED ST0 en tarjeta de relés AP-RPL-02A</t>
        </is>
      </c>
      <c r="E142" s="24" t="inlineStr">
        <is>
          <t>Bloqueante</t>
        </is>
      </c>
      <c r="F142" s="21">
        <f>'APSA-370 (SO2)'!$U$66</f>
        <v/>
      </c>
      <c r="G142" s="21">
        <f>'APSA-370 (SO2)'!$V$66</f>
        <v/>
      </c>
      <c r="H142" s="22">
        <f>'APSA-370 (SO2)'!$Z$66</f>
        <v/>
      </c>
    </row>
    <row r="143" ht="30" customHeight="1">
      <c r="A143" s="20" t="inlineStr">
        <is>
          <t>APSA-370 (SO2)</t>
        </is>
      </c>
      <c r="B143" s="21" t="inlineStr">
        <is>
          <t>7.1.4</t>
        </is>
      </c>
      <c r="C143" s="20">
        <f>'APSA-370 (SO2)'!$B$67</f>
        <v/>
      </c>
      <c r="D143" s="22" t="inlineStr">
        <is>
          <t>LED ST1 en tarjeta de relés AP-RPL-02A</t>
        </is>
      </c>
      <c r="E143" s="24" t="inlineStr">
        <is>
          <t>Bloqueante</t>
        </is>
      </c>
      <c r="F143" s="21">
        <f>'APSA-370 (SO2)'!$U$67</f>
        <v/>
      </c>
      <c r="G143" s="21">
        <f>'APSA-370 (SO2)'!$V$67</f>
        <v/>
      </c>
      <c r="H143" s="22">
        <f>'APSA-370 (SO2)'!$Z$67</f>
        <v/>
      </c>
    </row>
    <row r="144" ht="30" customHeight="1">
      <c r="A144" s="20" t="inlineStr">
        <is>
          <t>APSA-370 (SO2)</t>
        </is>
      </c>
      <c r="B144" s="21" t="inlineStr">
        <is>
          <t>7.1.5</t>
        </is>
      </c>
      <c r="C144" s="20">
        <f>'APSA-370 (SO2)'!$B$68</f>
        <v/>
      </c>
      <c r="D144" s="22" t="inlineStr">
        <is>
          <t>LED de tensión +24 V en tarjeta ADC (AP-ADC-05)</t>
        </is>
      </c>
      <c r="E144" s="24" t="inlineStr">
        <is>
          <t>Bloqueante</t>
        </is>
      </c>
      <c r="F144" s="21">
        <f>'APSA-370 (SO2)'!$U$68</f>
        <v/>
      </c>
      <c r="G144" s="21">
        <f>'APSA-370 (SO2)'!$V$68</f>
        <v/>
      </c>
      <c r="H144" s="22">
        <f>'APSA-370 (SO2)'!$Z$68</f>
        <v/>
      </c>
    </row>
    <row r="145" ht="30" customHeight="1">
      <c r="A145" s="20" t="inlineStr">
        <is>
          <t>APSA-370 (SO2)</t>
        </is>
      </c>
      <c r="B145" s="21" t="inlineStr">
        <is>
          <t>7.1.6</t>
        </is>
      </c>
      <c r="C145" s="20">
        <f>'APSA-370 (SO2)'!$B$69</f>
        <v/>
      </c>
      <c r="D145" s="22" t="inlineStr">
        <is>
          <t>LED de tensión +5 V en tarjeta ADC (AP-ADC-05)</t>
        </is>
      </c>
      <c r="E145" s="24" t="inlineStr">
        <is>
          <t>Bloqueante</t>
        </is>
      </c>
      <c r="F145" s="21">
        <f>'APSA-370 (SO2)'!$U$69</f>
        <v/>
      </c>
      <c r="G145" s="21">
        <f>'APSA-370 (SO2)'!$V$69</f>
        <v/>
      </c>
      <c r="H145" s="22">
        <f>'APSA-370 (SO2)'!$Z$69</f>
        <v/>
      </c>
    </row>
    <row r="146" ht="30" customHeight="1">
      <c r="A146" s="20" t="inlineStr">
        <is>
          <t>APSA-370 (SO2)</t>
        </is>
      </c>
      <c r="B146" s="21" t="inlineStr">
        <is>
          <t>7.1.7</t>
        </is>
      </c>
      <c r="C146" s="20">
        <f>'APSA-370 (SO2)'!$B$70</f>
        <v/>
      </c>
      <c r="D146" s="22" t="inlineStr">
        <is>
          <t>LED de tensión +3,3 V en tarjeta CPU</t>
        </is>
      </c>
      <c r="E146" s="24" t="inlineStr">
        <is>
          <t>Bloqueante</t>
        </is>
      </c>
      <c r="F146" s="21">
        <f>'APSA-370 (SO2)'!$U$70</f>
        <v/>
      </c>
      <c r="G146" s="21">
        <f>'APSA-370 (SO2)'!$V$70</f>
        <v/>
      </c>
      <c r="H146" s="22">
        <f>'APSA-370 (SO2)'!$Z$70</f>
        <v/>
      </c>
    </row>
    <row r="147" ht="30" customHeight="1">
      <c r="A147" s="20" t="inlineStr">
        <is>
          <t>APSA-370 (SO2)</t>
        </is>
      </c>
      <c r="B147" s="21" t="inlineStr">
        <is>
          <t>7.1.8</t>
        </is>
      </c>
      <c r="C147" s="20">
        <f>'APSA-370 (SO2)'!$B$71</f>
        <v/>
      </c>
      <c r="D147" s="22" t="inlineStr">
        <is>
          <t>LED de tensión +5 V en tarjeta CPU</t>
        </is>
      </c>
      <c r="E147" s="24" t="inlineStr">
        <is>
          <t>Bloqueante</t>
        </is>
      </c>
      <c r="F147" s="21">
        <f>'APSA-370 (SO2)'!$U$71</f>
        <v/>
      </c>
      <c r="G147" s="21">
        <f>'APSA-370 (SO2)'!$V$71</f>
        <v/>
      </c>
      <c r="H147" s="22">
        <f>'APSA-370 (SO2)'!$Z$71</f>
        <v/>
      </c>
    </row>
    <row r="148" ht="30" customHeight="1">
      <c r="A148" s="20" t="inlineStr">
        <is>
          <t>APSA-370 (SO2)</t>
        </is>
      </c>
      <c r="B148" s="21" t="inlineStr">
        <is>
          <t>7.1.9</t>
        </is>
      </c>
      <c r="C148" s="20">
        <f>'APSA-370 (SO2)'!$B$72</f>
        <v/>
      </c>
      <c r="D148" s="22" t="inlineStr">
        <is>
          <t>LED de operación de la CPU (heartbeat)</t>
        </is>
      </c>
      <c r="E148" s="24" t="inlineStr">
        <is>
          <t>Bloqueante</t>
        </is>
      </c>
      <c r="F148" s="21">
        <f>'APSA-370 (SO2)'!$U$72</f>
        <v/>
      </c>
      <c r="G148" s="21">
        <f>'APSA-370 (SO2)'!$V$72</f>
        <v/>
      </c>
      <c r="H148" s="22">
        <f>'APSA-370 (SO2)'!$Z$72</f>
        <v/>
      </c>
    </row>
    <row r="149" ht="30" customHeight="1">
      <c r="A149" s="20" t="inlineStr">
        <is>
          <t>APSA-370 (SO2)</t>
        </is>
      </c>
      <c r="B149" s="21" t="inlineStr">
        <is>
          <t>7.2.1</t>
        </is>
      </c>
      <c r="C149" s="20">
        <f>'APSA-370 (SO2)'!$B$73</f>
        <v/>
      </c>
      <c r="D149" s="22" t="inlineStr">
        <is>
          <t>Voltaje de la batería de respaldo de SRAM y reloj</t>
        </is>
      </c>
      <c r="E149" s="25" t="inlineStr">
        <is>
          <t>Cobrable</t>
        </is>
      </c>
      <c r="F149" s="21">
        <f>'APSA-370 (SO2)'!$U$73</f>
        <v/>
      </c>
      <c r="G149" s="21">
        <f>'APSA-370 (SO2)'!$V$73</f>
        <v/>
      </c>
      <c r="H149" s="22">
        <f>'APSA-370 (SO2)'!$Z$73</f>
        <v/>
      </c>
    </row>
    <row r="150" ht="30" customHeight="1">
      <c r="A150" s="20" t="inlineStr">
        <is>
          <t>APSA-370 (SO2)</t>
        </is>
      </c>
      <c r="B150" s="21" t="inlineStr">
        <is>
          <t>7.3.1</t>
        </is>
      </c>
      <c r="C150" s="20">
        <f>'APSA-370 (SO2)'!$B$74</f>
        <v/>
      </c>
      <c r="D150" s="22" t="inlineStr">
        <is>
          <t>DIP switch SW2 de AP-ADC-05 (modelo)</t>
        </is>
      </c>
      <c r="E150" s="24" t="inlineStr">
        <is>
          <t>Bloqueante</t>
        </is>
      </c>
      <c r="F150" s="21">
        <f>'APSA-370 (SO2)'!$U$74</f>
        <v/>
      </c>
      <c r="G150" s="21">
        <f>'APSA-370 (SO2)'!$V$74</f>
        <v/>
      </c>
      <c r="H150" s="22">
        <f>'APSA-370 (SO2)'!$Z$74</f>
        <v/>
      </c>
    </row>
    <row r="151" ht="30" customHeight="1">
      <c r="A151" s="20" t="inlineStr">
        <is>
          <t>APSA-370 (SO2)</t>
        </is>
      </c>
      <c r="B151" s="21" t="inlineStr">
        <is>
          <t>7.3.2</t>
        </is>
      </c>
      <c r="C151" s="20">
        <f>'APSA-370 (SO2)'!$B$75</f>
        <v/>
      </c>
      <c r="D151" s="22" t="inlineStr">
        <is>
          <t>DIP switch SW2 de AP-ADC-05 (especificación internacional)</t>
        </is>
      </c>
      <c r="E151" s="23" t="inlineStr">
        <is>
          <t>Alerta</t>
        </is>
      </c>
      <c r="F151" s="21">
        <f>'APSA-370 (SO2)'!$U$75</f>
        <v/>
      </c>
      <c r="G151" s="21">
        <f>'APSA-370 (SO2)'!$V$75</f>
        <v/>
      </c>
      <c r="H151" s="22">
        <f>'APSA-370 (SO2)'!$Z$75</f>
        <v/>
      </c>
    </row>
    <row r="152" ht="30" customHeight="1">
      <c r="A152" s="20" t="inlineStr">
        <is>
          <t>APSA-370 (SO2)</t>
        </is>
      </c>
      <c r="B152" s="21" t="inlineStr">
        <is>
          <t>7.3.3</t>
        </is>
      </c>
      <c r="C152" s="20">
        <f>'APSA-370 (SO2)'!$B$76</f>
        <v/>
      </c>
      <c r="D152" s="22" t="inlineStr">
        <is>
          <t>DIP switch SW5 en CPU para comunicaciones RS-232C</t>
        </is>
      </c>
      <c r="E152" s="23" t="inlineStr">
        <is>
          <t>Alerta</t>
        </is>
      </c>
      <c r="F152" s="21">
        <f>'APSA-370 (SO2)'!$U$76</f>
        <v/>
      </c>
      <c r="G152" s="21">
        <f>'APSA-370 (SO2)'!$V$76</f>
        <v/>
      </c>
      <c r="H152" s="22">
        <f>'APSA-370 (SO2)'!$Z$76</f>
        <v/>
      </c>
    </row>
    <row r="153" ht="30" customHeight="1">
      <c r="A153" s="20" t="inlineStr">
        <is>
          <t>APSA-370 (SO2)</t>
        </is>
      </c>
      <c r="B153" s="21" t="inlineStr">
        <is>
          <t>7.3.4</t>
        </is>
      </c>
      <c r="C153" s="20">
        <f>'APSA-370 (SO2)'!$B$77</f>
        <v/>
      </c>
      <c r="D153" s="22" t="inlineStr">
        <is>
          <t>Interruptor SW1 en la tarjeta CPU</t>
        </is>
      </c>
      <c r="E153" s="23" t="inlineStr">
        <is>
          <t>Alerta</t>
        </is>
      </c>
      <c r="F153" s="21">
        <f>'APSA-370 (SO2)'!$U$77</f>
        <v/>
      </c>
      <c r="G153" s="21">
        <f>'APSA-370 (SO2)'!$V$77</f>
        <v/>
      </c>
      <c r="H153" s="22">
        <f>'APSA-370 (SO2)'!$Z$77</f>
        <v/>
      </c>
    </row>
    <row r="154" ht="30" customHeight="1">
      <c r="A154" s="20" t="inlineStr">
        <is>
          <t>APSA-370 (SO2)</t>
        </is>
      </c>
      <c r="B154" s="21" t="inlineStr">
        <is>
          <t>7.4.1</t>
        </is>
      </c>
      <c r="C154" s="20">
        <f>'APSA-370 (SO2)'!$B$78</f>
        <v/>
      </c>
      <c r="D154" s="22" t="inlineStr">
        <is>
          <t>Respuesta táctil de la pantalla LCD (Touch Panel)</t>
        </is>
      </c>
      <c r="E154" s="25" t="inlineStr">
        <is>
          <t>Cobrable</t>
        </is>
      </c>
      <c r="F154" s="21">
        <f>'APSA-370 (SO2)'!$U$78</f>
        <v/>
      </c>
      <c r="G154" s="21">
        <f>'APSA-370 (SO2)'!$V$78</f>
        <v/>
      </c>
      <c r="H154" s="22">
        <f>'APSA-370 (SO2)'!$Z$78</f>
        <v/>
      </c>
    </row>
    <row r="155" ht="30" customHeight="1">
      <c r="A155" s="20" t="inlineStr">
        <is>
          <t>APSA-370 (SO2)</t>
        </is>
      </c>
      <c r="B155" s="21" t="inlineStr">
        <is>
          <t>7.5.1</t>
        </is>
      </c>
      <c r="C155" s="20">
        <f>'APSA-370 (SO2)'!$B$79</f>
        <v/>
      </c>
      <c r="D155" s="22" t="inlineStr">
        <is>
          <t>Ajuste de cero analógico (DA ADJUST / ZERO)</t>
        </is>
      </c>
      <c r="E155" s="24" t="inlineStr">
        <is>
          <t>Bloqueante</t>
        </is>
      </c>
      <c r="F155" s="21">
        <f>'APSA-370 (SO2)'!$U$79</f>
        <v/>
      </c>
      <c r="G155" s="21">
        <f>'APSA-370 (SO2)'!$V$79</f>
        <v/>
      </c>
      <c r="H155" s="22">
        <f>'APSA-370 (SO2)'!$Z$79</f>
        <v/>
      </c>
    </row>
    <row r="156" ht="30" customHeight="1">
      <c r="A156" s="20" t="inlineStr">
        <is>
          <t>APSA-370 (SO2)</t>
        </is>
      </c>
      <c r="B156" s="21" t="inlineStr">
        <is>
          <t>7.5.2</t>
        </is>
      </c>
      <c r="C156" s="20">
        <f>'APSA-370 (SO2)'!$B$80</f>
        <v/>
      </c>
      <c r="D156" s="22" t="inlineStr">
        <is>
          <t>Ajuste de span analógico (DA ADJUST / SPAN)</t>
        </is>
      </c>
      <c r="E156" s="24" t="inlineStr">
        <is>
          <t>Bloqueante</t>
        </is>
      </c>
      <c r="F156" s="21">
        <f>'APSA-370 (SO2)'!$U$80</f>
        <v/>
      </c>
      <c r="G156" s="21">
        <f>'APSA-370 (SO2)'!$V$80</f>
        <v/>
      </c>
      <c r="H156" s="22">
        <f>'APSA-370 (SO2)'!$Z$80</f>
        <v/>
      </c>
    </row>
    <row r="157" ht="30" customHeight="1">
      <c r="A157" s="20" t="inlineStr">
        <is>
          <t>APSA-370 (SO2)</t>
        </is>
      </c>
      <c r="B157" s="21" t="inlineStr">
        <is>
          <t>7.5.3</t>
        </is>
      </c>
      <c r="C157" s="20">
        <f>'APSA-370 (SO2)'!$B$81</f>
        <v/>
      </c>
      <c r="D157" s="22" t="inlineStr">
        <is>
          <t>Asignación de la salida analógica CH-1</t>
        </is>
      </c>
      <c r="E157" s="23" t="inlineStr">
        <is>
          <t>Alerta</t>
        </is>
      </c>
      <c r="F157" s="21">
        <f>'APSA-370 (SO2)'!$U$81</f>
        <v/>
      </c>
      <c r="G157" s="21">
        <f>'APSA-370 (SO2)'!$V$81</f>
        <v/>
      </c>
      <c r="H157" s="22">
        <f>'APSA-370 (SO2)'!$Z$81</f>
        <v/>
      </c>
    </row>
    <row r="158" ht="30" customHeight="1">
      <c r="A158" s="20" t="inlineStr">
        <is>
          <t>APSA-370 (SO2)</t>
        </is>
      </c>
      <c r="B158" s="21" t="inlineStr">
        <is>
          <t>7.6.1</t>
        </is>
      </c>
      <c r="C158" s="20">
        <f>'APSA-370 (SO2)'!$B$82</f>
        <v/>
      </c>
      <c r="D158" s="22" t="inlineStr">
        <is>
          <t>Tarjeta posterior e interfaz serie RS-232C</t>
        </is>
      </c>
      <c r="E158" s="23" t="inlineStr">
        <is>
          <t>Alerta</t>
        </is>
      </c>
      <c r="F158" s="21">
        <f>'APSA-370 (SO2)'!$U$82</f>
        <v/>
      </c>
      <c r="G158" s="21">
        <f>'APSA-370 (SO2)'!$V$82</f>
        <v/>
      </c>
      <c r="H158" s="22">
        <f>'APSA-370 (SO2)'!$Z$82</f>
        <v/>
      </c>
    </row>
    <row r="159" ht="30" customHeight="1">
      <c r="A159" s="20" t="inlineStr">
        <is>
          <t>APSA-370 (SO2)</t>
        </is>
      </c>
      <c r="B159" s="21" t="inlineStr">
        <is>
          <t>7.6.2</t>
        </is>
      </c>
      <c r="C159" s="20">
        <f>'APSA-370 (SO2)'!$B$83</f>
        <v/>
      </c>
      <c r="D159" s="22" t="inlineStr">
        <is>
          <t>Identificación de la tarjeta CompactFlash (CF card)</t>
        </is>
      </c>
      <c r="E159" s="23" t="inlineStr">
        <is>
          <t>Alerta</t>
        </is>
      </c>
      <c r="F159" s="21">
        <f>'APSA-370 (SO2)'!$U$83</f>
        <v/>
      </c>
      <c r="G159" s="21">
        <f>'APSA-370 (SO2)'!$V$83</f>
        <v/>
      </c>
      <c r="H159" s="22">
        <f>'APSA-370 (SO2)'!$Z$83</f>
        <v/>
      </c>
    </row>
    <row r="160" ht="30" customHeight="1">
      <c r="A160" s="20" t="inlineStr">
        <is>
          <t>APSA-370 (SO2)</t>
        </is>
      </c>
      <c r="B160" s="21" t="inlineStr">
        <is>
          <t>7.7.1</t>
        </is>
      </c>
      <c r="C160" s="20">
        <f>'APSA-370 (SO2)'!$B$84</f>
        <v/>
      </c>
      <c r="D160" s="22" t="inlineStr">
        <is>
          <t>Fusible de alimentación posterior de CA</t>
        </is>
      </c>
      <c r="E160" s="24" t="inlineStr">
        <is>
          <t>Bloqueante</t>
        </is>
      </c>
      <c r="F160" s="21">
        <f>'APSA-370 (SO2)'!$U$84</f>
        <v/>
      </c>
      <c r="G160" s="21">
        <f>'APSA-370 (SO2)'!$V$84</f>
        <v/>
      </c>
      <c r="H160" s="22">
        <f>'APSA-370 (SO2)'!$Z$84</f>
        <v/>
      </c>
    </row>
    <row r="161" ht="30" customHeight="1">
      <c r="A161" s="20" t="inlineStr">
        <is>
          <t>APSA-370 (SO2)</t>
        </is>
      </c>
      <c r="B161" s="21" t="inlineStr">
        <is>
          <t>8.1.1</t>
        </is>
      </c>
      <c r="C161" s="20">
        <f>'APSA-370 (SO2)'!$B$85</f>
        <v/>
      </c>
      <c r="D161" s="22" t="inlineStr">
        <is>
          <t>Horas de uso del filtro de purga de aire F-2</t>
        </is>
      </c>
      <c r="E161" s="25" t="inlineStr">
        <is>
          <t>Cobrable</t>
        </is>
      </c>
      <c r="F161" s="21">
        <f>'APSA-370 (SO2)'!$U$85</f>
        <v/>
      </c>
      <c r="G161" s="21">
        <f>'APSA-370 (SO2)'!$V$85</f>
        <v/>
      </c>
      <c r="H161" s="22">
        <f>'APSA-370 (SO2)'!$Z$85</f>
        <v/>
      </c>
    </row>
    <row r="162" ht="30" customHeight="1">
      <c r="A162" s="20" t="inlineStr">
        <is>
          <t>APSA-370 (SO2)</t>
        </is>
      </c>
      <c r="B162" s="21" t="inlineStr">
        <is>
          <t>8.1.2</t>
        </is>
      </c>
      <c r="C162" s="20">
        <f>'APSA-370 (SO2)'!$B$86</f>
        <v/>
      </c>
      <c r="D162" s="22" t="inlineStr">
        <is>
          <t>Horas de uso del depurador (Scrubber ESU-050A)</t>
        </is>
      </c>
      <c r="E162" s="25" t="inlineStr">
        <is>
          <t>Cobrable</t>
        </is>
      </c>
      <c r="F162" s="21">
        <f>'APSA-370 (SO2)'!$U$86</f>
        <v/>
      </c>
      <c r="G162" s="21">
        <f>'APSA-370 (SO2)'!$V$86</f>
        <v/>
      </c>
      <c r="H162" s="22">
        <f>'APSA-370 (SO2)'!$Z$86</f>
        <v/>
      </c>
    </row>
    <row r="163" ht="30" customHeight="1">
      <c r="A163" s="20" t="inlineStr">
        <is>
          <t>APSA-370 (SO2)</t>
        </is>
      </c>
      <c r="B163" s="21" t="inlineStr">
        <is>
          <t>8.1.3</t>
        </is>
      </c>
      <c r="C163" s="20">
        <f>'APSA-370 (SO2)'!$B$87</f>
        <v/>
      </c>
      <c r="D163" s="22" t="inlineStr">
        <is>
          <t>Horas de uso del separador de hidrocarburos (HC Cutter)</t>
        </is>
      </c>
      <c r="E163" s="25" t="inlineStr">
        <is>
          <t>Cobrable</t>
        </is>
      </c>
      <c r="F163" s="21">
        <f>'APSA-370 (SO2)'!$U$87</f>
        <v/>
      </c>
      <c r="G163" s="21">
        <f>'APSA-370 (SO2)'!$V$87</f>
        <v/>
      </c>
      <c r="H163" s="22">
        <f>'APSA-370 (SO2)'!$Z$87</f>
        <v/>
      </c>
    </row>
    <row r="164" ht="30" customHeight="1">
      <c r="A164" s="20" t="inlineStr">
        <is>
          <t>APSA-370 (SO2)</t>
        </is>
      </c>
      <c r="B164" s="21" t="inlineStr">
        <is>
          <t>8.1.4</t>
        </is>
      </c>
      <c r="C164" s="20">
        <f>'APSA-370 (SO2)'!$B$88</f>
        <v/>
      </c>
      <c r="D164" s="22" t="inlineStr">
        <is>
          <t>Horas de uso del diafragma de la bomba (P-1-D)</t>
        </is>
      </c>
      <c r="E164" s="25" t="inlineStr">
        <is>
          <t>Cobrable</t>
        </is>
      </c>
      <c r="F164" s="21">
        <f>'APSA-370 (SO2)'!$U$88</f>
        <v/>
      </c>
      <c r="G164" s="21">
        <f>'APSA-370 (SO2)'!$V$88</f>
        <v/>
      </c>
      <c r="H164" s="22">
        <f>'APSA-370 (SO2)'!$Z$88</f>
        <v/>
      </c>
    </row>
    <row r="165" ht="30" customHeight="1">
      <c r="A165" s="20" t="inlineStr">
        <is>
          <t>APSA-370 (SO2)</t>
        </is>
      </c>
      <c r="B165" s="21" t="inlineStr">
        <is>
          <t>8.1.5</t>
        </is>
      </c>
      <c r="C165" s="20">
        <f>'APSA-370 (SO2)'!$B$89</f>
        <v/>
      </c>
      <c r="D165" s="22" t="inlineStr">
        <is>
          <t>Horas de uso de la lámpara de xenón (LAMP)</t>
        </is>
      </c>
      <c r="E165" s="25" t="inlineStr">
        <is>
          <t>Cobrable</t>
        </is>
      </c>
      <c r="F165" s="21">
        <f>'APSA-370 (SO2)'!$U$89</f>
        <v/>
      </c>
      <c r="G165" s="21">
        <f>'APSA-370 (SO2)'!$V$89</f>
        <v/>
      </c>
      <c r="H165" s="22">
        <f>'APSA-370 (SO2)'!$Z$89</f>
        <v/>
      </c>
    </row>
    <row r="166" ht="30" customHeight="1">
      <c r="A166" s="20" t="inlineStr">
        <is>
          <t>APSA-370 (SO2)</t>
        </is>
      </c>
      <c r="B166" s="21" t="inlineStr">
        <is>
          <t>9.1.1</t>
        </is>
      </c>
      <c r="C166" s="20">
        <f>'APSA-370 (SO2)'!$B$90</f>
        <v/>
      </c>
      <c r="D166" s="22" t="inlineStr">
        <is>
          <t>Temperatura de la celda (CELL)</t>
        </is>
      </c>
      <c r="E166" s="24" t="inlineStr">
        <is>
          <t>Bloqueante</t>
        </is>
      </c>
      <c r="F166" s="21">
        <f>'APSA-370 (SO2)'!$U$90</f>
        <v/>
      </c>
      <c r="G166" s="21">
        <f>'APSA-370 (SO2)'!$V$90</f>
        <v/>
      </c>
      <c r="H166" s="22">
        <f>'APSA-370 (SO2)'!$Z$90</f>
        <v/>
      </c>
    </row>
    <row r="167" ht="30" customHeight="1">
      <c r="A167" s="20" t="inlineStr">
        <is>
          <t>APSA-370 (SO2)</t>
        </is>
      </c>
      <c r="B167" s="21" t="inlineStr">
        <is>
          <t>9.2.1</t>
        </is>
      </c>
      <c r="C167" s="20">
        <f>'APSA-370 (SO2)'!$B$91</f>
        <v/>
      </c>
      <c r="D167" s="22" t="inlineStr">
        <is>
          <t>Sensor de presión atmosférica (AMBIENT)</t>
        </is>
      </c>
      <c r="E167" s="24" t="inlineStr">
        <is>
          <t>Bloqueante</t>
        </is>
      </c>
      <c r="F167" s="21">
        <f>'APSA-370 (SO2)'!$U$91</f>
        <v/>
      </c>
      <c r="G167" s="21">
        <f>'APSA-370 (SO2)'!$V$91</f>
        <v/>
      </c>
      <c r="H167" s="22">
        <f>'APSA-370 (SO2)'!$Z$91</f>
        <v/>
      </c>
    </row>
    <row r="168" ht="30" customHeight="1">
      <c r="A168" s="20" t="inlineStr">
        <is>
          <t>APSA-370 (SO2)</t>
        </is>
      </c>
      <c r="B168" s="21" t="inlineStr">
        <is>
          <t>9.2.2</t>
        </is>
      </c>
      <c r="C168" s="20">
        <f>'APSA-370 (SO2)'!$B$92</f>
        <v/>
      </c>
      <c r="D168" s="22" t="inlineStr">
        <is>
          <t>Sensor de presión de la bomba (PUMP)</t>
        </is>
      </c>
      <c r="E168" s="24" t="inlineStr">
        <is>
          <t>Bloqueante</t>
        </is>
      </c>
      <c r="F168" s="21">
        <f>'APSA-370 (SO2)'!$U$92</f>
        <v/>
      </c>
      <c r="G168" s="21">
        <f>'APSA-370 (SO2)'!$V$92</f>
        <v/>
      </c>
      <c r="H168" s="22">
        <f>'APSA-370 (SO2)'!$Z$92</f>
        <v/>
      </c>
    </row>
    <row r="169" ht="30" customHeight="1">
      <c r="A169" s="20" t="inlineStr">
        <is>
          <t>APSA-370 (SO2)</t>
        </is>
      </c>
      <c r="B169" s="21" t="inlineStr">
        <is>
          <t>9.3.1</t>
        </is>
      </c>
      <c r="C169" s="20">
        <f>'APSA-370 (SO2)'!$B$93</f>
        <v/>
      </c>
      <c r="D169" s="22" t="inlineStr">
        <is>
          <t>Sensor de caudal de muestra (SAMPLE)</t>
        </is>
      </c>
      <c r="E169" s="24" t="inlineStr">
        <is>
          <t>Bloqueante</t>
        </is>
      </c>
      <c r="F169" s="21">
        <f>'APSA-370 (SO2)'!$U$93</f>
        <v/>
      </c>
      <c r="G169" s="21">
        <f>'APSA-370 (SO2)'!$V$93</f>
        <v/>
      </c>
      <c r="H169" s="22">
        <f>'APSA-370 (SO2)'!$Z$93</f>
        <v/>
      </c>
    </row>
    <row r="170" ht="30" customHeight="1">
      <c r="A170" s="20" t="inlineStr">
        <is>
          <t>APSA-370 (SO2)</t>
        </is>
      </c>
      <c r="B170" s="21" t="inlineStr">
        <is>
          <t>9.4.1</t>
        </is>
      </c>
      <c r="C170" s="20">
        <f>'APSA-370 (SO2)'!$B$94</f>
        <v/>
      </c>
      <c r="D170" s="22" t="inlineStr">
        <is>
          <t>Tensión de suministro de CC de 24 V</t>
        </is>
      </c>
      <c r="E170" s="24" t="inlineStr">
        <is>
          <t>Bloqueante</t>
        </is>
      </c>
      <c r="F170" s="21">
        <f>'APSA-370 (SO2)'!$U$94</f>
        <v/>
      </c>
      <c r="G170" s="21">
        <f>'APSA-370 (SO2)'!$V$94</f>
        <v/>
      </c>
      <c r="H170" s="22">
        <f>'APSA-370 (SO2)'!$Z$94</f>
        <v/>
      </c>
    </row>
    <row r="171" ht="30" customHeight="1">
      <c r="A171" s="20" t="inlineStr">
        <is>
          <t>APSA-370 (SO2)</t>
        </is>
      </c>
      <c r="B171" s="21" t="inlineStr">
        <is>
          <t>9.4.2</t>
        </is>
      </c>
      <c r="C171" s="20">
        <f>'APSA-370 (SO2)'!$B$95</f>
        <v/>
      </c>
      <c r="D171" s="22" t="inlineStr">
        <is>
          <t>Tensión de suministro de CC de 5 V</t>
        </is>
      </c>
      <c r="E171" s="24" t="inlineStr">
        <is>
          <t>Bloqueante</t>
        </is>
      </c>
      <c r="F171" s="21">
        <f>'APSA-370 (SO2)'!$U$95</f>
        <v/>
      </c>
      <c r="G171" s="21">
        <f>'APSA-370 (SO2)'!$V$95</f>
        <v/>
      </c>
      <c r="H171" s="22">
        <f>'APSA-370 (SO2)'!$Z$95</f>
        <v/>
      </c>
    </row>
    <row r="172" ht="30" customHeight="1">
      <c r="A172" s="20" t="inlineStr">
        <is>
          <t>APSA-370 (SO2)</t>
        </is>
      </c>
      <c r="B172" s="21" t="inlineStr">
        <is>
          <t>10.1.1</t>
        </is>
      </c>
      <c r="C172" s="20">
        <f>'APSA-370 (SO2)'!$B$96</f>
        <v/>
      </c>
      <c r="D172" s="22" t="inlineStr">
        <is>
          <t>Temperatura ambiente de la cabina</t>
        </is>
      </c>
      <c r="E172" s="23" t="inlineStr">
        <is>
          <t>Alerta</t>
        </is>
      </c>
      <c r="F172" s="21">
        <f>'APSA-370 (SO2)'!$U$96</f>
        <v/>
      </c>
      <c r="G172" s="21">
        <f>'APSA-370 (SO2)'!$V$96</f>
        <v/>
      </c>
      <c r="H172" s="22">
        <f>'APSA-370 (SO2)'!$Z$96</f>
        <v/>
      </c>
    </row>
    <row r="173" ht="30" customHeight="1">
      <c r="A173" s="20" t="inlineStr">
        <is>
          <t>APSA-370 (SO2)</t>
        </is>
      </c>
      <c r="B173" s="21" t="inlineStr">
        <is>
          <t>10.1.2</t>
        </is>
      </c>
      <c r="C173" s="20">
        <f>'APSA-370 (SO2)'!$B$97</f>
        <v/>
      </c>
      <c r="D173" s="22" t="inlineStr">
        <is>
          <t>Humedad relativa del sitio</t>
        </is>
      </c>
      <c r="E173" s="23" t="inlineStr">
        <is>
          <t>Alerta</t>
        </is>
      </c>
      <c r="F173" s="21">
        <f>'APSA-370 (SO2)'!$U$97</f>
        <v/>
      </c>
      <c r="G173" s="21">
        <f>'APSA-370 (SO2)'!$V$97</f>
        <v/>
      </c>
      <c r="H173" s="22">
        <f>'APSA-370 (SO2)'!$Z$97</f>
        <v/>
      </c>
    </row>
    <row r="174" ht="30" customHeight="1">
      <c r="A174" s="20" t="inlineStr">
        <is>
          <t>APSA-370 (SO2)</t>
        </is>
      </c>
      <c r="B174" s="21" t="inlineStr">
        <is>
          <t>10.1.3</t>
        </is>
      </c>
      <c r="C174" s="20">
        <f>'APSA-370 (SO2)'!$B$98</f>
        <v/>
      </c>
      <c r="D174" s="22" t="inlineStr">
        <is>
          <t>Nivel de polvo de la cabina</t>
        </is>
      </c>
      <c r="E174" s="23" t="inlineStr">
        <is>
          <t>Alerta</t>
        </is>
      </c>
      <c r="F174" s="21">
        <f>'APSA-370 (SO2)'!$U$98</f>
        <v/>
      </c>
      <c r="G174" s="21">
        <f>'APSA-370 (SO2)'!$V$98</f>
        <v/>
      </c>
      <c r="H174" s="22">
        <f>'APSA-370 (SO2)'!$Z$98</f>
        <v/>
      </c>
    </row>
    <row r="175" ht="30" customHeight="1">
      <c r="A175" s="20" t="inlineStr">
        <is>
          <t>APSA-370 (SO2)</t>
        </is>
      </c>
      <c r="B175" s="21" t="inlineStr">
        <is>
          <t>10.2.1</t>
        </is>
      </c>
      <c r="C175" s="20">
        <f>'APSA-370 (SO2)'!$B$99</f>
        <v/>
      </c>
      <c r="D175" s="22" t="inlineStr">
        <is>
          <t>Nivelación horizontal del instrumento</t>
        </is>
      </c>
      <c r="E175" s="23" t="inlineStr">
        <is>
          <t>Alerta</t>
        </is>
      </c>
      <c r="F175" s="21">
        <f>'APSA-370 (SO2)'!$U$99</f>
        <v/>
      </c>
      <c r="G175" s="21">
        <f>'APSA-370 (SO2)'!$V$99</f>
        <v/>
      </c>
      <c r="H175" s="22">
        <f>'APSA-370 (SO2)'!$Z$99</f>
        <v/>
      </c>
    </row>
    <row r="176" ht="30" customHeight="1">
      <c r="A176" s="20" t="inlineStr">
        <is>
          <t>APSA-370 (SO2)</t>
        </is>
      </c>
      <c r="B176" s="21" t="inlineStr">
        <is>
          <t>10.2.2</t>
        </is>
      </c>
      <c r="C176" s="20">
        <f>'APSA-370 (SO2)'!$B$100</f>
        <v/>
      </c>
      <c r="D176" s="22" t="inlineStr">
        <is>
          <t>Espacio posterior para ventilación y servicio</t>
        </is>
      </c>
      <c r="E176" s="23" t="inlineStr">
        <is>
          <t>Alerta</t>
        </is>
      </c>
      <c r="F176" s="21">
        <f>'APSA-370 (SO2)'!$U$100</f>
        <v/>
      </c>
      <c r="G176" s="21">
        <f>'APSA-370 (SO2)'!$V$100</f>
        <v/>
      </c>
      <c r="H176" s="22">
        <f>'APSA-370 (SO2)'!$Z$100</f>
        <v/>
      </c>
    </row>
    <row r="177" ht="30" customHeight="1">
      <c r="A177" s="20" t="inlineStr">
        <is>
          <t>APSA-370 (SO2)</t>
        </is>
      </c>
      <c r="B177" s="21" t="inlineStr">
        <is>
          <t>10.2.3</t>
        </is>
      </c>
      <c r="C177" s="20">
        <f>'APSA-370 (SO2)'!$B$101</f>
        <v/>
      </c>
      <c r="D177" s="22" t="inlineStr">
        <is>
          <t>Bandeja de soporte en rack de 19 pulgadas</t>
        </is>
      </c>
      <c r="E177" s="23" t="inlineStr">
        <is>
          <t>Alerta</t>
        </is>
      </c>
      <c r="F177" s="21">
        <f>'APSA-370 (SO2)'!$U$101</f>
        <v/>
      </c>
      <c r="G177" s="21">
        <f>'APSA-370 (SO2)'!$V$101</f>
        <v/>
      </c>
      <c r="H177" s="22">
        <f>'APSA-370 (SO2)'!$Z$101</f>
        <v/>
      </c>
    </row>
    <row r="178" ht="30" customHeight="1">
      <c r="A178" s="20" t="inlineStr">
        <is>
          <t>APSA-370 (SO2)</t>
        </is>
      </c>
      <c r="B178" s="21" t="inlineStr">
        <is>
          <t>10.3.1</t>
        </is>
      </c>
      <c r="C178" s="20">
        <f>'APSA-370 (SO2)'!$B$102</f>
        <v/>
      </c>
      <c r="D178" s="22" t="inlineStr">
        <is>
          <t>Casquillos de bisagra de la puerta delantera</t>
        </is>
      </c>
      <c r="E178" s="25" t="inlineStr">
        <is>
          <t>Cobrable</t>
        </is>
      </c>
      <c r="F178" s="21">
        <f>'APSA-370 (SO2)'!$U$102</f>
        <v/>
      </c>
      <c r="G178" s="21">
        <f>'APSA-370 (SO2)'!$V$102</f>
        <v/>
      </c>
      <c r="H178" s="22">
        <f>'APSA-370 (SO2)'!$Z$102</f>
        <v/>
      </c>
    </row>
    <row r="179" ht="30" customHeight="1">
      <c r="A179" s="20" t="inlineStr">
        <is>
          <t>APSA-370 (SO2)</t>
        </is>
      </c>
      <c r="B179" s="21" t="inlineStr">
        <is>
          <t>10.4.1</t>
        </is>
      </c>
      <c r="C179" s="20">
        <f>'APSA-370 (SO2)'!$B$103</f>
        <v/>
      </c>
      <c r="D179" s="22" t="inlineStr">
        <is>
          <t>Ventilador de enfriamiento posterior (Fan)</t>
        </is>
      </c>
      <c r="E179" s="24" t="inlineStr">
        <is>
          <t>Bloqueante</t>
        </is>
      </c>
      <c r="F179" s="21">
        <f>'APSA-370 (SO2)'!$U$103</f>
        <v/>
      </c>
      <c r="G179" s="21">
        <f>'APSA-370 (SO2)'!$V$103</f>
        <v/>
      </c>
      <c r="H179" s="22">
        <f>'APSA-370 (SO2)'!$Z$103</f>
        <v/>
      </c>
    </row>
    <row r="180" ht="30" customHeight="1">
      <c r="A180" s="20" t="inlineStr">
        <is>
          <t>APSA-370 (SO2)</t>
        </is>
      </c>
      <c r="B180" s="21" t="inlineStr">
        <is>
          <t>10.4.2</t>
        </is>
      </c>
      <c r="C180" s="20">
        <f>'APSA-370 (SO2)'!$B$104</f>
        <v/>
      </c>
      <c r="D180" s="22" t="inlineStr">
        <is>
          <t>Calefactor de la cámara o del HC Cutter (Heater)</t>
        </is>
      </c>
      <c r="E180" s="24" t="inlineStr">
        <is>
          <t>Bloqueante</t>
        </is>
      </c>
      <c r="F180" s="21">
        <f>'APSA-370 (SO2)'!$U$104</f>
        <v/>
      </c>
      <c r="G180" s="21">
        <f>'APSA-370 (SO2)'!$V$104</f>
        <v/>
      </c>
      <c r="H180" s="22">
        <f>'APSA-370 (SO2)'!$Z$104</f>
        <v/>
      </c>
    </row>
    <row r="181" ht="30" customHeight="1">
      <c r="A181" s="20" t="inlineStr">
        <is>
          <t>APOA-370 (O3)</t>
        </is>
      </c>
      <c r="B181" s="21" t="inlineStr">
        <is>
          <t>1.1.1</t>
        </is>
      </c>
      <c r="C181" s="20">
        <f>'APOA-370 (O3)'!$B$9</f>
        <v/>
      </c>
      <c r="D181" s="22" t="inlineStr">
        <is>
          <t>LED de alimentación (panel frontal)</t>
        </is>
      </c>
      <c r="E181" s="23" t="inlineStr">
        <is>
          <t>Alerta</t>
        </is>
      </c>
      <c r="F181" s="21">
        <f>'APOA-370 (O3)'!$U$9</f>
        <v/>
      </c>
      <c r="G181" s="21">
        <f>'APOA-370 (O3)'!$V$9</f>
        <v/>
      </c>
      <c r="H181" s="22">
        <f>'APOA-370 (O3)'!$Z$9</f>
        <v/>
      </c>
    </row>
    <row r="182" ht="30" customHeight="1">
      <c r="A182" s="20" t="inlineStr">
        <is>
          <t>APOA-370 (O3)</t>
        </is>
      </c>
      <c r="B182" s="21" t="inlineStr">
        <is>
          <t>1.1.2</t>
        </is>
      </c>
      <c r="C182" s="20">
        <f>'APOA-370 (O3)'!$B$10</f>
        <v/>
      </c>
      <c r="D182" s="22" t="inlineStr">
        <is>
          <t>Inicialización del visualizador táctil</t>
        </is>
      </c>
      <c r="E182" s="25" t="inlineStr">
        <is>
          <t>Cobrable</t>
        </is>
      </c>
      <c r="F182" s="21">
        <f>'APOA-370 (O3)'!$U$10</f>
        <v/>
      </c>
      <c r="G182" s="21">
        <f>'APOA-370 (O3)'!$V$10</f>
        <v/>
      </c>
      <c r="H182" s="22">
        <f>'APOA-370 (O3)'!$Z$10</f>
        <v/>
      </c>
    </row>
    <row r="183" ht="30" customHeight="1">
      <c r="A183" s="20" t="inlineStr">
        <is>
          <t>APOA-370 (O3)</t>
        </is>
      </c>
      <c r="B183" s="21" t="inlineStr">
        <is>
          <t>1.1.3</t>
        </is>
      </c>
      <c r="C183" s="20">
        <f>'APOA-370 (O3)'!$B$11</f>
        <v/>
      </c>
      <c r="D183" s="22" t="inlineStr">
        <is>
          <t>Verificación de la pantalla de inicio</t>
        </is>
      </c>
      <c r="E183" s="25" t="inlineStr">
        <is>
          <t>Cobrable</t>
        </is>
      </c>
      <c r="F183" s="21">
        <f>'APOA-370 (O3)'!$U$11</f>
        <v/>
      </c>
      <c r="G183" s="21">
        <f>'APOA-370 (O3)'!$V$11</f>
        <v/>
      </c>
      <c r="H183" s="22">
        <f>'APOA-370 (O3)'!$Z$11</f>
        <v/>
      </c>
    </row>
    <row r="184" ht="30" customHeight="1">
      <c r="A184" s="20" t="inlineStr">
        <is>
          <t>APOA-370 (O3)</t>
        </is>
      </c>
      <c r="B184" s="21" t="inlineStr">
        <is>
          <t>1.2.1</t>
        </is>
      </c>
      <c r="C184" s="20">
        <f>'APOA-370 (O3)'!$B$12</f>
        <v/>
      </c>
      <c r="D184" s="22" t="inlineStr">
        <is>
          <t>Iconos y botones de alarma en pantalla</t>
        </is>
      </c>
      <c r="E184" s="24" t="inlineStr">
        <is>
          <t>Bloqueante</t>
        </is>
      </c>
      <c r="F184" s="21">
        <f>'APOA-370 (O3)'!$U$12</f>
        <v/>
      </c>
      <c r="G184" s="21">
        <f>'APOA-370 (O3)'!$V$12</f>
        <v/>
      </c>
      <c r="H184" s="22">
        <f>'APOA-370 (O3)'!$Z$12</f>
        <v/>
      </c>
    </row>
    <row r="185" ht="30" customHeight="1">
      <c r="A185" s="20" t="inlineStr">
        <is>
          <t>APOA-370 (O3)</t>
        </is>
      </c>
      <c r="B185" s="21" t="inlineStr">
        <is>
          <t>1.2.2</t>
        </is>
      </c>
      <c r="C185" s="20">
        <f>'APOA-370 (O3)'!$B$13</f>
        <v/>
      </c>
      <c r="D185" s="22" t="inlineStr">
        <is>
          <t>Verificación de intensidad inicial de la lámpara</t>
        </is>
      </c>
      <c r="E185" s="24" t="inlineStr">
        <is>
          <t>Bloqueante</t>
        </is>
      </c>
      <c r="F185" s="21">
        <f>'APOA-370 (O3)'!$U$13</f>
        <v/>
      </c>
      <c r="G185" s="21">
        <f>'APOA-370 (O3)'!$V$13</f>
        <v/>
      </c>
      <c r="H185" s="22">
        <f>'APOA-370 (O3)'!$Z$13</f>
        <v/>
      </c>
    </row>
    <row r="186" ht="30" customHeight="1">
      <c r="A186" s="20" t="inlineStr">
        <is>
          <t>APOA-370 (O3)</t>
        </is>
      </c>
      <c r="B186" s="21" t="inlineStr">
        <is>
          <t>1.2.3</t>
        </is>
      </c>
      <c r="C186" s="20">
        <f>'APOA-370 (O3)'!$B$14</f>
        <v/>
      </c>
      <c r="D186" s="22" t="inlineStr">
        <is>
          <t>Modulación de flujo cruzado a 1 Hz</t>
        </is>
      </c>
      <c r="E186" s="24" t="inlineStr">
        <is>
          <t>Bloqueante</t>
        </is>
      </c>
      <c r="F186" s="21">
        <f>'APOA-370 (O3)'!$U$14</f>
        <v/>
      </c>
      <c r="G186" s="21">
        <f>'APOA-370 (O3)'!$V$14</f>
        <v/>
      </c>
      <c r="H186" s="22">
        <f>'APOA-370 (O3)'!$Z$14</f>
        <v/>
      </c>
    </row>
    <row r="187" ht="30" customHeight="1">
      <c r="A187" s="20" t="inlineStr">
        <is>
          <t>APOA-370 (O3)</t>
        </is>
      </c>
      <c r="B187" s="21" t="inlineStr">
        <is>
          <t>1.3.1</t>
        </is>
      </c>
      <c r="C187" s="20">
        <f>'APOA-370 (O3)'!$B$15</f>
        <v/>
      </c>
      <c r="D187" s="22" t="inlineStr">
        <is>
          <t>Calentamiento inicial (warm-up)</t>
        </is>
      </c>
      <c r="E187" s="23" t="inlineStr">
        <is>
          <t>Alerta</t>
        </is>
      </c>
      <c r="F187" s="21">
        <f>'APOA-370 (O3)'!$U$15</f>
        <v/>
      </c>
      <c r="G187" s="21">
        <f>'APOA-370 (O3)'!$V$15</f>
        <v/>
      </c>
      <c r="H187" s="22">
        <f>'APOA-370 (O3)'!$Z$15</f>
        <v/>
      </c>
    </row>
    <row r="188" ht="30" customHeight="1">
      <c r="A188" s="20" t="inlineStr">
        <is>
          <t>APOA-370 (O3)</t>
        </is>
      </c>
      <c r="B188" s="21" t="inlineStr">
        <is>
          <t>2.1.1</t>
        </is>
      </c>
      <c r="C188" s="20">
        <f>'APOA-370 (O3)'!$B$16</f>
        <v/>
      </c>
      <c r="D188" s="22" t="inlineStr">
        <is>
          <t>Número de serie del analizador</t>
        </is>
      </c>
      <c r="E188" s="23" t="inlineStr">
        <is>
          <t>Alerta</t>
        </is>
      </c>
      <c r="F188" s="21">
        <f>'APOA-370 (O3)'!$U$16</f>
        <v/>
      </c>
      <c r="G188" s="21">
        <f>'APOA-370 (O3)'!$V$16</f>
        <v/>
      </c>
      <c r="H188" s="22">
        <f>'APOA-370 (O3)'!$Z$16</f>
        <v/>
      </c>
    </row>
    <row r="189" ht="30" customHeight="1">
      <c r="A189" s="20" t="inlineStr">
        <is>
          <t>APOA-370 (O3)</t>
        </is>
      </c>
      <c r="B189" s="21" t="inlineStr">
        <is>
          <t>2.2.1</t>
        </is>
      </c>
      <c r="C189" s="20">
        <f>'APOA-370 (O3)'!$B$17</f>
        <v/>
      </c>
      <c r="D189" s="22" t="inlineStr">
        <is>
          <t>Versión del firmware (ROM)</t>
        </is>
      </c>
      <c r="E189" s="23" t="inlineStr">
        <is>
          <t>Alerta</t>
        </is>
      </c>
      <c r="F189" s="21">
        <f>'APOA-370 (O3)'!$U$17</f>
        <v/>
      </c>
      <c r="G189" s="21">
        <f>'APOA-370 (O3)'!$V$17</f>
        <v/>
      </c>
      <c r="H189" s="22">
        <f>'APOA-370 (O3)'!$Z$17</f>
        <v/>
      </c>
    </row>
    <row r="190" ht="30" customHeight="1">
      <c r="A190" s="20" t="inlineStr">
        <is>
          <t>APOA-370 (O3)</t>
        </is>
      </c>
      <c r="B190" s="21" t="inlineStr">
        <is>
          <t>2.2.2</t>
        </is>
      </c>
      <c r="C190" s="20">
        <f>'APOA-370 (O3)'!$B$18</f>
        <v/>
      </c>
      <c r="D190" s="22" t="inlineStr">
        <is>
          <t>Código HGS del sistema</t>
        </is>
      </c>
      <c r="E190" s="23" t="inlineStr">
        <is>
          <t>Alerta</t>
        </is>
      </c>
      <c r="F190" s="21">
        <f>'APOA-370 (O3)'!$U$18</f>
        <v/>
      </c>
      <c r="G190" s="21">
        <f>'APOA-370 (O3)'!$V$18</f>
        <v/>
      </c>
      <c r="H190" s="22">
        <f>'APOA-370 (O3)'!$Z$18</f>
        <v/>
      </c>
    </row>
    <row r="191" ht="30" customHeight="1">
      <c r="A191" s="20" t="inlineStr">
        <is>
          <t>APOA-370 (O3)</t>
        </is>
      </c>
      <c r="B191" s="21" t="inlineStr">
        <is>
          <t>2.3.1</t>
        </is>
      </c>
      <c r="C191" s="20">
        <f>'APOA-370 (O3)'!$B$19</f>
        <v/>
      </c>
      <c r="D191" s="22" t="inlineStr">
        <is>
          <t>Etiqueta de advertencia de alta temperatura</t>
        </is>
      </c>
      <c r="E191" s="23" t="inlineStr">
        <is>
          <t>Alerta</t>
        </is>
      </c>
      <c r="F191" s="21">
        <f>'APOA-370 (O3)'!$U$19</f>
        <v/>
      </c>
      <c r="G191" s="21">
        <f>'APOA-370 (O3)'!$V$19</f>
        <v/>
      </c>
      <c r="H191" s="22">
        <f>'APOA-370 (O3)'!$Z$19</f>
        <v/>
      </c>
    </row>
    <row r="192" ht="30" customHeight="1">
      <c r="A192" s="20" t="inlineStr">
        <is>
          <t>APOA-370 (O3)</t>
        </is>
      </c>
      <c r="B192" s="21" t="inlineStr">
        <is>
          <t>2.3.2</t>
        </is>
      </c>
      <c r="C192" s="20">
        <f>'APOA-370 (O3)'!$B$20</f>
        <v/>
      </c>
      <c r="D192" s="22" t="inlineStr">
        <is>
          <t>Etiqueta de advertencia de lámpara UV y mercurio</t>
        </is>
      </c>
      <c r="E192" s="23" t="inlineStr">
        <is>
          <t>Alerta</t>
        </is>
      </c>
      <c r="F192" s="21">
        <f>'APOA-370 (O3)'!$U$20</f>
        <v/>
      </c>
      <c r="G192" s="21">
        <f>'APOA-370 (O3)'!$V$20</f>
        <v/>
      </c>
      <c r="H192" s="22">
        <f>'APOA-370 (O3)'!$Z$20</f>
        <v/>
      </c>
    </row>
    <row r="193" ht="30" customHeight="1">
      <c r="A193" s="20" t="inlineStr">
        <is>
          <t>APOA-370 (O3)</t>
        </is>
      </c>
      <c r="B193" s="21" t="inlineStr">
        <is>
          <t>2.4.1</t>
        </is>
      </c>
      <c r="C193" s="20">
        <f>'APOA-370 (O3)'!$B$21</f>
        <v/>
      </c>
      <c r="D193" s="22" t="inlineStr">
        <is>
          <t>Marcación de conectores en el panel trasero</t>
        </is>
      </c>
      <c r="E193" s="23" t="inlineStr">
        <is>
          <t>Alerta</t>
        </is>
      </c>
      <c r="F193" s="21">
        <f>'APOA-370 (O3)'!$U$21</f>
        <v/>
      </c>
      <c r="G193" s="21">
        <f>'APOA-370 (O3)'!$V$21</f>
        <v/>
      </c>
      <c r="H193" s="22">
        <f>'APOA-370 (O3)'!$Z$21</f>
        <v/>
      </c>
    </row>
    <row r="194" ht="30" customHeight="1">
      <c r="A194" s="20" t="inlineStr">
        <is>
          <t>APOA-370 (O3)</t>
        </is>
      </c>
      <c r="B194" s="21" t="inlineStr">
        <is>
          <t>3.1.1</t>
        </is>
      </c>
      <c r="C194" s="20">
        <f>'APOA-370 (O3)'!$B$22</f>
        <v/>
      </c>
      <c r="D194" s="22" t="inlineStr">
        <is>
          <t>Coeficiente de calibración de cero (User Zero)</t>
        </is>
      </c>
      <c r="E194" s="24" t="inlineStr">
        <is>
          <t>Bloqueante</t>
        </is>
      </c>
      <c r="F194" s="21">
        <f>'APOA-370 (O3)'!$U$22</f>
        <v/>
      </c>
      <c r="G194" s="21">
        <f>'APOA-370 (O3)'!$V$22</f>
        <v/>
      </c>
      <c r="H194" s="22">
        <f>'APOA-370 (O3)'!$Z$22</f>
        <v/>
      </c>
    </row>
    <row r="195" ht="30" customHeight="1">
      <c r="A195" s="20" t="inlineStr">
        <is>
          <t>APOA-370 (O3)</t>
        </is>
      </c>
      <c r="B195" s="21" t="inlineStr">
        <is>
          <t>3.1.2</t>
        </is>
      </c>
      <c r="C195" s="20">
        <f>'APOA-370 (O3)'!$B$23</f>
        <v/>
      </c>
      <c r="D195" s="22" t="inlineStr">
        <is>
          <t>Coeficiente de calibración de span (User Span)</t>
        </is>
      </c>
      <c r="E195" s="24" t="inlineStr">
        <is>
          <t>Bloqueante</t>
        </is>
      </c>
      <c r="F195" s="21">
        <f>'APOA-370 (O3)'!$U$23</f>
        <v/>
      </c>
      <c r="G195" s="21">
        <f>'APOA-370 (O3)'!$V$23</f>
        <v/>
      </c>
      <c r="H195" s="22">
        <f>'APOA-370 (O3)'!$Z$23</f>
        <v/>
      </c>
    </row>
    <row r="196" ht="30" customHeight="1">
      <c r="A196" s="20" t="inlineStr">
        <is>
          <t>APOA-370 (O3)</t>
        </is>
      </c>
      <c r="B196" s="21" t="inlineStr">
        <is>
          <t>3.2.1</t>
        </is>
      </c>
      <c r="C196" s="20">
        <f>'APOA-370 (O3)'!$B$24</f>
        <v/>
      </c>
      <c r="D196" s="22" t="inlineStr">
        <is>
          <t>Coeficiente de cero de fábrica (Factory Zero)</t>
        </is>
      </c>
      <c r="E196" s="24" t="inlineStr">
        <is>
          <t>Bloqueante</t>
        </is>
      </c>
      <c r="F196" s="21">
        <f>'APOA-370 (O3)'!$U$24</f>
        <v/>
      </c>
      <c r="G196" s="21">
        <f>'APOA-370 (O3)'!$V$24</f>
        <v/>
      </c>
      <c r="H196" s="22">
        <f>'APOA-370 (O3)'!$Z$24</f>
        <v/>
      </c>
    </row>
    <row r="197" ht="30" customHeight="1">
      <c r="A197" s="20" t="inlineStr">
        <is>
          <t>APOA-370 (O3)</t>
        </is>
      </c>
      <c r="B197" s="21" t="inlineStr">
        <is>
          <t>3.2.2</t>
        </is>
      </c>
      <c r="C197" s="20">
        <f>'APOA-370 (O3)'!$B$25</f>
        <v/>
      </c>
      <c r="D197" s="22" t="inlineStr">
        <is>
          <t>Coeficiente de span de fábrica (Factory Span)</t>
        </is>
      </c>
      <c r="E197" s="24" t="inlineStr">
        <is>
          <t>Bloqueante</t>
        </is>
      </c>
      <c r="F197" s="21">
        <f>'APOA-370 (O3)'!$U$25</f>
        <v/>
      </c>
      <c r="G197" s="21">
        <f>'APOA-370 (O3)'!$V$25</f>
        <v/>
      </c>
      <c r="H197" s="22">
        <f>'APOA-370 (O3)'!$Z$25</f>
        <v/>
      </c>
    </row>
    <row r="198" ht="30" customHeight="1">
      <c r="A198" s="20" t="inlineStr">
        <is>
          <t>APOA-370 (O3)</t>
        </is>
      </c>
      <c r="B198" s="21" t="inlineStr">
        <is>
          <t>3.3.1</t>
        </is>
      </c>
      <c r="C198" s="20">
        <f>'APOA-370 (O3)'!$B$26</f>
        <v/>
      </c>
      <c r="D198" s="22" t="inlineStr">
        <is>
          <t>Presión de entrega de gas cero y de span</t>
        </is>
      </c>
      <c r="E198" s="24" t="inlineStr">
        <is>
          <t>Bloqueante</t>
        </is>
      </c>
      <c r="F198" s="21">
        <f>'APOA-370 (O3)'!$U$26</f>
        <v/>
      </c>
      <c r="G198" s="21">
        <f>'APOA-370 (O3)'!$V$26</f>
        <v/>
      </c>
      <c r="H198" s="22">
        <f>'APOA-370 (O3)'!$Z$26</f>
        <v/>
      </c>
    </row>
    <row r="199" ht="30" customHeight="1">
      <c r="A199" s="20" t="inlineStr">
        <is>
          <t>APOA-370 (O3)</t>
        </is>
      </c>
      <c r="B199" s="21" t="inlineStr">
        <is>
          <t>3.3.2</t>
        </is>
      </c>
      <c r="C199" s="20">
        <f>'APOA-370 (O3)'!$B$27</f>
        <v/>
      </c>
      <c r="D199" s="22" t="inlineStr">
        <is>
          <t>Lámpara del ozonizador interno (opcional)</t>
        </is>
      </c>
      <c r="E199" s="25" t="inlineStr">
        <is>
          <t>Cobrable</t>
        </is>
      </c>
      <c r="F199" s="21">
        <f>'APOA-370 (O3)'!$U$27</f>
        <v/>
      </c>
      <c r="G199" s="21">
        <f>'APOA-370 (O3)'!$V$27</f>
        <v/>
      </c>
      <c r="H199" s="22">
        <f>'APOA-370 (O3)'!$Z$27</f>
        <v/>
      </c>
    </row>
    <row r="200" ht="30" customHeight="1">
      <c r="A200" s="20" t="inlineStr">
        <is>
          <t>APOA-370 (O3)</t>
        </is>
      </c>
      <c r="B200" s="21" t="inlineStr">
        <is>
          <t>3.4.1</t>
        </is>
      </c>
      <c r="C200" s="20">
        <f>'APOA-370 (O3)'!$B$28</f>
        <v/>
      </c>
      <c r="D200" s="22" t="inlineStr">
        <is>
          <t>Estabilidad de la lectura de cero</t>
        </is>
      </c>
      <c r="E200" s="24" t="inlineStr">
        <is>
          <t>Bloqueante</t>
        </is>
      </c>
      <c r="F200" s="21">
        <f>'APOA-370 (O3)'!$U$28</f>
        <v/>
      </c>
      <c r="G200" s="21">
        <f>'APOA-370 (O3)'!$V$28</f>
        <v/>
      </c>
      <c r="H200" s="22">
        <f>'APOA-370 (O3)'!$Z$28</f>
        <v/>
      </c>
    </row>
    <row r="201" ht="30" customHeight="1">
      <c r="A201" s="20" t="inlineStr">
        <is>
          <t>APOA-370 (O3)</t>
        </is>
      </c>
      <c r="B201" s="21" t="inlineStr">
        <is>
          <t>4.1.1</t>
        </is>
      </c>
      <c r="C201" s="20">
        <f>'APOA-370 (O3)'!$B$29</f>
        <v/>
      </c>
      <c r="D201" s="22" t="inlineStr">
        <is>
          <t>Filtro de partículas de teflón (PA-10L)</t>
        </is>
      </c>
      <c r="E201" s="25" t="inlineStr">
        <is>
          <t>Cobrable</t>
        </is>
      </c>
      <c r="F201" s="21">
        <f>'APOA-370 (O3)'!$U$29</f>
        <v/>
      </c>
      <c r="G201" s="21">
        <f>'APOA-370 (O3)'!$V$29</f>
        <v/>
      </c>
      <c r="H201" s="22">
        <f>'APOA-370 (O3)'!$Z$29</f>
        <v/>
      </c>
    </row>
    <row r="202" ht="30" customHeight="1">
      <c r="A202" s="20" t="inlineStr">
        <is>
          <t>APOA-370 (O3)</t>
        </is>
      </c>
      <c r="B202" s="21" t="inlineStr">
        <is>
          <t>4.1.2</t>
        </is>
      </c>
      <c r="C202" s="20">
        <f>'APOA-370 (O3)'!$B$30</f>
        <v/>
      </c>
      <c r="D202" s="22" t="inlineStr">
        <is>
          <t>Junta tórica del portafiltros (O-Ring G50)</t>
        </is>
      </c>
      <c r="E202" s="25" t="inlineStr">
        <is>
          <t>Cobrable</t>
        </is>
      </c>
      <c r="F202" s="21">
        <f>'APOA-370 (O3)'!$U$30</f>
        <v/>
      </c>
      <c r="G202" s="21">
        <f>'APOA-370 (O3)'!$V$30</f>
        <v/>
      </c>
      <c r="H202" s="22">
        <f>'APOA-370 (O3)'!$Z$30</f>
        <v/>
      </c>
    </row>
    <row r="203" ht="30" customHeight="1">
      <c r="A203" s="20" t="inlineStr">
        <is>
          <t>APOA-370 (O3)</t>
        </is>
      </c>
      <c r="B203" s="21" t="inlineStr">
        <is>
          <t>4.1.3</t>
        </is>
      </c>
      <c r="C203" s="20">
        <f>'APOA-370 (O3)'!$B$31</f>
        <v/>
      </c>
      <c r="D203" s="22" t="inlineStr">
        <is>
          <t>Empaque de teflón del filtro</t>
        </is>
      </c>
      <c r="E203" s="25" t="inlineStr">
        <is>
          <t>Cobrable</t>
        </is>
      </c>
      <c r="F203" s="21">
        <f>'APOA-370 (O3)'!$U$31</f>
        <v/>
      </c>
      <c r="G203" s="21">
        <f>'APOA-370 (O3)'!$V$31</f>
        <v/>
      </c>
      <c r="H203" s="22">
        <f>'APOA-370 (O3)'!$Z$31</f>
        <v/>
      </c>
    </row>
    <row r="204" ht="30" customHeight="1">
      <c r="A204" s="20" t="inlineStr">
        <is>
          <t>APOA-370 (O3)</t>
        </is>
      </c>
      <c r="B204" s="21" t="inlineStr">
        <is>
          <t>4.2.1</t>
        </is>
      </c>
      <c r="C204" s="20">
        <f>'APOA-370 (O3)'!$B$32</f>
        <v/>
      </c>
      <c r="D204" s="22" t="inlineStr">
        <is>
          <t>Humedad o condensación en el portafiltros</t>
        </is>
      </c>
      <c r="E204" s="24" t="inlineStr">
        <is>
          <t>Bloqueante</t>
        </is>
      </c>
      <c r="F204" s="21">
        <f>'APOA-370 (O3)'!$U$32</f>
        <v/>
      </c>
      <c r="G204" s="21">
        <f>'APOA-370 (O3)'!$V$32</f>
        <v/>
      </c>
      <c r="H204" s="22">
        <f>'APOA-370 (O3)'!$Z$32</f>
        <v/>
      </c>
    </row>
    <row r="205" ht="30" customHeight="1">
      <c r="A205" s="20" t="inlineStr">
        <is>
          <t>APOA-370 (O3)</t>
        </is>
      </c>
      <c r="B205" s="21" t="inlineStr">
        <is>
          <t>4.3.1</t>
        </is>
      </c>
      <c r="C205" s="20">
        <f>'APOA-370 (O3)'!$B$33</f>
        <v/>
      </c>
      <c r="D205" s="22" t="inlineStr">
        <is>
          <t>Férula de teflón (Sleeve / SO2001-6)</t>
        </is>
      </c>
      <c r="E205" s="24" t="inlineStr">
        <is>
          <t>Bloqueante</t>
        </is>
      </c>
      <c r="F205" s="21">
        <f>'APOA-370 (O3)'!$U$33</f>
        <v/>
      </c>
      <c r="G205" s="21">
        <f>'APOA-370 (O3)'!$V$33</f>
        <v/>
      </c>
      <c r="H205" s="22">
        <f>'APOA-370 (O3)'!$Z$33</f>
        <v/>
      </c>
    </row>
    <row r="206" ht="30" customHeight="1">
      <c r="A206" s="20" t="inlineStr">
        <is>
          <t>APOA-370 (O3)</t>
        </is>
      </c>
      <c r="B206" s="21" t="inlineStr">
        <is>
          <t>4.3.2</t>
        </is>
      </c>
      <c r="C206" s="20">
        <f>'APOA-370 (O3)'!$B$34</f>
        <v/>
      </c>
      <c r="D206" s="22" t="inlineStr">
        <is>
          <t>Tuerca de sellado PVDF (Cap Nut)</t>
        </is>
      </c>
      <c r="E206" s="24" t="inlineStr">
        <is>
          <t>Bloqueante</t>
        </is>
      </c>
      <c r="F206" s="21">
        <f>'APOA-370 (O3)'!$U$34</f>
        <v/>
      </c>
      <c r="G206" s="21">
        <f>'APOA-370 (O3)'!$V$34</f>
        <v/>
      </c>
      <c r="H206" s="22">
        <f>'APOA-370 (O3)'!$Z$34</f>
        <v/>
      </c>
    </row>
    <row r="207" ht="30" customHeight="1">
      <c r="A207" s="20" t="inlineStr">
        <is>
          <t>APOA-370 (O3)</t>
        </is>
      </c>
      <c r="B207" s="21" t="inlineStr">
        <is>
          <t>4.3.3</t>
        </is>
      </c>
      <c r="C207" s="20">
        <f>'APOA-370 (O3)'!$B$35</f>
        <v/>
      </c>
      <c r="D207" s="22" t="inlineStr">
        <is>
          <t>Racor de entrada frontal de muestra</t>
        </is>
      </c>
      <c r="E207" s="24" t="inlineStr">
        <is>
          <t>Bloqueante</t>
        </is>
      </c>
      <c r="F207" s="21">
        <f>'APOA-370 (O3)'!$U$35</f>
        <v/>
      </c>
      <c r="G207" s="21">
        <f>'APOA-370 (O3)'!$V$35</f>
        <v/>
      </c>
      <c r="H207" s="22">
        <f>'APOA-370 (O3)'!$Z$35</f>
        <v/>
      </c>
    </row>
    <row r="208" ht="30" customHeight="1">
      <c r="A208" s="20" t="inlineStr">
        <is>
          <t>APOA-370 (O3)</t>
        </is>
      </c>
      <c r="B208" s="21" t="inlineStr">
        <is>
          <t>4.4.1</t>
        </is>
      </c>
      <c r="C208" s="20">
        <f>'APOA-370 (O3)'!$B$36</f>
        <v/>
      </c>
      <c r="D208" s="22" t="inlineStr">
        <is>
          <t>Línea de teflón (PTFE) de entrada</t>
        </is>
      </c>
      <c r="E208" s="25" t="inlineStr">
        <is>
          <t>Cobrable</t>
        </is>
      </c>
      <c r="F208" s="21">
        <f>'APOA-370 (O3)'!$U$36</f>
        <v/>
      </c>
      <c r="G208" s="21">
        <f>'APOA-370 (O3)'!$V$36</f>
        <v/>
      </c>
      <c r="H208" s="22">
        <f>'APOA-370 (O3)'!$Z$36</f>
        <v/>
      </c>
    </row>
    <row r="209" ht="30" customHeight="1">
      <c r="A209" s="20" t="inlineStr">
        <is>
          <t>APOA-370 (O3)</t>
        </is>
      </c>
      <c r="B209" s="21" t="inlineStr">
        <is>
          <t>5.1.1</t>
        </is>
      </c>
      <c r="C209" s="20">
        <f>'APOA-370 (O3)'!$B$37</f>
        <v/>
      </c>
      <c r="D209" s="22" t="inlineStr">
        <is>
          <t>Diafragma de la bomba (P-1-D)</t>
        </is>
      </c>
      <c r="E209" s="25" t="inlineStr">
        <is>
          <t>Cobrable</t>
        </is>
      </c>
      <c r="F209" s="21">
        <f>'APOA-370 (O3)'!$U$37</f>
        <v/>
      </c>
      <c r="G209" s="21">
        <f>'APOA-370 (O3)'!$V$37</f>
        <v/>
      </c>
      <c r="H209" s="22">
        <f>'APOA-370 (O3)'!$Z$37</f>
        <v/>
      </c>
    </row>
    <row r="210" ht="30" customHeight="1">
      <c r="A210" s="20" t="inlineStr">
        <is>
          <t>APOA-370 (O3)</t>
        </is>
      </c>
      <c r="B210" s="21" t="inlineStr">
        <is>
          <t>5.1.2</t>
        </is>
      </c>
      <c r="C210" s="20">
        <f>'APOA-370 (O3)'!$B$38</f>
        <v/>
      </c>
      <c r="D210" s="22" t="inlineStr">
        <is>
          <t>Válvulas de flapper de la bomba</t>
        </is>
      </c>
      <c r="E210" s="25" t="inlineStr">
        <is>
          <t>Cobrable</t>
        </is>
      </c>
      <c r="F210" s="21">
        <f>'APOA-370 (O3)'!$U$38</f>
        <v/>
      </c>
      <c r="G210" s="21">
        <f>'APOA-370 (O3)'!$V$38</f>
        <v/>
      </c>
      <c r="H210" s="22">
        <f>'APOA-370 (O3)'!$Z$38</f>
        <v/>
      </c>
    </row>
    <row r="211" ht="30" customHeight="1">
      <c r="A211" s="20" t="inlineStr">
        <is>
          <t>APOA-370 (O3)</t>
        </is>
      </c>
      <c r="B211" s="21" t="inlineStr">
        <is>
          <t>5.1.3</t>
        </is>
      </c>
      <c r="C211" s="20">
        <f>'APOA-370 (O3)'!$B$39</f>
        <v/>
      </c>
      <c r="D211" s="22" t="inlineStr">
        <is>
          <t>Montaje y base amortiguadora de la bomba</t>
        </is>
      </c>
      <c r="E211" s="25" t="inlineStr">
        <is>
          <t>Cobrable</t>
        </is>
      </c>
      <c r="F211" s="21">
        <f>'APOA-370 (O3)'!$U$39</f>
        <v/>
      </c>
      <c r="G211" s="21">
        <f>'APOA-370 (O3)'!$V$39</f>
        <v/>
      </c>
      <c r="H211" s="22">
        <f>'APOA-370 (O3)'!$Z$39</f>
        <v/>
      </c>
    </row>
    <row r="212" ht="30" customHeight="1">
      <c r="A212" s="20" t="inlineStr">
        <is>
          <t>APOA-370 (O3)</t>
        </is>
      </c>
      <c r="B212" s="21" t="inlineStr">
        <is>
          <t>5.2.1</t>
        </is>
      </c>
      <c r="C212" s="20">
        <f>'APOA-370 (O3)'!$B$40</f>
        <v/>
      </c>
      <c r="D212" s="22" t="inlineStr">
        <is>
          <t>Presión absoluta de la bomba (PUMP)</t>
        </is>
      </c>
      <c r="E212" s="24" t="inlineStr">
        <is>
          <t>Bloqueante</t>
        </is>
      </c>
      <c r="F212" s="21">
        <f>'APOA-370 (O3)'!$U$40</f>
        <v/>
      </c>
      <c r="G212" s="21">
        <f>'APOA-370 (O3)'!$V$40</f>
        <v/>
      </c>
      <c r="H212" s="22">
        <f>'APOA-370 (O3)'!$Z$40</f>
        <v/>
      </c>
    </row>
    <row r="213" ht="30" customHeight="1">
      <c r="A213" s="20" t="inlineStr">
        <is>
          <t>APOA-370 (O3)</t>
        </is>
      </c>
      <c r="B213" s="21" t="inlineStr">
        <is>
          <t>5.3.1</t>
        </is>
      </c>
      <c r="C213" s="20">
        <f>'APOA-370 (O3)'!$B$41</f>
        <v/>
      </c>
      <c r="D213" s="22" t="inlineStr">
        <is>
          <t>Caudal de muestra en display (SAMPLE)</t>
        </is>
      </c>
      <c r="E213" s="24" t="inlineStr">
        <is>
          <t>Bloqueante</t>
        </is>
      </c>
      <c r="F213" s="21">
        <f>'APOA-370 (O3)'!$U$41</f>
        <v/>
      </c>
      <c r="G213" s="21">
        <f>'APOA-370 (O3)'!$V$41</f>
        <v/>
      </c>
      <c r="H213" s="22">
        <f>'APOA-370 (O3)'!$Z$41</f>
        <v/>
      </c>
    </row>
    <row r="214" ht="30" customHeight="1">
      <c r="A214" s="20" t="inlineStr">
        <is>
          <t>APOA-370 (O3)</t>
        </is>
      </c>
      <c r="B214" s="21" t="inlineStr">
        <is>
          <t>5.3.2</t>
        </is>
      </c>
      <c r="C214" s="20">
        <f>'APOA-370 (O3)'!$B$42</f>
        <v/>
      </c>
      <c r="D214" s="22" t="inlineStr">
        <is>
          <t>Caudal de toma medido externamente</t>
        </is>
      </c>
      <c r="E214" s="24" t="inlineStr">
        <is>
          <t>Bloqueante</t>
        </is>
      </c>
      <c r="F214" s="21">
        <f>'APOA-370 (O3)'!$U$42</f>
        <v/>
      </c>
      <c r="G214" s="21">
        <f>'APOA-370 (O3)'!$V$42</f>
        <v/>
      </c>
      <c r="H214" s="22">
        <f>'APOA-370 (O3)'!$Z$42</f>
        <v/>
      </c>
    </row>
    <row r="215" ht="30" customHeight="1">
      <c r="A215" s="20" t="inlineStr">
        <is>
          <t>APOA-370 (O3)</t>
        </is>
      </c>
      <c r="B215" s="21" t="inlineStr">
        <is>
          <t>5.3.3</t>
        </is>
      </c>
      <c r="C215" s="20">
        <f>'APOA-370 (O3)'!$B$43</f>
        <v/>
      </c>
      <c r="D215" s="22" t="inlineStr">
        <is>
          <t>Unidad de orificio crítico (Critical Orifice)</t>
        </is>
      </c>
      <c r="E215" s="24" t="inlineStr">
        <is>
          <t>Bloqueante</t>
        </is>
      </c>
      <c r="F215" s="21">
        <f>'APOA-370 (O3)'!$U$43</f>
        <v/>
      </c>
      <c r="G215" s="21">
        <f>'APOA-370 (O3)'!$V$43</f>
        <v/>
      </c>
      <c r="H215" s="22">
        <f>'APOA-370 (O3)'!$Z$43</f>
        <v/>
      </c>
    </row>
    <row r="216" ht="30" customHeight="1">
      <c r="A216" s="20" t="inlineStr">
        <is>
          <t>APOA-370 (O3)</t>
        </is>
      </c>
      <c r="B216" s="21" t="inlineStr">
        <is>
          <t>6.1.1</t>
        </is>
      </c>
      <c r="C216" s="20">
        <f>'APOA-370 (O3)'!$B$44</f>
        <v/>
      </c>
      <c r="D216" s="22" t="inlineStr">
        <is>
          <t>Intensidad de la lámpara UV (LAMP)</t>
        </is>
      </c>
      <c r="E216" s="24" t="inlineStr">
        <is>
          <t>Bloqueante</t>
        </is>
      </c>
      <c r="F216" s="21">
        <f>'APOA-370 (O3)'!$U$44</f>
        <v/>
      </c>
      <c r="G216" s="21">
        <f>'APOA-370 (O3)'!$V$44</f>
        <v/>
      </c>
      <c r="H216" s="22">
        <f>'APOA-370 (O3)'!$Z$44</f>
        <v/>
      </c>
    </row>
    <row r="217" ht="30" customHeight="1">
      <c r="A217" s="20" t="inlineStr">
        <is>
          <t>APOA-370 (O3)</t>
        </is>
      </c>
      <c r="B217" s="21" t="inlineStr">
        <is>
          <t>6.1.2</t>
        </is>
      </c>
      <c r="C217" s="20">
        <f>'APOA-370 (O3)'!$B$45</f>
        <v/>
      </c>
      <c r="D217" s="22" t="inlineStr">
        <is>
          <t>Temperatura de la celda (CELL)</t>
        </is>
      </c>
      <c r="E217" s="24" t="inlineStr">
        <is>
          <t>Bloqueante</t>
        </is>
      </c>
      <c r="F217" s="21">
        <f>'APOA-370 (O3)'!$U$45</f>
        <v/>
      </c>
      <c r="G217" s="21">
        <f>'APOA-370 (O3)'!$V$45</f>
        <v/>
      </c>
      <c r="H217" s="22">
        <f>'APOA-370 (O3)'!$Z$45</f>
        <v/>
      </c>
    </row>
    <row r="218" ht="30" customHeight="1">
      <c r="A218" s="20" t="inlineStr">
        <is>
          <t>APOA-370 (O3)</t>
        </is>
      </c>
      <c r="B218" s="21" t="inlineStr">
        <is>
          <t>6.1.3</t>
        </is>
      </c>
      <c r="C218" s="20">
        <f>'APOA-370 (O3)'!$B$46</f>
        <v/>
      </c>
      <c r="D218" s="22" t="inlineStr">
        <is>
          <t>Ruido de la señal analógica (SIGNAL)</t>
        </is>
      </c>
      <c r="E218" s="24" t="inlineStr">
        <is>
          <t>Bloqueante</t>
        </is>
      </c>
      <c r="F218" s="21">
        <f>'APOA-370 (O3)'!$U$46</f>
        <v/>
      </c>
      <c r="G218" s="21">
        <f>'APOA-370 (O3)'!$V$46</f>
        <v/>
      </c>
      <c r="H218" s="22">
        <f>'APOA-370 (O3)'!$Z$46</f>
        <v/>
      </c>
    </row>
    <row r="219" ht="30" customHeight="1">
      <c r="A219" s="20" t="inlineStr">
        <is>
          <t>APOA-370 (O3)</t>
        </is>
      </c>
      <c r="B219" s="21" t="inlineStr">
        <is>
          <t>6.2.1</t>
        </is>
      </c>
      <c r="C219" s="20">
        <f>'APOA-370 (O3)'!$B$47</f>
        <v/>
      </c>
      <c r="D219" s="22" t="inlineStr">
        <is>
          <t>Ventanas de cuarzo de la celda</t>
        </is>
      </c>
      <c r="E219" s="25" t="inlineStr">
        <is>
          <t>Cobrable</t>
        </is>
      </c>
      <c r="F219" s="21">
        <f>'APOA-370 (O3)'!$U$47</f>
        <v/>
      </c>
      <c r="G219" s="21">
        <f>'APOA-370 (O3)'!$V$47</f>
        <v/>
      </c>
      <c r="H219" s="22">
        <f>'APOA-370 (O3)'!$Z$47</f>
        <v/>
      </c>
    </row>
    <row r="220" ht="30" customHeight="1">
      <c r="A220" s="20" t="inlineStr">
        <is>
          <t>APOA-370 (O3)</t>
        </is>
      </c>
      <c r="B220" s="21" t="inlineStr">
        <is>
          <t>6.2.2</t>
        </is>
      </c>
      <c r="C220" s="20">
        <f>'APOA-370 (O3)'!$B$48</f>
        <v/>
      </c>
      <c r="D220" s="22" t="inlineStr">
        <is>
          <t>Sello de empaquetadura de la celda</t>
        </is>
      </c>
      <c r="E220" s="24" t="inlineStr">
        <is>
          <t>Bloqueante</t>
        </is>
      </c>
      <c r="F220" s="21">
        <f>'APOA-370 (O3)'!$U$48</f>
        <v/>
      </c>
      <c r="G220" s="21">
        <f>'APOA-370 (O3)'!$V$48</f>
        <v/>
      </c>
      <c r="H220" s="22">
        <f>'APOA-370 (O3)'!$Z$48</f>
        <v/>
      </c>
    </row>
    <row r="221" ht="30" customHeight="1">
      <c r="A221" s="20" t="inlineStr">
        <is>
          <t>APOA-370 (O3)</t>
        </is>
      </c>
      <c r="B221" s="21" t="inlineStr">
        <is>
          <t>6.2.3</t>
        </is>
      </c>
      <c r="C221" s="20">
        <f>'APOA-370 (O3)'!$B$49</f>
        <v/>
      </c>
      <c r="D221" s="22" t="inlineStr">
        <is>
          <t>Alineación de la lámpara UV</t>
        </is>
      </c>
      <c r="E221" s="25" t="inlineStr">
        <is>
          <t>Cobrable</t>
        </is>
      </c>
      <c r="F221" s="21">
        <f>'APOA-370 (O3)'!$U$49</f>
        <v/>
      </c>
      <c r="G221" s="21">
        <f>'APOA-370 (O3)'!$V$49</f>
        <v/>
      </c>
      <c r="H221" s="22">
        <f>'APOA-370 (O3)'!$Z$49</f>
        <v/>
      </c>
    </row>
    <row r="222" ht="30" customHeight="1">
      <c r="A222" s="20" t="inlineStr">
        <is>
          <t>APOA-370 (O3)</t>
        </is>
      </c>
      <c r="B222" s="21" t="inlineStr">
        <is>
          <t>6.3.1</t>
        </is>
      </c>
      <c r="C222" s="20">
        <f>'APOA-370 (O3)'!$B$50</f>
        <v/>
      </c>
      <c r="D222" s="22" t="inlineStr">
        <is>
          <t>Unidad catalítica calentada (DO pipe)</t>
        </is>
      </c>
      <c r="E222" s="24" t="inlineStr">
        <is>
          <t>Bloqueante</t>
        </is>
      </c>
      <c r="F222" s="21">
        <f>'APOA-370 (O3)'!$U$50</f>
        <v/>
      </c>
      <c r="G222" s="21">
        <f>'APOA-370 (O3)'!$V$50</f>
        <v/>
      </c>
      <c r="H222" s="22">
        <f>'APOA-370 (O3)'!$Z$50</f>
        <v/>
      </c>
    </row>
    <row r="223" ht="30" customHeight="1">
      <c r="A223" s="20" t="inlineStr">
        <is>
          <t>APOA-370 (O3)</t>
        </is>
      </c>
      <c r="B223" s="21" t="inlineStr">
        <is>
          <t>6.3.2</t>
        </is>
      </c>
      <c r="C223" s="20">
        <f>'APOA-370 (O3)'!$B$51</f>
        <v/>
      </c>
      <c r="D223" s="22" t="inlineStr">
        <is>
          <t>Conector del catalizador deozonizador</t>
        </is>
      </c>
      <c r="E223" s="24" t="inlineStr">
        <is>
          <t>Bloqueante</t>
        </is>
      </c>
      <c r="F223" s="21">
        <f>'APOA-370 (O3)'!$U$51</f>
        <v/>
      </c>
      <c r="G223" s="21">
        <f>'APOA-370 (O3)'!$V$51</f>
        <v/>
      </c>
      <c r="H223" s="22">
        <f>'APOA-370 (O3)'!$Z$51</f>
        <v/>
      </c>
    </row>
    <row r="224" ht="30" customHeight="1">
      <c r="A224" s="20" t="inlineStr">
        <is>
          <t>APOA-370 (O3)</t>
        </is>
      </c>
      <c r="B224" s="21" t="inlineStr">
        <is>
          <t>6.4.1</t>
        </is>
      </c>
      <c r="C224" s="20">
        <f>'APOA-370 (O3)'!$B$52</f>
        <v/>
      </c>
      <c r="D224" s="22" t="inlineStr">
        <is>
          <t>Fotodiodo detector de medición</t>
        </is>
      </c>
      <c r="E224" s="24" t="inlineStr">
        <is>
          <t>Bloqueante</t>
        </is>
      </c>
      <c r="F224" s="21">
        <f>'APOA-370 (O3)'!$U$52</f>
        <v/>
      </c>
      <c r="G224" s="21">
        <f>'APOA-370 (O3)'!$V$52</f>
        <v/>
      </c>
      <c r="H224" s="22">
        <f>'APOA-370 (O3)'!$Z$52</f>
        <v/>
      </c>
    </row>
    <row r="225" ht="30" customHeight="1">
      <c r="A225" s="20" t="inlineStr">
        <is>
          <t>APOA-370 (O3)</t>
        </is>
      </c>
      <c r="B225" s="21" t="inlineStr">
        <is>
          <t>6.4.2</t>
        </is>
      </c>
      <c r="C225" s="20">
        <f>'APOA-370 (O3)'!$B$53</f>
        <v/>
      </c>
      <c r="D225" s="22" t="inlineStr">
        <is>
          <t>Tarjeta preamplificadora (AP-AMP-06)</t>
        </is>
      </c>
      <c r="E225" s="24" t="inlineStr">
        <is>
          <t>Bloqueante</t>
        </is>
      </c>
      <c r="F225" s="21">
        <f>'APOA-370 (O3)'!$U$53</f>
        <v/>
      </c>
      <c r="G225" s="21">
        <f>'APOA-370 (O3)'!$V$53</f>
        <v/>
      </c>
      <c r="H225" s="22">
        <f>'APOA-370 (O3)'!$Z$53</f>
        <v/>
      </c>
    </row>
    <row r="226" ht="30" customHeight="1">
      <c r="A226" s="20" t="inlineStr">
        <is>
          <t>APOA-370 (O3)</t>
        </is>
      </c>
      <c r="B226" s="21" t="inlineStr">
        <is>
          <t>6.5.1</t>
        </is>
      </c>
      <c r="C226" s="20">
        <f>'APOA-370 (O3)'!$B$54</f>
        <v/>
      </c>
      <c r="D226" s="22" t="inlineStr">
        <is>
          <t>Unidad de solenoide de modulación (SV-2)</t>
        </is>
      </c>
      <c r="E226" s="24" t="inlineStr">
        <is>
          <t>Bloqueante</t>
        </is>
      </c>
      <c r="F226" s="21">
        <f>'APOA-370 (O3)'!$U$54</f>
        <v/>
      </c>
      <c r="G226" s="21">
        <f>'APOA-370 (O3)'!$V$54</f>
        <v/>
      </c>
      <c r="H226" s="22">
        <f>'APOA-370 (O3)'!$Z$54</f>
        <v/>
      </c>
    </row>
    <row r="227" ht="30" customHeight="1">
      <c r="A227" s="20" t="inlineStr">
        <is>
          <t>APOA-370 (O3)</t>
        </is>
      </c>
      <c r="B227" s="21" t="inlineStr">
        <is>
          <t>7.1.1</t>
        </is>
      </c>
      <c r="C227" s="20">
        <f>'APOA-370 (O3)'!$B$55</f>
        <v/>
      </c>
      <c r="D227" s="22" t="inlineStr">
        <is>
          <t>Riel de voltaje interno de 24 V (DC 24V)</t>
        </is>
      </c>
      <c r="E227" s="24" t="inlineStr">
        <is>
          <t>Bloqueante</t>
        </is>
      </c>
      <c r="F227" s="21">
        <f>'APOA-370 (O3)'!$U$55</f>
        <v/>
      </c>
      <c r="G227" s="21">
        <f>'APOA-370 (O3)'!$V$55</f>
        <v/>
      </c>
      <c r="H227" s="22">
        <f>'APOA-370 (O3)'!$Z$55</f>
        <v/>
      </c>
    </row>
    <row r="228" ht="30" customHeight="1">
      <c r="A228" s="20" t="inlineStr">
        <is>
          <t>APOA-370 (O3)</t>
        </is>
      </c>
      <c r="B228" s="21" t="inlineStr">
        <is>
          <t>7.1.2</t>
        </is>
      </c>
      <c r="C228" s="20">
        <f>'APOA-370 (O3)'!$B$56</f>
        <v/>
      </c>
      <c r="D228" s="22" t="inlineStr">
        <is>
          <t>Riel de voltaje interno de 5 V (DC 5V)</t>
        </is>
      </c>
      <c r="E228" s="24" t="inlineStr">
        <is>
          <t>Bloqueante</t>
        </is>
      </c>
      <c r="F228" s="21">
        <f>'APOA-370 (O3)'!$U$56</f>
        <v/>
      </c>
      <c r="G228" s="21">
        <f>'APOA-370 (O3)'!$V$56</f>
        <v/>
      </c>
      <c r="H228" s="22">
        <f>'APOA-370 (O3)'!$Z$56</f>
        <v/>
      </c>
    </row>
    <row r="229" ht="30" customHeight="1">
      <c r="A229" s="20" t="inlineStr">
        <is>
          <t>APOA-370 (O3)</t>
        </is>
      </c>
      <c r="B229" s="21" t="inlineStr">
        <is>
          <t>7.1.3</t>
        </is>
      </c>
      <c r="C229" s="20">
        <f>'APOA-370 (O3)'!$B$57</f>
        <v/>
      </c>
      <c r="D229" s="22" t="inlineStr">
        <is>
          <t>Riel de voltaje interno de 3,3 V</t>
        </is>
      </c>
      <c r="E229" s="24" t="inlineStr">
        <is>
          <t>Bloqueante</t>
        </is>
      </c>
      <c r="F229" s="21">
        <f>'APOA-370 (O3)'!$U$57</f>
        <v/>
      </c>
      <c r="G229" s="21">
        <f>'APOA-370 (O3)'!$V$57</f>
        <v/>
      </c>
      <c r="H229" s="22">
        <f>'APOA-370 (O3)'!$Z$57</f>
        <v/>
      </c>
    </row>
    <row r="230" ht="30" customHeight="1">
      <c r="A230" s="20" t="inlineStr">
        <is>
          <t>APOA-370 (O3)</t>
        </is>
      </c>
      <c r="B230" s="21" t="inlineStr">
        <is>
          <t>7.2.1</t>
        </is>
      </c>
      <c r="C230" s="20">
        <f>'APOA-370 (O3)'!$B$58</f>
        <v/>
      </c>
      <c r="D230" s="22" t="inlineStr">
        <is>
          <t>LED de estado en placa AP-ADC-05</t>
        </is>
      </c>
      <c r="E230" s="24" t="inlineStr">
        <is>
          <t>Bloqueante</t>
        </is>
      </c>
      <c r="F230" s="21">
        <f>'APOA-370 (O3)'!$U$58</f>
        <v/>
      </c>
      <c r="G230" s="21">
        <f>'APOA-370 (O3)'!$V$58</f>
        <v/>
      </c>
      <c r="H230" s="22">
        <f>'APOA-370 (O3)'!$Z$58</f>
        <v/>
      </c>
    </row>
    <row r="231" ht="30" customHeight="1">
      <c r="A231" s="20" t="inlineStr">
        <is>
          <t>APOA-370 (O3)</t>
        </is>
      </c>
      <c r="B231" s="21" t="inlineStr">
        <is>
          <t>7.2.2</t>
        </is>
      </c>
      <c r="C231" s="20">
        <f>'APOA-370 (O3)'!$B$59</f>
        <v/>
      </c>
      <c r="D231" s="22" t="inlineStr">
        <is>
          <t>LED de estado de CPU (AP-CPU-02)</t>
        </is>
      </c>
      <c r="E231" s="24" t="inlineStr">
        <is>
          <t>Bloqueante</t>
        </is>
      </c>
      <c r="F231" s="21">
        <f>'APOA-370 (O3)'!$U$59</f>
        <v/>
      </c>
      <c r="G231" s="21">
        <f>'APOA-370 (O3)'!$V$59</f>
        <v/>
      </c>
      <c r="H231" s="22">
        <f>'APOA-370 (O3)'!$Z$59</f>
        <v/>
      </c>
    </row>
    <row r="232" ht="30" customHeight="1">
      <c r="A232" s="20" t="inlineStr">
        <is>
          <t>APOA-370 (O3)</t>
        </is>
      </c>
      <c r="B232" s="21" t="inlineStr">
        <is>
          <t>7.2.3</t>
        </is>
      </c>
      <c r="C232" s="20">
        <f>'APOA-370 (O3)'!$B$60</f>
        <v/>
      </c>
      <c r="D232" s="22" t="inlineStr">
        <is>
          <t>LED de comunicación en tarjeta AP-RPL-02A</t>
        </is>
      </c>
      <c r="E232" s="24" t="inlineStr">
        <is>
          <t>Bloqueante</t>
        </is>
      </c>
      <c r="F232" s="21">
        <f>'APOA-370 (O3)'!$U$60</f>
        <v/>
      </c>
      <c r="G232" s="21">
        <f>'APOA-370 (O3)'!$V$60</f>
        <v/>
      </c>
      <c r="H232" s="22">
        <f>'APOA-370 (O3)'!$Z$60</f>
        <v/>
      </c>
    </row>
    <row r="233" ht="30" customHeight="1">
      <c r="A233" s="20" t="inlineStr">
        <is>
          <t>APOA-370 (O3)</t>
        </is>
      </c>
      <c r="B233" s="21" t="inlineStr">
        <is>
          <t>7.3.1</t>
        </is>
      </c>
      <c r="C233" s="20">
        <f>'APOA-370 (O3)'!$B$61</f>
        <v/>
      </c>
      <c r="D233" s="22" t="inlineStr">
        <is>
          <t>Respuesta al toque del panel táctil</t>
        </is>
      </c>
      <c r="E233" s="25" t="inlineStr">
        <is>
          <t>Cobrable</t>
        </is>
      </c>
      <c r="F233" s="21">
        <f>'APOA-370 (O3)'!$U$61</f>
        <v/>
      </c>
      <c r="G233" s="21">
        <f>'APOA-370 (O3)'!$V$61</f>
        <v/>
      </c>
      <c r="H233" s="22">
        <f>'APOA-370 (O3)'!$Z$61</f>
        <v/>
      </c>
    </row>
    <row r="234" ht="30" customHeight="1">
      <c r="A234" s="20" t="inlineStr">
        <is>
          <t>APOA-370 (O3)</t>
        </is>
      </c>
      <c r="B234" s="21" t="inlineStr">
        <is>
          <t>7.4.1</t>
        </is>
      </c>
      <c r="C234" s="20">
        <f>'APOA-370 (O3)'!$B$62</f>
        <v/>
      </c>
      <c r="D234" s="22" t="inlineStr">
        <is>
          <t>Batería de reloj en placa CPU (CR2032)</t>
        </is>
      </c>
      <c r="E234" s="25" t="inlineStr">
        <is>
          <t>Cobrable</t>
        </is>
      </c>
      <c r="F234" s="21">
        <f>'APOA-370 (O3)'!$U$62</f>
        <v/>
      </c>
      <c r="G234" s="21">
        <f>'APOA-370 (O3)'!$V$62</f>
        <v/>
      </c>
      <c r="H234" s="22">
        <f>'APOA-370 (O3)'!$Z$62</f>
        <v/>
      </c>
    </row>
    <row r="235" ht="30" customHeight="1">
      <c r="A235" s="20" t="inlineStr">
        <is>
          <t>APOA-370 (O3)</t>
        </is>
      </c>
      <c r="B235" s="21" t="inlineStr">
        <is>
          <t>7.5.1</t>
        </is>
      </c>
      <c r="C235" s="20">
        <f>'APOA-370 (O3)'!$B$63</f>
        <v/>
      </c>
      <c r="D235" s="22" t="inlineStr">
        <is>
          <t>Inserción de la tarjeta CompactFlash (CF)</t>
        </is>
      </c>
      <c r="E235" s="23" t="inlineStr">
        <is>
          <t>Alerta</t>
        </is>
      </c>
      <c r="F235" s="21">
        <f>'APOA-370 (O3)'!$U$63</f>
        <v/>
      </c>
      <c r="G235" s="21">
        <f>'APOA-370 (O3)'!$V$63</f>
        <v/>
      </c>
      <c r="H235" s="22">
        <f>'APOA-370 (O3)'!$Z$63</f>
        <v/>
      </c>
    </row>
    <row r="236" ht="30" customHeight="1">
      <c r="A236" s="20" t="inlineStr">
        <is>
          <t>APOA-370 (O3)</t>
        </is>
      </c>
      <c r="B236" s="21" t="inlineStr">
        <is>
          <t>7.5.2</t>
        </is>
      </c>
      <c r="C236" s="20">
        <f>'APOA-370 (O3)'!$B$64</f>
        <v/>
      </c>
      <c r="D236" s="22" t="inlineStr">
        <is>
          <t>Puerto RS-232C de mantenimiento frontal</t>
        </is>
      </c>
      <c r="E236" s="23" t="inlineStr">
        <is>
          <t>Alerta</t>
        </is>
      </c>
      <c r="F236" s="21">
        <f>'APOA-370 (O3)'!$U$64</f>
        <v/>
      </c>
      <c r="G236" s="21">
        <f>'APOA-370 (O3)'!$V$64</f>
        <v/>
      </c>
      <c r="H236" s="22">
        <f>'APOA-370 (O3)'!$Z$64</f>
        <v/>
      </c>
    </row>
    <row r="237" ht="30" customHeight="1">
      <c r="A237" s="20" t="inlineStr">
        <is>
          <t>APOA-370 (O3)</t>
        </is>
      </c>
      <c r="B237" s="21" t="inlineStr">
        <is>
          <t>7.5.3</t>
        </is>
      </c>
      <c r="C237" s="20">
        <f>'APOA-370 (O3)'!$B$65</f>
        <v/>
      </c>
      <c r="D237" s="22" t="inlineStr">
        <is>
          <t>Puerto RJ-45 Ethernet trasero</t>
        </is>
      </c>
      <c r="E237" s="23" t="inlineStr">
        <is>
          <t>Alerta</t>
        </is>
      </c>
      <c r="F237" s="21">
        <f>'APOA-370 (O3)'!$U$65</f>
        <v/>
      </c>
      <c r="G237" s="21">
        <f>'APOA-370 (O3)'!$V$65</f>
        <v/>
      </c>
      <c r="H237" s="22">
        <f>'APOA-370 (O3)'!$Z$65</f>
        <v/>
      </c>
    </row>
    <row r="238" ht="30" customHeight="1">
      <c r="A238" s="20" t="inlineStr">
        <is>
          <t>APOA-370 (O3)</t>
        </is>
      </c>
      <c r="B238" s="21" t="inlineStr">
        <is>
          <t>7.6.1</t>
        </is>
      </c>
      <c r="C238" s="20">
        <f>'APOA-370 (O3)'!$B$66</f>
        <v/>
      </c>
      <c r="D238" s="22" t="inlineStr">
        <is>
          <t>DIP switch SW5 en placa AP-CPU-01/02</t>
        </is>
      </c>
      <c r="E238" s="23" t="inlineStr">
        <is>
          <t>Alerta</t>
        </is>
      </c>
      <c r="F238" s="21">
        <f>'APOA-370 (O3)'!$U$66</f>
        <v/>
      </c>
      <c r="G238" s="21">
        <f>'APOA-370 (O3)'!$V$66</f>
        <v/>
      </c>
      <c r="H238" s="22">
        <f>'APOA-370 (O3)'!$Z$66</f>
        <v/>
      </c>
    </row>
    <row r="239" ht="30" customHeight="1">
      <c r="A239" s="20" t="inlineStr">
        <is>
          <t>APOA-370 (O3)</t>
        </is>
      </c>
      <c r="B239" s="21" t="inlineStr">
        <is>
          <t>7.6.2</t>
        </is>
      </c>
      <c r="C239" s="20">
        <f>'APOA-370 (O3)'!$B$67</f>
        <v/>
      </c>
      <c r="D239" s="22" t="inlineStr">
        <is>
          <t>DIP switch SW1 de inicialización de CPU</t>
        </is>
      </c>
      <c r="E239" s="23" t="inlineStr">
        <is>
          <t>Alerta</t>
        </is>
      </c>
      <c r="F239" s="21">
        <f>'APOA-370 (O3)'!$U$67</f>
        <v/>
      </c>
      <c r="G239" s="21">
        <f>'APOA-370 (O3)'!$V$67</f>
        <v/>
      </c>
      <c r="H239" s="22">
        <f>'APOA-370 (O3)'!$Z$67</f>
        <v/>
      </c>
    </row>
    <row r="240" ht="30" customHeight="1">
      <c r="A240" s="20" t="inlineStr">
        <is>
          <t>APOA-370 (O3)</t>
        </is>
      </c>
      <c r="B240" s="21" t="inlineStr">
        <is>
          <t>7.7.1</t>
        </is>
      </c>
      <c r="C240" s="20">
        <f>'APOA-370 (O3)'!$B$68</f>
        <v/>
      </c>
      <c r="D240" s="22" t="inlineStr">
        <is>
          <t>Fusibles traseros de red de CA</t>
        </is>
      </c>
      <c r="E240" s="24" t="inlineStr">
        <is>
          <t>Bloqueante</t>
        </is>
      </c>
      <c r="F240" s="21">
        <f>'APOA-370 (O3)'!$U$68</f>
        <v/>
      </c>
      <c r="G240" s="21">
        <f>'APOA-370 (O3)'!$V$68</f>
        <v/>
      </c>
      <c r="H240" s="22">
        <f>'APOA-370 (O3)'!$Z$68</f>
        <v/>
      </c>
    </row>
    <row r="241" ht="30" customHeight="1">
      <c r="A241" s="20" t="inlineStr">
        <is>
          <t>APOA-370 (O3)</t>
        </is>
      </c>
      <c r="B241" s="21" t="inlineStr">
        <is>
          <t>8.1.1</t>
        </is>
      </c>
      <c r="C241" s="20">
        <f>'APOA-370 (O3)'!$B$69</f>
        <v/>
      </c>
      <c r="D241" s="22" t="inlineStr">
        <is>
          <t>Reemplazo del elemento filtrante PA-10L</t>
        </is>
      </c>
      <c r="E241" s="25" t="inlineStr">
        <is>
          <t>Cobrable</t>
        </is>
      </c>
      <c r="F241" s="21">
        <f>'APOA-370 (O3)'!$U$69</f>
        <v/>
      </c>
      <c r="G241" s="21">
        <f>'APOA-370 (O3)'!$V$69</f>
        <v/>
      </c>
      <c r="H241" s="22">
        <f>'APOA-370 (O3)'!$Z$69</f>
        <v/>
      </c>
    </row>
    <row r="242" ht="30" customHeight="1">
      <c r="A242" s="20" t="inlineStr">
        <is>
          <t>APOA-370 (O3)</t>
        </is>
      </c>
      <c r="B242" s="21" t="inlineStr">
        <is>
          <t>8.1.2</t>
        </is>
      </c>
      <c r="C242" s="20">
        <f>'APOA-370 (O3)'!$B$70</f>
        <v/>
      </c>
      <c r="D242" s="22" t="inlineStr">
        <is>
          <t>Reemplazo de la junta tórica O-Ring G50</t>
        </is>
      </c>
      <c r="E242" s="25" t="inlineStr">
        <is>
          <t>Cobrable</t>
        </is>
      </c>
      <c r="F242" s="21">
        <f>'APOA-370 (O3)'!$U$70</f>
        <v/>
      </c>
      <c r="G242" s="21">
        <f>'APOA-370 (O3)'!$V$70</f>
        <v/>
      </c>
      <c r="H242" s="22">
        <f>'APOA-370 (O3)'!$Z$70</f>
        <v/>
      </c>
    </row>
    <row r="243" ht="30" customHeight="1">
      <c r="A243" s="20" t="inlineStr">
        <is>
          <t>APOA-370 (O3)</t>
        </is>
      </c>
      <c r="B243" s="21" t="inlineStr">
        <is>
          <t>8.1.3</t>
        </is>
      </c>
      <c r="C243" s="20">
        <f>'APOA-370 (O3)'!$B$71</f>
        <v/>
      </c>
      <c r="D243" s="22" t="inlineStr">
        <is>
          <t>Vida útil de la batería de litio (CR2032)</t>
        </is>
      </c>
      <c r="E243" s="25" t="inlineStr">
        <is>
          <t>Cobrable</t>
        </is>
      </c>
      <c r="F243" s="21">
        <f>'APOA-370 (O3)'!$U$71</f>
        <v/>
      </c>
      <c r="G243" s="21">
        <f>'APOA-370 (O3)'!$V$71</f>
        <v/>
      </c>
      <c r="H243" s="22">
        <f>'APOA-370 (O3)'!$Z$71</f>
        <v/>
      </c>
    </row>
    <row r="244" ht="30" customHeight="1">
      <c r="A244" s="20" t="inlineStr">
        <is>
          <t>APOA-370 (O3)</t>
        </is>
      </c>
      <c r="B244" s="21" t="inlineStr">
        <is>
          <t>8.2.1</t>
        </is>
      </c>
      <c r="C244" s="20">
        <f>'APOA-370 (O3)'!$B$72</f>
        <v/>
      </c>
      <c r="D244" s="22" t="inlineStr">
        <is>
          <t>Horómetro del diafragma de bomba (P-1-D)</t>
        </is>
      </c>
      <c r="E244" s="25" t="inlineStr">
        <is>
          <t>Cobrable</t>
        </is>
      </c>
      <c r="F244" s="21">
        <f>'APOA-370 (O3)'!$U$72</f>
        <v/>
      </c>
      <c r="G244" s="21">
        <f>'APOA-370 (O3)'!$V$72</f>
        <v/>
      </c>
      <c r="H244" s="22">
        <f>'APOA-370 (O3)'!$Z$72</f>
        <v/>
      </c>
    </row>
    <row r="245" ht="30" customHeight="1">
      <c r="A245" s="20" t="inlineStr">
        <is>
          <t>APOA-370 (O3)</t>
        </is>
      </c>
      <c r="B245" s="21" t="inlineStr">
        <is>
          <t>8.2.2</t>
        </is>
      </c>
      <c r="C245" s="20">
        <f>'APOA-370 (O3)'!$B$73</f>
        <v/>
      </c>
      <c r="D245" s="22" t="inlineStr">
        <is>
          <t>Horómetro del catalizador deozonizador (DO-1)</t>
        </is>
      </c>
      <c r="E245" s="25" t="inlineStr">
        <is>
          <t>Cobrable</t>
        </is>
      </c>
      <c r="F245" s="21">
        <f>'APOA-370 (O3)'!$U$73</f>
        <v/>
      </c>
      <c r="G245" s="21">
        <f>'APOA-370 (O3)'!$V$73</f>
        <v/>
      </c>
      <c r="H245" s="22">
        <f>'APOA-370 (O3)'!$Z$73</f>
        <v/>
      </c>
    </row>
    <row r="246" ht="30" customHeight="1">
      <c r="A246" s="20" t="inlineStr">
        <is>
          <t>APOA-370 (O3)</t>
        </is>
      </c>
      <c r="B246" s="21" t="inlineStr">
        <is>
          <t>8.2.3</t>
        </is>
      </c>
      <c r="C246" s="20">
        <f>'APOA-370 (O3)'!$B$74</f>
        <v/>
      </c>
      <c r="D246" s="22" t="inlineStr">
        <is>
          <t>Horómetro de la lámpara UV de medición (LAMP)</t>
        </is>
      </c>
      <c r="E246" s="25" t="inlineStr">
        <is>
          <t>Cobrable</t>
        </is>
      </c>
      <c r="F246" s="21">
        <f>'APOA-370 (O3)'!$U$74</f>
        <v/>
      </c>
      <c r="G246" s="21">
        <f>'APOA-370 (O3)'!$V$74</f>
        <v/>
      </c>
      <c r="H246" s="22">
        <f>'APOA-370 (O3)'!$Z$74</f>
        <v/>
      </c>
    </row>
    <row r="247" ht="30" customHeight="1">
      <c r="A247" s="20" t="inlineStr">
        <is>
          <t>APOA-370 (O3)</t>
        </is>
      </c>
      <c r="B247" s="21" t="inlineStr">
        <is>
          <t>8.2.4</t>
        </is>
      </c>
      <c r="C247" s="20">
        <f>'APOA-370 (O3)'!$B$75</f>
        <v/>
      </c>
      <c r="D247" s="22" t="inlineStr">
        <is>
          <t>Horómetro de la bomba completa (P-1-B)</t>
        </is>
      </c>
      <c r="E247" s="25" t="inlineStr">
        <is>
          <t>Cobrable</t>
        </is>
      </c>
      <c r="F247" s="21">
        <f>'APOA-370 (O3)'!$U$75</f>
        <v/>
      </c>
      <c r="G247" s="21">
        <f>'APOA-370 (O3)'!$V$75</f>
        <v/>
      </c>
      <c r="H247" s="22">
        <f>'APOA-370 (O3)'!$Z$75</f>
        <v/>
      </c>
    </row>
    <row r="248" ht="30" customHeight="1">
      <c r="A248" s="20" t="inlineStr">
        <is>
          <t>APOA-370 (O3)</t>
        </is>
      </c>
      <c r="B248" s="21" t="inlineStr">
        <is>
          <t>8.2.5</t>
        </is>
      </c>
      <c r="C248" s="20">
        <f>'APOA-370 (O3)'!$B$76</f>
        <v/>
      </c>
      <c r="D248" s="22" t="inlineStr">
        <is>
          <t>Horómetro de la válvula solenoide (SV-2)</t>
        </is>
      </c>
      <c r="E248" s="25" t="inlineStr">
        <is>
          <t>Cobrable</t>
        </is>
      </c>
      <c r="F248" s="21">
        <f>'APOA-370 (O3)'!$U$76</f>
        <v/>
      </c>
      <c r="G248" s="21">
        <f>'APOA-370 (O3)'!$V$76</f>
        <v/>
      </c>
      <c r="H248" s="22">
        <f>'APOA-370 (O3)'!$Z$76</f>
        <v/>
      </c>
    </row>
    <row r="249" ht="30" customHeight="1">
      <c r="A249" s="20" t="inlineStr">
        <is>
          <t>APOA-370 (O3)</t>
        </is>
      </c>
      <c r="B249" s="21" t="inlineStr">
        <is>
          <t>9.1.1</t>
        </is>
      </c>
      <c r="C249" s="20">
        <f>'APOA-370 (O3)'!$B$77</f>
        <v/>
      </c>
      <c r="D249" s="22" t="inlineStr">
        <is>
          <t>Lectura de presión ambiente (AMBIENT)</t>
        </is>
      </c>
      <c r="E249" s="24" t="inlineStr">
        <is>
          <t>Bloqueante</t>
        </is>
      </c>
      <c r="F249" s="21">
        <f>'APOA-370 (O3)'!$U$77</f>
        <v/>
      </c>
      <c r="G249" s="21">
        <f>'APOA-370 (O3)'!$V$77</f>
        <v/>
      </c>
      <c r="H249" s="22">
        <f>'APOA-370 (O3)'!$Z$77</f>
        <v/>
      </c>
    </row>
    <row r="250" ht="30" customHeight="1">
      <c r="A250" s="20" t="inlineStr">
        <is>
          <t>APOA-370 (O3)</t>
        </is>
      </c>
      <c r="B250" s="21" t="inlineStr">
        <is>
          <t>9.1.2</t>
        </is>
      </c>
      <c r="C250" s="20">
        <f>'APOA-370 (O3)'!$B$78</f>
        <v/>
      </c>
      <c r="D250" s="22" t="inlineStr">
        <is>
          <t>Presión diferencial de celda</t>
        </is>
      </c>
      <c r="E250" s="24" t="inlineStr">
        <is>
          <t>Bloqueante</t>
        </is>
      </c>
      <c r="F250" s="21">
        <f>'APOA-370 (O3)'!$U$78</f>
        <v/>
      </c>
      <c r="G250" s="21">
        <f>'APOA-370 (O3)'!$V$78</f>
        <v/>
      </c>
      <c r="H250" s="22">
        <f>'APOA-370 (O3)'!$Z$78</f>
        <v/>
      </c>
    </row>
    <row r="251" ht="30" customHeight="1">
      <c r="A251" s="20" t="inlineStr">
        <is>
          <t>APOA-370 (O3)</t>
        </is>
      </c>
      <c r="B251" s="21" t="inlineStr">
        <is>
          <t>9.2.1</t>
        </is>
      </c>
      <c r="C251" s="20">
        <f>'APOA-370 (O3)'!$B$79</f>
        <v/>
      </c>
      <c r="D251" s="22" t="inlineStr">
        <is>
          <t>Termistor de temperatura de celda (TS_1)</t>
        </is>
      </c>
      <c r="E251" s="24" t="inlineStr">
        <is>
          <t>Bloqueante</t>
        </is>
      </c>
      <c r="F251" s="21">
        <f>'APOA-370 (O3)'!$U$79</f>
        <v/>
      </c>
      <c r="G251" s="21">
        <f>'APOA-370 (O3)'!$V$79</f>
        <v/>
      </c>
      <c r="H251" s="22">
        <f>'APOA-370 (O3)'!$Z$79</f>
        <v/>
      </c>
    </row>
    <row r="252" ht="30" customHeight="1">
      <c r="A252" s="20" t="inlineStr">
        <is>
          <t>APOA-370 (O3)</t>
        </is>
      </c>
      <c r="B252" s="21" t="inlineStr">
        <is>
          <t>9.2.2</t>
        </is>
      </c>
      <c r="C252" s="20">
        <f>'APOA-370 (O3)'!$B$80</f>
        <v/>
      </c>
      <c r="D252" s="22" t="inlineStr">
        <is>
          <t>Termistor de temperatura del deozonizador</t>
        </is>
      </c>
      <c r="E252" s="24" t="inlineStr">
        <is>
          <t>Bloqueante</t>
        </is>
      </c>
      <c r="F252" s="21">
        <f>'APOA-370 (O3)'!$U$80</f>
        <v/>
      </c>
      <c r="G252" s="21">
        <f>'APOA-370 (O3)'!$V$80</f>
        <v/>
      </c>
      <c r="H252" s="22">
        <f>'APOA-370 (O3)'!$Z$80</f>
        <v/>
      </c>
    </row>
    <row r="253" ht="30" customHeight="1">
      <c r="A253" s="20" t="inlineStr">
        <is>
          <t>APOA-370 (O3)</t>
        </is>
      </c>
      <c r="B253" s="21" t="inlineStr">
        <is>
          <t>9.3.1</t>
        </is>
      </c>
      <c r="C253" s="20">
        <f>'APOA-370 (O3)'!$B$81</f>
        <v/>
      </c>
      <c r="D253" s="22" t="inlineStr">
        <is>
          <t>Lectura del sensor de caudal de muestra (opcional)</t>
        </is>
      </c>
      <c r="E253" s="24" t="inlineStr">
        <is>
          <t>Bloqueante</t>
        </is>
      </c>
      <c r="F253" s="21">
        <f>'APOA-370 (O3)'!$U$81</f>
        <v/>
      </c>
      <c r="G253" s="21">
        <f>'APOA-370 (O3)'!$V$81</f>
        <v/>
      </c>
      <c r="H253" s="22">
        <f>'APOA-370 (O3)'!$Z$81</f>
        <v/>
      </c>
    </row>
    <row r="254" ht="30" customHeight="1">
      <c r="A254" s="20" t="inlineStr">
        <is>
          <t>APOA-370 (O3)</t>
        </is>
      </c>
      <c r="B254" s="21" t="inlineStr">
        <is>
          <t>9.4.1</t>
        </is>
      </c>
      <c r="C254" s="20">
        <f>'APOA-370 (O3)'!$B$82</f>
        <v/>
      </c>
      <c r="D254" s="22" t="inlineStr">
        <is>
          <t>Integridad de cables planos de transductores</t>
        </is>
      </c>
      <c r="E254" s="24" t="inlineStr">
        <is>
          <t>Bloqueante</t>
        </is>
      </c>
      <c r="F254" s="21">
        <f>'APOA-370 (O3)'!$U$82</f>
        <v/>
      </c>
      <c r="G254" s="21">
        <f>'APOA-370 (O3)'!$V$82</f>
        <v/>
      </c>
      <c r="H254" s="22">
        <f>'APOA-370 (O3)'!$Z$82</f>
        <v/>
      </c>
    </row>
    <row r="255" ht="30" customHeight="1">
      <c r="A255" s="20" t="inlineStr">
        <is>
          <t>APOA-370 (O3)</t>
        </is>
      </c>
      <c r="B255" s="21" t="inlineStr">
        <is>
          <t>10.1.1</t>
        </is>
      </c>
      <c r="C255" s="20">
        <f>'APOA-370 (O3)'!$B$83</f>
        <v/>
      </c>
      <c r="D255" s="22" t="inlineStr">
        <is>
          <t>Puerta delantera y cierres</t>
        </is>
      </c>
      <c r="E255" s="25" t="inlineStr">
        <is>
          <t>Cobrable</t>
        </is>
      </c>
      <c r="F255" s="21">
        <f>'APOA-370 (O3)'!$U$83</f>
        <v/>
      </c>
      <c r="G255" s="21">
        <f>'APOA-370 (O3)'!$V$83</f>
        <v/>
      </c>
      <c r="H255" s="22">
        <f>'APOA-370 (O3)'!$Z$83</f>
        <v/>
      </c>
    </row>
    <row r="256" ht="30" customHeight="1">
      <c r="A256" s="20" t="inlineStr">
        <is>
          <t>APOA-370 (O3)</t>
        </is>
      </c>
      <c r="B256" s="21" t="inlineStr">
        <is>
          <t>10.1.2</t>
        </is>
      </c>
      <c r="C256" s="20">
        <f>'APOA-370 (O3)'!$B$84</f>
        <v/>
      </c>
      <c r="D256" s="22" t="inlineStr">
        <is>
          <t>Tornillos de fijación de la cubierta superior</t>
        </is>
      </c>
      <c r="E256" s="25" t="inlineStr">
        <is>
          <t>Cobrable</t>
        </is>
      </c>
      <c r="F256" s="21">
        <f>'APOA-370 (O3)'!$U$84</f>
        <v/>
      </c>
      <c r="G256" s="21">
        <f>'APOA-370 (O3)'!$V$84</f>
        <v/>
      </c>
      <c r="H256" s="22">
        <f>'APOA-370 (O3)'!$Z$84</f>
        <v/>
      </c>
    </row>
    <row r="257" ht="30" customHeight="1">
      <c r="A257" s="20" t="inlineStr">
        <is>
          <t>APOA-370 (O3)</t>
        </is>
      </c>
      <c r="B257" s="21" t="inlineStr">
        <is>
          <t>10.2.1</t>
        </is>
      </c>
      <c r="C257" s="20">
        <f>'APOA-370 (O3)'!$B$85</f>
        <v/>
      </c>
      <c r="D257" s="22" t="inlineStr">
        <is>
          <t>Espacio libre vertical en rack de 19 pulgadas</t>
        </is>
      </c>
      <c r="E257" s="23" t="inlineStr">
        <is>
          <t>Alerta</t>
        </is>
      </c>
      <c r="F257" s="21">
        <f>'APOA-370 (O3)'!$U$85</f>
        <v/>
      </c>
      <c r="G257" s="21">
        <f>'APOA-370 (O3)'!$V$85</f>
        <v/>
      </c>
      <c r="H257" s="22">
        <f>'APOA-370 (O3)'!$Z$85</f>
        <v/>
      </c>
    </row>
    <row r="258" ht="30" customHeight="1">
      <c r="A258" s="20" t="inlineStr">
        <is>
          <t>APOA-370 (O3)</t>
        </is>
      </c>
      <c r="B258" s="21" t="inlineStr">
        <is>
          <t>10.2.2</t>
        </is>
      </c>
      <c r="C258" s="20">
        <f>'APOA-370 (O3)'!$B$86</f>
        <v/>
      </c>
      <c r="D258" s="22" t="inlineStr">
        <is>
          <t>Base de apoyo e instalación del chasis</t>
        </is>
      </c>
      <c r="E258" s="23" t="inlineStr">
        <is>
          <t>Alerta</t>
        </is>
      </c>
      <c r="F258" s="21">
        <f>'APOA-370 (O3)'!$U$86</f>
        <v/>
      </c>
      <c r="G258" s="21">
        <f>'APOA-370 (O3)'!$V$86</f>
        <v/>
      </c>
      <c r="H258" s="22">
        <f>'APOA-370 (O3)'!$Z$86</f>
        <v/>
      </c>
    </row>
    <row r="259" ht="30" customHeight="1">
      <c r="A259" s="20" t="inlineStr">
        <is>
          <t>APOA-370 (O3)</t>
        </is>
      </c>
      <c r="B259" s="21" t="inlineStr">
        <is>
          <t>10.3.1</t>
        </is>
      </c>
      <c r="C259" s="20">
        <f>'APOA-370 (O3)'!$B$87</f>
        <v/>
      </c>
      <c r="D259" s="22" t="inlineStr">
        <is>
          <t>Temperatura ambiental del recinto (shelter)</t>
        </is>
      </c>
      <c r="E259" s="23" t="inlineStr">
        <is>
          <t>Alerta</t>
        </is>
      </c>
      <c r="F259" s="21">
        <f>'APOA-370 (O3)'!$U$87</f>
        <v/>
      </c>
      <c r="G259" s="21">
        <f>'APOA-370 (O3)'!$V$87</f>
        <v/>
      </c>
      <c r="H259" s="22">
        <f>'APOA-370 (O3)'!$Z$87</f>
        <v/>
      </c>
    </row>
    <row r="260" ht="30" customHeight="1">
      <c r="A260" s="20" t="inlineStr">
        <is>
          <t>APOA-370 (O3)</t>
        </is>
      </c>
      <c r="B260" s="21" t="inlineStr">
        <is>
          <t>10.3.2</t>
        </is>
      </c>
      <c r="C260" s="20">
        <f>'APOA-370 (O3)'!$B$88</f>
        <v/>
      </c>
      <c r="D260" s="22" t="inlineStr">
        <is>
          <t>Humedad relativa en la cabina de monitoreo</t>
        </is>
      </c>
      <c r="E260" s="23" t="inlineStr">
        <is>
          <t>Alerta</t>
        </is>
      </c>
      <c r="F260" s="21">
        <f>'APOA-370 (O3)'!$U$88</f>
        <v/>
      </c>
      <c r="G260" s="21">
        <f>'APOA-370 (O3)'!$V$88</f>
        <v/>
      </c>
      <c r="H260" s="22">
        <f>'APOA-370 (O3)'!$Z$88</f>
        <v/>
      </c>
    </row>
    <row r="261" ht="30" customHeight="1">
      <c r="A261" s="20" t="inlineStr">
        <is>
          <t>APNA-370 (NOx)</t>
        </is>
      </c>
      <c r="B261" s="21" t="inlineStr">
        <is>
          <t>1.1.1</t>
        </is>
      </c>
      <c r="C261" s="20">
        <f>'APNA-370 (NOx)'!$B$9</f>
        <v/>
      </c>
      <c r="D261" s="22" t="inlineStr">
        <is>
          <t>Estado visual del LED frontal de encendido</t>
        </is>
      </c>
      <c r="E261" s="23" t="inlineStr">
        <is>
          <t>Alerta</t>
        </is>
      </c>
      <c r="F261" s="21">
        <f>'APNA-370 (NOx)'!$U$9</f>
        <v/>
      </c>
      <c r="G261" s="21">
        <f>'APNA-370 (NOx)'!$V$9</f>
        <v/>
      </c>
      <c r="H261" s="22">
        <f>'APNA-370 (NOx)'!$Z$9</f>
        <v/>
      </c>
    </row>
    <row r="262" ht="30" customHeight="1">
      <c r="A262" s="20" t="inlineStr">
        <is>
          <t>APNA-370 (NOx)</t>
        </is>
      </c>
      <c r="B262" s="21" t="inlineStr">
        <is>
          <t>1.1.2</t>
        </is>
      </c>
      <c r="C262" s="20">
        <f>'APNA-370 (NOx)'!$B$10</f>
        <v/>
      </c>
      <c r="D262" s="22" t="inlineStr">
        <is>
          <t>Operación del ozonizador interno</t>
        </is>
      </c>
      <c r="E262" s="24" t="inlineStr">
        <is>
          <t>Bloqueante</t>
        </is>
      </c>
      <c r="F262" s="21">
        <f>'APNA-370 (NOx)'!$U$10</f>
        <v/>
      </c>
      <c r="G262" s="21">
        <f>'APNA-370 (NOx)'!$V$10</f>
        <v/>
      </c>
      <c r="H262" s="22">
        <f>'APNA-370 (NOx)'!$Z$10</f>
        <v/>
      </c>
    </row>
    <row r="263" ht="30" customHeight="1">
      <c r="A263" s="20" t="inlineStr">
        <is>
          <t>APNA-370 (NOx)</t>
        </is>
      </c>
      <c r="B263" s="21" t="inlineStr">
        <is>
          <t>1.1.3</t>
        </is>
      </c>
      <c r="C263" s="20">
        <f>'APNA-370 (NOx)'!$B$11</f>
        <v/>
      </c>
      <c r="D263" s="22" t="inlineStr">
        <is>
          <t>Estado y brillo del display LCD</t>
        </is>
      </c>
      <c r="E263" s="25" t="inlineStr">
        <is>
          <t>Cobrable</t>
        </is>
      </c>
      <c r="F263" s="21">
        <f>'APNA-370 (NOx)'!$U$11</f>
        <v/>
      </c>
      <c r="G263" s="21">
        <f>'APNA-370 (NOx)'!$V$11</f>
        <v/>
      </c>
      <c r="H263" s="22">
        <f>'APNA-370 (NOx)'!$Z$11</f>
        <v/>
      </c>
    </row>
    <row r="264" ht="30" customHeight="1">
      <c r="A264" s="20" t="inlineStr">
        <is>
          <t>APNA-370 (NOx)</t>
        </is>
      </c>
      <c r="B264" s="21" t="inlineStr">
        <is>
          <t>1.2.1</t>
        </is>
      </c>
      <c r="C264" s="20">
        <f>'APNA-370 (NOx)'!$B$12</f>
        <v/>
      </c>
      <c r="D264" s="22" t="inlineStr">
        <is>
          <t>Revisión de alarmas activas</t>
        </is>
      </c>
      <c r="E264" s="24" t="inlineStr">
        <is>
          <t>Bloqueante</t>
        </is>
      </c>
      <c r="F264" s="21">
        <f>'APNA-370 (NOx)'!$U$12</f>
        <v/>
      </c>
      <c r="G264" s="21">
        <f>'APNA-370 (NOx)'!$V$12</f>
        <v/>
      </c>
      <c r="H264" s="22">
        <f>'APNA-370 (NOx)'!$Z$12</f>
        <v/>
      </c>
    </row>
    <row r="265" ht="30" customHeight="1">
      <c r="A265" s="20" t="inlineStr">
        <is>
          <t>APNA-370 (NOx)</t>
        </is>
      </c>
      <c r="B265" s="21" t="inlineStr">
        <is>
          <t>1.3.1</t>
        </is>
      </c>
      <c r="C265" s="20">
        <f>'APNA-370 (NOx)'!$B$13</f>
        <v/>
      </c>
      <c r="D265" s="22" t="inlineStr">
        <is>
          <t>Tiempo de calentamiento posterior al encendido</t>
        </is>
      </c>
      <c r="E265" s="23" t="inlineStr">
        <is>
          <t>Alerta</t>
        </is>
      </c>
      <c r="F265" s="21">
        <f>'APNA-370 (NOx)'!$U$13</f>
        <v/>
      </c>
      <c r="G265" s="21">
        <f>'APNA-370 (NOx)'!$V$13</f>
        <v/>
      </c>
      <c r="H265" s="22">
        <f>'APNA-370 (NOx)'!$Z$13</f>
        <v/>
      </c>
    </row>
    <row r="266" ht="30" customHeight="1">
      <c r="A266" s="20" t="inlineStr">
        <is>
          <t>APNA-370 (NOx)</t>
        </is>
      </c>
      <c r="B266" s="21" t="inlineStr">
        <is>
          <t>2.1.1</t>
        </is>
      </c>
      <c r="C266" s="20">
        <f>'APNA-370 (NOx)'!$B$14</f>
        <v/>
      </c>
      <c r="D266" s="22" t="inlineStr">
        <is>
          <t>Número de serie y modelo del analizador</t>
        </is>
      </c>
      <c r="E266" s="23" t="inlineStr">
        <is>
          <t>Alerta</t>
        </is>
      </c>
      <c r="F266" s="21">
        <f>'APNA-370 (NOx)'!$U$14</f>
        <v/>
      </c>
      <c r="G266" s="21">
        <f>'APNA-370 (NOx)'!$V$14</f>
        <v/>
      </c>
      <c r="H266" s="22">
        <f>'APNA-370 (NOx)'!$Z$14</f>
        <v/>
      </c>
    </row>
    <row r="267" ht="30" customHeight="1">
      <c r="A267" s="20" t="inlineStr">
        <is>
          <t>APNA-370 (NOx)</t>
        </is>
      </c>
      <c r="B267" s="21" t="inlineStr">
        <is>
          <t>2.1.2</t>
        </is>
      </c>
      <c r="C267" s="20">
        <f>'APNA-370 (NOx)'!$B$15</f>
        <v/>
      </c>
      <c r="D267" s="22" t="inlineStr">
        <is>
          <t>Etiqueta de inventario o control del cliente</t>
        </is>
      </c>
      <c r="E267" s="23" t="inlineStr">
        <is>
          <t>Alerta</t>
        </is>
      </c>
      <c r="F267" s="21">
        <f>'APNA-370 (NOx)'!$U$15</f>
        <v/>
      </c>
      <c r="G267" s="21">
        <f>'APNA-370 (NOx)'!$V$15</f>
        <v/>
      </c>
      <c r="H267" s="22">
        <f>'APNA-370 (NOx)'!$Z$15</f>
        <v/>
      </c>
    </row>
    <row r="268" ht="30" customHeight="1">
      <c r="A268" s="20" t="inlineStr">
        <is>
          <t>APNA-370 (NOx)</t>
        </is>
      </c>
      <c r="B268" s="21" t="inlineStr">
        <is>
          <t>2.1.3</t>
        </is>
      </c>
      <c r="C268" s="20">
        <f>'APNA-370 (NOx)'!$B$16</f>
        <v/>
      </c>
      <c r="D268" s="22" t="inlineStr">
        <is>
          <t>Etiqueta de apertura de puerta (Open Label)</t>
        </is>
      </c>
      <c r="E268" s="23" t="inlineStr">
        <is>
          <t>Alerta</t>
        </is>
      </c>
      <c r="F268" s="21">
        <f>'APNA-370 (NOx)'!$U$16</f>
        <v/>
      </c>
      <c r="G268" s="21">
        <f>'APNA-370 (NOx)'!$V$16</f>
        <v/>
      </c>
      <c r="H268" s="22">
        <f>'APNA-370 (NOx)'!$Z$16</f>
        <v/>
      </c>
    </row>
    <row r="269" ht="30" customHeight="1">
      <c r="A269" s="20" t="inlineStr">
        <is>
          <t>APNA-370 (NOx)</t>
        </is>
      </c>
      <c r="B269" s="21" t="inlineStr">
        <is>
          <t>2.2.1</t>
        </is>
      </c>
      <c r="C269" s="20">
        <f>'APNA-370 (NOx)'!$B$17</f>
        <v/>
      </c>
      <c r="D269" s="22" t="inlineStr">
        <is>
          <t>Número de programa HGS/HTS</t>
        </is>
      </c>
      <c r="E269" s="23" t="inlineStr">
        <is>
          <t>Alerta</t>
        </is>
      </c>
      <c r="F269" s="21">
        <f>'APNA-370 (NOx)'!$U$17</f>
        <v/>
      </c>
      <c r="G269" s="21">
        <f>'APNA-370 (NOx)'!$V$17</f>
        <v/>
      </c>
      <c r="H269" s="22">
        <f>'APNA-370 (NOx)'!$Z$17</f>
        <v/>
      </c>
    </row>
    <row r="270" ht="30" customHeight="1">
      <c r="A270" s="20" t="inlineStr">
        <is>
          <t>APNA-370 (NOx)</t>
        </is>
      </c>
      <c r="B270" s="21" t="inlineStr">
        <is>
          <t>3.1.1</t>
        </is>
      </c>
      <c r="C270" s="20">
        <f>'APNA-370 (NOx)'!$B$18</f>
        <v/>
      </c>
      <c r="D270" s="22" t="inlineStr">
        <is>
          <t>Coeficiente de calibración de cero</t>
        </is>
      </c>
      <c r="E270" s="24" t="inlineStr">
        <is>
          <t>Bloqueante</t>
        </is>
      </c>
      <c r="F270" s="21">
        <f>'APNA-370 (NOx)'!$U$18</f>
        <v/>
      </c>
      <c r="G270" s="21">
        <f>'APNA-370 (NOx)'!$V$18</f>
        <v/>
      </c>
      <c r="H270" s="22">
        <f>'APNA-370 (NOx)'!$Z$18</f>
        <v/>
      </c>
    </row>
    <row r="271" ht="30" customHeight="1">
      <c r="A271" s="20" t="inlineStr">
        <is>
          <t>APNA-370 (NOx)</t>
        </is>
      </c>
      <c r="B271" s="21" t="inlineStr">
        <is>
          <t>3.1.2</t>
        </is>
      </c>
      <c r="C271" s="20">
        <f>'APNA-370 (NOx)'!$B$19</f>
        <v/>
      </c>
      <c r="D271" s="22" t="inlineStr">
        <is>
          <t>Coeficiente de cero de fábrica</t>
        </is>
      </c>
      <c r="E271" s="24" t="inlineStr">
        <is>
          <t>Bloqueante</t>
        </is>
      </c>
      <c r="F271" s="21">
        <f>'APNA-370 (NOx)'!$U$19</f>
        <v/>
      </c>
      <c r="G271" s="21">
        <f>'APNA-370 (NOx)'!$V$19</f>
        <v/>
      </c>
      <c r="H271" s="22">
        <f>'APNA-370 (NOx)'!$Z$19</f>
        <v/>
      </c>
    </row>
    <row r="272" ht="30" customHeight="1">
      <c r="A272" s="20" t="inlineStr">
        <is>
          <t>APNA-370 (NOx)</t>
        </is>
      </c>
      <c r="B272" s="21" t="inlineStr">
        <is>
          <t>3.1.3</t>
        </is>
      </c>
      <c r="C272" s="20">
        <f>'APNA-370 (NOx)'!$B$20</f>
        <v/>
      </c>
      <c r="D272" s="22" t="inlineStr">
        <is>
          <t>Coeficiente de calibración de span</t>
        </is>
      </c>
      <c r="E272" s="24" t="inlineStr">
        <is>
          <t>Bloqueante</t>
        </is>
      </c>
      <c r="F272" s="21">
        <f>'APNA-370 (NOx)'!$U$20</f>
        <v/>
      </c>
      <c r="G272" s="21">
        <f>'APNA-370 (NOx)'!$V$20</f>
        <v/>
      </c>
      <c r="H272" s="22">
        <f>'APNA-370 (NOx)'!$Z$20</f>
        <v/>
      </c>
    </row>
    <row r="273" ht="30" customHeight="1">
      <c r="A273" s="20" t="inlineStr">
        <is>
          <t>APNA-370 (NOx)</t>
        </is>
      </c>
      <c r="B273" s="21" t="inlineStr">
        <is>
          <t>3.1.4</t>
        </is>
      </c>
      <c r="C273" s="20">
        <f>'APNA-370 (NOx)'!$B$21</f>
        <v/>
      </c>
      <c r="D273" s="22" t="inlineStr">
        <is>
          <t>Concentración de gas de span configurada</t>
        </is>
      </c>
      <c r="E273" s="24" t="inlineStr">
        <is>
          <t>Bloqueante</t>
        </is>
      </c>
      <c r="F273" s="21">
        <f>'APNA-370 (NOx)'!$U$21</f>
        <v/>
      </c>
      <c r="G273" s="21">
        <f>'APNA-370 (NOx)'!$V$21</f>
        <v/>
      </c>
      <c r="H273" s="22">
        <f>'APNA-370 (NOx)'!$Z$21</f>
        <v/>
      </c>
    </row>
    <row r="274" ht="30" customHeight="1">
      <c r="A274" s="20" t="inlineStr">
        <is>
          <t>APNA-370 (NOx)</t>
        </is>
      </c>
      <c r="B274" s="21" t="inlineStr">
        <is>
          <t>3.2.1</t>
        </is>
      </c>
      <c r="C274" s="20">
        <f>'APNA-370 (NOx)'!$B$22</f>
        <v/>
      </c>
      <c r="D274" s="22" t="inlineStr">
        <is>
          <t>Presión del gas patrón y del gas cero</t>
        </is>
      </c>
      <c r="E274" s="24" t="inlineStr">
        <is>
          <t>Bloqueante</t>
        </is>
      </c>
      <c r="F274" s="21">
        <f>'APNA-370 (NOx)'!$U$22</f>
        <v/>
      </c>
      <c r="G274" s="21">
        <f>'APNA-370 (NOx)'!$V$22</f>
        <v/>
      </c>
      <c r="H274" s="22">
        <f>'APNA-370 (NOx)'!$Z$22</f>
        <v/>
      </c>
    </row>
    <row r="275" ht="30" customHeight="1">
      <c r="A275" s="20" t="inlineStr">
        <is>
          <t>APNA-370 (NOx)</t>
        </is>
      </c>
      <c r="B275" s="21" t="inlineStr">
        <is>
          <t>3.2.2</t>
        </is>
      </c>
      <c r="C275" s="20">
        <f>'APNA-370 (NOx)'!$B$23</f>
        <v/>
      </c>
      <c r="D275" s="22" t="inlineStr">
        <is>
          <t>Presión del gas de muestra</t>
        </is>
      </c>
      <c r="E275" s="24" t="inlineStr">
        <is>
          <t>Bloqueante</t>
        </is>
      </c>
      <c r="F275" s="21">
        <f>'APNA-370 (NOx)'!$U$23</f>
        <v/>
      </c>
      <c r="G275" s="21">
        <f>'APNA-370 (NOx)'!$V$23</f>
        <v/>
      </c>
      <c r="H275" s="22">
        <f>'APNA-370 (NOx)'!$Z$23</f>
        <v/>
      </c>
    </row>
    <row r="276" ht="30" customHeight="1">
      <c r="A276" s="20" t="inlineStr">
        <is>
          <t>APNA-370 (NOx)</t>
        </is>
      </c>
      <c r="B276" s="21" t="inlineStr">
        <is>
          <t>3.2.3</t>
        </is>
      </c>
      <c r="C276" s="20">
        <f>'APNA-370 (NOx)'!$B$24</f>
        <v/>
      </c>
      <c r="D276" s="22" t="inlineStr">
        <is>
          <t>Presión del gas de escape</t>
        </is>
      </c>
      <c r="E276" s="23" t="inlineStr">
        <is>
          <t>Alerta</t>
        </is>
      </c>
      <c r="F276" s="21">
        <f>'APNA-370 (NOx)'!$U$24</f>
        <v/>
      </c>
      <c r="G276" s="21">
        <f>'APNA-370 (NOx)'!$V$24</f>
        <v/>
      </c>
      <c r="H276" s="22">
        <f>'APNA-370 (NOx)'!$Z$24</f>
        <v/>
      </c>
    </row>
    <row r="277" ht="30" customHeight="1">
      <c r="A277" s="20" t="inlineStr">
        <is>
          <t>APNA-370 (NOx)</t>
        </is>
      </c>
      <c r="B277" s="21" t="inlineStr">
        <is>
          <t>3.3.1</t>
        </is>
      </c>
      <c r="C277" s="20">
        <f>'APNA-370 (NOx)'!$B$25</f>
        <v/>
      </c>
      <c r="D277" s="22" t="inlineStr">
        <is>
          <t>Rendimiento del convertidor de NO2 a NO</t>
        </is>
      </c>
      <c r="E277" s="24" t="inlineStr">
        <is>
          <t>Bloqueante</t>
        </is>
      </c>
      <c r="F277" s="21">
        <f>'APNA-370 (NOx)'!$U$25</f>
        <v/>
      </c>
      <c r="G277" s="21">
        <f>'APNA-370 (NOx)'!$V$25</f>
        <v/>
      </c>
      <c r="H277" s="22">
        <f>'APNA-370 (NOx)'!$Z$25</f>
        <v/>
      </c>
    </row>
    <row r="278" ht="30" customHeight="1">
      <c r="A278" s="20" t="inlineStr">
        <is>
          <t>APNA-370 (NOx)</t>
        </is>
      </c>
      <c r="B278" s="21" t="inlineStr">
        <is>
          <t>3.4.1</t>
        </is>
      </c>
      <c r="C278" s="20">
        <f>'APNA-370 (NOx)'!$B$26</f>
        <v/>
      </c>
      <c r="D278" s="22" t="inlineStr">
        <is>
          <t>Deriva del cero diaria (Zero Drift)</t>
        </is>
      </c>
      <c r="E278" s="24" t="inlineStr">
        <is>
          <t>Bloqueante</t>
        </is>
      </c>
      <c r="F278" s="21">
        <f>'APNA-370 (NOx)'!$U$26</f>
        <v/>
      </c>
      <c r="G278" s="21">
        <f>'APNA-370 (NOx)'!$V$26</f>
        <v/>
      </c>
      <c r="H278" s="22">
        <f>'APNA-370 (NOx)'!$Z$26</f>
        <v/>
      </c>
    </row>
    <row r="279" ht="30" customHeight="1">
      <c r="A279" s="20" t="inlineStr">
        <is>
          <t>APNA-370 (NOx)</t>
        </is>
      </c>
      <c r="B279" s="21" t="inlineStr">
        <is>
          <t>3.4.2</t>
        </is>
      </c>
      <c r="C279" s="20">
        <f>'APNA-370 (NOx)'!$B$27</f>
        <v/>
      </c>
      <c r="D279" s="22" t="inlineStr">
        <is>
          <t>Deriva del cero semanal (Zero Drift)</t>
        </is>
      </c>
      <c r="E279" s="24" t="inlineStr">
        <is>
          <t>Bloqueante</t>
        </is>
      </c>
      <c r="F279" s="21">
        <f>'APNA-370 (NOx)'!$U$27</f>
        <v/>
      </c>
      <c r="G279" s="21">
        <f>'APNA-370 (NOx)'!$V$27</f>
        <v/>
      </c>
      <c r="H279" s="22">
        <f>'APNA-370 (NOx)'!$Z$27</f>
        <v/>
      </c>
    </row>
    <row r="280" ht="30" customHeight="1">
      <c r="A280" s="20" t="inlineStr">
        <is>
          <t>APNA-370 (NOx)</t>
        </is>
      </c>
      <c r="B280" s="21" t="inlineStr">
        <is>
          <t>3.4.3</t>
        </is>
      </c>
      <c r="C280" s="20">
        <f>'APNA-370 (NOx)'!$B$28</f>
        <v/>
      </c>
      <c r="D280" s="22" t="inlineStr">
        <is>
          <t>Deriva del span diaria (Span Drift)</t>
        </is>
      </c>
      <c r="E280" s="24" t="inlineStr">
        <is>
          <t>Bloqueante</t>
        </is>
      </c>
      <c r="F280" s="21">
        <f>'APNA-370 (NOx)'!$U$28</f>
        <v/>
      </c>
      <c r="G280" s="21">
        <f>'APNA-370 (NOx)'!$V$28</f>
        <v/>
      </c>
      <c r="H280" s="22">
        <f>'APNA-370 (NOx)'!$Z$28</f>
        <v/>
      </c>
    </row>
    <row r="281" ht="30" customHeight="1">
      <c r="A281" s="20" t="inlineStr">
        <is>
          <t>APNA-370 (NOx)</t>
        </is>
      </c>
      <c r="B281" s="21" t="inlineStr">
        <is>
          <t>3.4.4</t>
        </is>
      </c>
      <c r="C281" s="20">
        <f>'APNA-370 (NOx)'!$B$29</f>
        <v/>
      </c>
      <c r="D281" s="22" t="inlineStr">
        <is>
          <t>Deriva del span semanal (Span Drift)</t>
        </is>
      </c>
      <c r="E281" s="24" t="inlineStr">
        <is>
          <t>Bloqueante</t>
        </is>
      </c>
      <c r="F281" s="21">
        <f>'APNA-370 (NOx)'!$U$29</f>
        <v/>
      </c>
      <c r="G281" s="21">
        <f>'APNA-370 (NOx)'!$V$29</f>
        <v/>
      </c>
      <c r="H281" s="22">
        <f>'APNA-370 (NOx)'!$Z$29</f>
        <v/>
      </c>
    </row>
    <row r="282" ht="30" customHeight="1">
      <c r="A282" s="20" t="inlineStr">
        <is>
          <t>APNA-370 (NOx)</t>
        </is>
      </c>
      <c r="B282" s="21" t="inlineStr">
        <is>
          <t>3.4.5</t>
        </is>
      </c>
      <c r="C282" s="20">
        <f>'APNA-370 (NOx)'!$B$30</f>
        <v/>
      </c>
      <c r="D282" s="22" t="inlineStr">
        <is>
          <t>Tiempo de respuesta T90</t>
        </is>
      </c>
      <c r="E282" s="24" t="inlineStr">
        <is>
          <t>Bloqueante</t>
        </is>
      </c>
      <c r="F282" s="21">
        <f>'APNA-370 (NOx)'!$U$30</f>
        <v/>
      </c>
      <c r="G282" s="21">
        <f>'APNA-370 (NOx)'!$V$30</f>
        <v/>
      </c>
      <c r="H282" s="22">
        <f>'APNA-370 (NOx)'!$Z$30</f>
        <v/>
      </c>
    </row>
    <row r="283" ht="30" customHeight="1">
      <c r="A283" s="20" t="inlineStr">
        <is>
          <t>APNA-370 (NOx)</t>
        </is>
      </c>
      <c r="B283" s="21" t="inlineStr">
        <is>
          <t>3.4.6</t>
        </is>
      </c>
      <c r="C283" s="20">
        <f>'APNA-370 (NOx)'!$B$31</f>
        <v/>
      </c>
      <c r="D283" s="22" t="inlineStr">
        <is>
          <t>Repetitividad del equipo</t>
        </is>
      </c>
      <c r="E283" s="24" t="inlineStr">
        <is>
          <t>Bloqueante</t>
        </is>
      </c>
      <c r="F283" s="21">
        <f>'APNA-370 (NOx)'!$U$31</f>
        <v/>
      </c>
      <c r="G283" s="21">
        <f>'APNA-370 (NOx)'!$V$31</f>
        <v/>
      </c>
      <c r="H283" s="22">
        <f>'APNA-370 (NOx)'!$Z$31</f>
        <v/>
      </c>
    </row>
    <row r="284" ht="30" customHeight="1">
      <c r="A284" s="20" t="inlineStr">
        <is>
          <t>APNA-370 (NOx)</t>
        </is>
      </c>
      <c r="B284" s="21" t="inlineStr">
        <is>
          <t>3.4.7</t>
        </is>
      </c>
      <c r="C284" s="20">
        <f>'APNA-370 (NOx)'!$B$32</f>
        <v/>
      </c>
      <c r="D284" s="22" t="inlineStr">
        <is>
          <t>Linealidad del analizador</t>
        </is>
      </c>
      <c r="E284" s="24" t="inlineStr">
        <is>
          <t>Bloqueante</t>
        </is>
      </c>
      <c r="F284" s="21">
        <f>'APNA-370 (NOx)'!$U$32</f>
        <v/>
      </c>
      <c r="G284" s="21">
        <f>'APNA-370 (NOx)'!$V$32</f>
        <v/>
      </c>
      <c r="H284" s="22">
        <f>'APNA-370 (NOx)'!$Z$32</f>
        <v/>
      </c>
    </row>
    <row r="285" ht="30" customHeight="1">
      <c r="A285" s="20" t="inlineStr">
        <is>
          <t>APNA-370 (NOx)</t>
        </is>
      </c>
      <c r="B285" s="21" t="inlineStr">
        <is>
          <t>4.1.1</t>
        </is>
      </c>
      <c r="C285" s="20">
        <f>'APNA-370 (NOx)'!$B$33</f>
        <v/>
      </c>
      <c r="D285" s="22" t="inlineStr">
        <is>
          <t>Elemento filtrante de muestra (PTFE)</t>
        </is>
      </c>
      <c r="E285" s="25" t="inlineStr">
        <is>
          <t>Cobrable</t>
        </is>
      </c>
      <c r="F285" s="21">
        <f>'APNA-370 (NOx)'!$U$33</f>
        <v/>
      </c>
      <c r="G285" s="21">
        <f>'APNA-370 (NOx)'!$V$33</f>
        <v/>
      </c>
      <c r="H285" s="22">
        <f>'APNA-370 (NOx)'!$Z$33</f>
        <v/>
      </c>
    </row>
    <row r="286" ht="30" customHeight="1">
      <c r="A286" s="20" t="inlineStr">
        <is>
          <t>APNA-370 (NOx)</t>
        </is>
      </c>
      <c r="B286" s="21" t="inlineStr">
        <is>
          <t>4.1.2</t>
        </is>
      </c>
      <c r="C286" s="20">
        <f>'APNA-370 (NOx)'!$B$34</f>
        <v/>
      </c>
      <c r="D286" s="22" t="inlineStr">
        <is>
          <t>Empaque del filtro de partículas frontal</t>
        </is>
      </c>
      <c r="E286" s="25" t="inlineStr">
        <is>
          <t>Cobrable</t>
        </is>
      </c>
      <c r="F286" s="21">
        <f>'APNA-370 (NOx)'!$U$34</f>
        <v/>
      </c>
      <c r="G286" s="21">
        <f>'APNA-370 (NOx)'!$V$34</f>
        <v/>
      </c>
      <c r="H286" s="22">
        <f>'APNA-370 (NOx)'!$Z$34</f>
        <v/>
      </c>
    </row>
    <row r="287" ht="30" customHeight="1">
      <c r="A287" s="20" t="inlineStr">
        <is>
          <t>APNA-370 (NOx)</t>
        </is>
      </c>
      <c r="B287" s="21" t="inlineStr">
        <is>
          <t>4.1.3</t>
        </is>
      </c>
      <c r="C287" s="20">
        <f>'APNA-370 (NOx)'!$B$35</f>
        <v/>
      </c>
      <c r="D287" s="22" t="inlineStr">
        <is>
          <t>Junta tórica del portafiltro (O-Ring G70)</t>
        </is>
      </c>
      <c r="E287" s="25" t="inlineStr">
        <is>
          <t>Cobrable</t>
        </is>
      </c>
      <c r="F287" s="21">
        <f>'APNA-370 (NOx)'!$U$35</f>
        <v/>
      </c>
      <c r="G287" s="21">
        <f>'APNA-370 (NOx)'!$V$35</f>
        <v/>
      </c>
      <c r="H287" s="22">
        <f>'APNA-370 (NOx)'!$Z$35</f>
        <v/>
      </c>
    </row>
    <row r="288" ht="30" customHeight="1">
      <c r="A288" s="20" t="inlineStr">
        <is>
          <t>APNA-370 (NOx)</t>
        </is>
      </c>
      <c r="B288" s="21" t="inlineStr">
        <is>
          <t>4.2.1</t>
        </is>
      </c>
      <c r="C288" s="20">
        <f>'APNA-370 (NOx)'!$B$36</f>
        <v/>
      </c>
      <c r="D288" s="22" t="inlineStr">
        <is>
          <t>Tubería de teflón FEP externa</t>
        </is>
      </c>
      <c r="E288" s="25" t="inlineStr">
        <is>
          <t>Cobrable</t>
        </is>
      </c>
      <c r="F288" s="21">
        <f>'APNA-370 (NOx)'!$U$36</f>
        <v/>
      </c>
      <c r="G288" s="21">
        <f>'APNA-370 (NOx)'!$V$36</f>
        <v/>
      </c>
      <c r="H288" s="22">
        <f>'APNA-370 (NOx)'!$Z$36</f>
        <v/>
      </c>
    </row>
    <row r="289" ht="30" customHeight="1">
      <c r="A289" s="20" t="inlineStr">
        <is>
          <t>APNA-370 (NOx)</t>
        </is>
      </c>
      <c r="B289" s="21" t="inlineStr">
        <is>
          <t>4.3.1</t>
        </is>
      </c>
      <c r="C289" s="20">
        <f>'APNA-370 (NOx)'!$B$37</f>
        <v/>
      </c>
      <c r="D289" s="22" t="inlineStr">
        <is>
          <t>Tanque de condensación neumático (Buffer Tank)</t>
        </is>
      </c>
      <c r="E289" s="24" t="inlineStr">
        <is>
          <t>Bloqueante</t>
        </is>
      </c>
      <c r="F289" s="21">
        <f>'APNA-370 (NOx)'!$U$37</f>
        <v/>
      </c>
      <c r="G289" s="21">
        <f>'APNA-370 (NOx)'!$V$37</f>
        <v/>
      </c>
      <c r="H289" s="22">
        <f>'APNA-370 (NOx)'!$Z$37</f>
        <v/>
      </c>
    </row>
    <row r="290" ht="30" customHeight="1">
      <c r="A290" s="20" t="inlineStr">
        <is>
          <t>APNA-370 (NOx)</t>
        </is>
      </c>
      <c r="B290" s="21" t="inlineStr">
        <is>
          <t>4.3.2</t>
        </is>
      </c>
      <c r="C290" s="20">
        <f>'APNA-370 (NOx)'!$B$38</f>
        <v/>
      </c>
      <c r="D290" s="22" t="inlineStr">
        <is>
          <t>Unidad deshumidificadora de membrana (PPD-1)</t>
        </is>
      </c>
      <c r="E290" s="25" t="inlineStr">
        <is>
          <t>Cobrable</t>
        </is>
      </c>
      <c r="F290" s="21">
        <f>'APNA-370 (NOx)'!$U$38</f>
        <v/>
      </c>
      <c r="G290" s="21">
        <f>'APNA-370 (NOx)'!$V$38</f>
        <v/>
      </c>
      <c r="H290" s="22">
        <f>'APNA-370 (NOx)'!$Z$38</f>
        <v/>
      </c>
    </row>
    <row r="291" ht="30" customHeight="1">
      <c r="A291" s="20" t="inlineStr">
        <is>
          <t>APNA-370 (NOx)</t>
        </is>
      </c>
      <c r="B291" s="21" t="inlineStr">
        <is>
          <t>5.1.1</t>
        </is>
      </c>
      <c r="C291" s="20">
        <f>'APNA-370 (NOx)'!$B$39</f>
        <v/>
      </c>
      <c r="D291" s="22" t="inlineStr">
        <is>
          <t>Bomba de muestreo neumática de doble cabezal (GD-6EH)</t>
        </is>
      </c>
      <c r="E291" s="25" t="inlineStr">
        <is>
          <t>Cobrable</t>
        </is>
      </c>
      <c r="F291" s="21">
        <f>'APNA-370 (NOx)'!$U$39</f>
        <v/>
      </c>
      <c r="G291" s="21">
        <f>'APNA-370 (NOx)'!$V$39</f>
        <v/>
      </c>
      <c r="H291" s="22">
        <f>'APNA-370 (NOx)'!$Z$39</f>
        <v/>
      </c>
    </row>
    <row r="292" ht="30" customHeight="1">
      <c r="A292" s="20" t="inlineStr">
        <is>
          <t>APNA-370 (NOx)</t>
        </is>
      </c>
      <c r="B292" s="21" t="inlineStr">
        <is>
          <t>5.1.2</t>
        </is>
      </c>
      <c r="C292" s="20">
        <f>'APNA-370 (NOx)'!$B$40</f>
        <v/>
      </c>
      <c r="D292" s="22" t="inlineStr">
        <is>
          <t>Ensamblaje del diafragma de la bomba (P-1-D)</t>
        </is>
      </c>
      <c r="E292" s="25" t="inlineStr">
        <is>
          <t>Cobrable</t>
        </is>
      </c>
      <c r="F292" s="21">
        <f>'APNA-370 (NOx)'!$U$40</f>
        <v/>
      </c>
      <c r="G292" s="21">
        <f>'APNA-370 (NOx)'!$V$40</f>
        <v/>
      </c>
      <c r="H292" s="22">
        <f>'APNA-370 (NOx)'!$Z$40</f>
        <v/>
      </c>
    </row>
    <row r="293" ht="30" customHeight="1">
      <c r="A293" s="20" t="inlineStr">
        <is>
          <t>APNA-370 (NOx)</t>
        </is>
      </c>
      <c r="B293" s="21" t="inlineStr">
        <is>
          <t>5.1.3</t>
        </is>
      </c>
      <c r="C293" s="20">
        <f>'APNA-370 (NOx)'!$B$41</f>
        <v/>
      </c>
      <c r="D293" s="22" t="inlineStr">
        <is>
          <t>Empaque tipo válvula (Flapper valve)</t>
        </is>
      </c>
      <c r="E293" s="25" t="inlineStr">
        <is>
          <t>Cobrable</t>
        </is>
      </c>
      <c r="F293" s="21">
        <f>'APNA-370 (NOx)'!$U$41</f>
        <v/>
      </c>
      <c r="G293" s="21">
        <f>'APNA-370 (NOx)'!$V$41</f>
        <v/>
      </c>
      <c r="H293" s="22">
        <f>'APNA-370 (NOx)'!$Z$41</f>
        <v/>
      </c>
    </row>
    <row r="294" ht="30" customHeight="1">
      <c r="A294" s="20" t="inlineStr">
        <is>
          <t>APNA-370 (NOx)</t>
        </is>
      </c>
      <c r="B294" s="21" t="inlineStr">
        <is>
          <t>5.2.1</t>
        </is>
      </c>
      <c r="C294" s="20">
        <f>'APNA-370 (NOx)'!$B$42</f>
        <v/>
      </c>
      <c r="D294" s="22" t="inlineStr">
        <is>
          <t>Valor medido del flujo de muestra (Sample Flow)</t>
        </is>
      </c>
      <c r="E294" s="24" t="inlineStr">
        <is>
          <t>Bloqueante</t>
        </is>
      </c>
      <c r="F294" s="21">
        <f>'APNA-370 (NOx)'!$U$42</f>
        <v/>
      </c>
      <c r="G294" s="21">
        <f>'APNA-370 (NOx)'!$V$42</f>
        <v/>
      </c>
      <c r="H294" s="22">
        <f>'APNA-370 (NOx)'!$Z$42</f>
        <v/>
      </c>
    </row>
    <row r="295" ht="30" customHeight="1">
      <c r="A295" s="20" t="inlineStr">
        <is>
          <t>APNA-370 (NOx)</t>
        </is>
      </c>
      <c r="B295" s="21" t="inlineStr">
        <is>
          <t>5.2.2</t>
        </is>
      </c>
      <c r="C295" s="20">
        <f>'APNA-370 (NOx)'!$B$43</f>
        <v/>
      </c>
      <c r="D295" s="22" t="inlineStr">
        <is>
          <t>Límites de alarma de flujo de muestra (FLO1)</t>
        </is>
      </c>
      <c r="E295" s="23" t="inlineStr">
        <is>
          <t>Alerta</t>
        </is>
      </c>
      <c r="F295" s="21">
        <f>'APNA-370 (NOx)'!$U$43</f>
        <v/>
      </c>
      <c r="G295" s="21">
        <f>'APNA-370 (NOx)'!$V$43</f>
        <v/>
      </c>
      <c r="H295" s="22">
        <f>'APNA-370 (NOx)'!$Z$43</f>
        <v/>
      </c>
    </row>
    <row r="296" ht="30" customHeight="1">
      <c r="A296" s="20" t="inlineStr">
        <is>
          <t>APNA-370 (NOx)</t>
        </is>
      </c>
      <c r="B296" s="21" t="inlineStr">
        <is>
          <t>5.2.3</t>
        </is>
      </c>
      <c r="C296" s="20">
        <f>'APNA-370 (NOx)'!$B$44</f>
        <v/>
      </c>
      <c r="D296" s="22" t="inlineStr">
        <is>
          <t>Caudal objetivo para ajuste manual con flujómetro</t>
        </is>
      </c>
      <c r="E296" s="24" t="inlineStr">
        <is>
          <t>Bloqueante</t>
        </is>
      </c>
      <c r="F296" s="21">
        <f>'APNA-370 (NOx)'!$U$44</f>
        <v/>
      </c>
      <c r="G296" s="21">
        <f>'APNA-370 (NOx)'!$V$44</f>
        <v/>
      </c>
      <c r="H296" s="22">
        <f>'APNA-370 (NOx)'!$Z$44</f>
        <v/>
      </c>
    </row>
    <row r="297" ht="30" customHeight="1">
      <c r="A297" s="20" t="inlineStr">
        <is>
          <t>APNA-370 (NOx)</t>
        </is>
      </c>
      <c r="B297" s="21" t="inlineStr">
        <is>
          <t>5.3.1</t>
        </is>
      </c>
      <c r="C297" s="20">
        <f>'APNA-370 (NOx)'!$B$45</f>
        <v/>
      </c>
      <c r="D297" s="22" t="inlineStr">
        <is>
          <t>Orificios de restricción de flujo (Critical Orifice)</t>
        </is>
      </c>
      <c r="E297" s="24" t="inlineStr">
        <is>
          <t>Bloqueante</t>
        </is>
      </c>
      <c r="F297" s="21">
        <f>'APNA-370 (NOx)'!$U$45</f>
        <v/>
      </c>
      <c r="G297" s="21">
        <f>'APNA-370 (NOx)'!$V$45</f>
        <v/>
      </c>
      <c r="H297" s="22">
        <f>'APNA-370 (NOx)'!$Z$45</f>
        <v/>
      </c>
    </row>
    <row r="298" ht="30" customHeight="1">
      <c r="A298" s="20" t="inlineStr">
        <is>
          <t>APNA-370 (NOx)</t>
        </is>
      </c>
      <c r="B298" s="21" t="inlineStr">
        <is>
          <t>5.4.1</t>
        </is>
      </c>
      <c r="C298" s="20">
        <f>'APNA-370 (NOx)'!$B$46</f>
        <v/>
      </c>
      <c r="D298" s="22" t="inlineStr">
        <is>
          <t>Estado mecánico de las electroválvulas (SV-2, SV-3, SV-11)</t>
        </is>
      </c>
      <c r="E298" s="24" t="inlineStr">
        <is>
          <t>Bloqueante</t>
        </is>
      </c>
      <c r="F298" s="21">
        <f>'APNA-370 (NOx)'!$U$46</f>
        <v/>
      </c>
      <c r="G298" s="21">
        <f>'APNA-370 (NOx)'!$V$46</f>
        <v/>
      </c>
      <c r="H298" s="22">
        <f>'APNA-370 (NOx)'!$Z$46</f>
        <v/>
      </c>
    </row>
    <row r="299" ht="30" customHeight="1">
      <c r="A299" s="20" t="inlineStr">
        <is>
          <t>APNA-370 (NOx)</t>
        </is>
      </c>
      <c r="B299" s="21" t="inlineStr">
        <is>
          <t>5.5.1</t>
        </is>
      </c>
      <c r="C299" s="20">
        <f>'APNA-370 (NOx)'!$B$47</f>
        <v/>
      </c>
      <c r="D299" s="22" t="inlineStr">
        <is>
          <t>Regulador de presión R-1</t>
        </is>
      </c>
      <c r="E299" s="24" t="inlineStr">
        <is>
          <t>Bloqueante</t>
        </is>
      </c>
      <c r="F299" s="21">
        <f>'APNA-370 (NOx)'!$U$47</f>
        <v/>
      </c>
      <c r="G299" s="21">
        <f>'APNA-370 (NOx)'!$V$47</f>
        <v/>
      </c>
      <c r="H299" s="22">
        <f>'APNA-370 (NOx)'!$Z$47</f>
        <v/>
      </c>
    </row>
    <row r="300" ht="30" customHeight="1">
      <c r="A300" s="20" t="inlineStr">
        <is>
          <t>APNA-370 (NOx)</t>
        </is>
      </c>
      <c r="B300" s="21" t="inlineStr">
        <is>
          <t>5.5.2</t>
        </is>
      </c>
      <c r="C300" s="20">
        <f>'APNA-370 (NOx)'!$B$48</f>
        <v/>
      </c>
      <c r="D300" s="22" t="inlineStr">
        <is>
          <t>Regulador de vacío R-2 (presión de la bomba)</t>
        </is>
      </c>
      <c r="E300" s="24" t="inlineStr">
        <is>
          <t>Bloqueante</t>
        </is>
      </c>
      <c r="F300" s="21">
        <f>'APNA-370 (NOx)'!$U$48</f>
        <v/>
      </c>
      <c r="G300" s="21">
        <f>'APNA-370 (NOx)'!$V$48</f>
        <v/>
      </c>
      <c r="H300" s="22">
        <f>'APNA-370 (NOx)'!$Z$48</f>
        <v/>
      </c>
    </row>
    <row r="301" ht="30" customHeight="1">
      <c r="A301" s="20" t="inlineStr">
        <is>
          <t>APNA-370 (NOx)</t>
        </is>
      </c>
      <c r="B301" s="21" t="inlineStr">
        <is>
          <t>5.5.3</t>
        </is>
      </c>
      <c r="C301" s="20">
        <f>'APNA-370 (NOx)'!$B$49</f>
        <v/>
      </c>
      <c r="D301" s="22" t="inlineStr">
        <is>
          <t>Regulador diferencial R-3</t>
        </is>
      </c>
      <c r="E301" s="24" t="inlineStr">
        <is>
          <t>Bloqueante</t>
        </is>
      </c>
      <c r="F301" s="21">
        <f>'APNA-370 (NOx)'!$U$49</f>
        <v/>
      </c>
      <c r="G301" s="21">
        <f>'APNA-370 (NOx)'!$V$49</f>
        <v/>
      </c>
      <c r="H301" s="22">
        <f>'APNA-370 (NOx)'!$Z$49</f>
        <v/>
      </c>
    </row>
    <row r="302" ht="30" customHeight="1">
      <c r="A302" s="20" t="inlineStr">
        <is>
          <t>APNA-370 (NOx)</t>
        </is>
      </c>
      <c r="B302" s="21" t="inlineStr">
        <is>
          <t>5.5.4</t>
        </is>
      </c>
      <c r="C302" s="20">
        <f>'APNA-370 (NOx)'!$B$50</f>
        <v/>
      </c>
      <c r="D302" s="22" t="inlineStr">
        <is>
          <t>Presión absoluta del detector (límite de alarma PRE1)</t>
        </is>
      </c>
      <c r="E302" s="24" t="inlineStr">
        <is>
          <t>Bloqueante</t>
        </is>
      </c>
      <c r="F302" s="21">
        <f>'APNA-370 (NOx)'!$U$50</f>
        <v/>
      </c>
      <c r="G302" s="21">
        <f>'APNA-370 (NOx)'!$V$50</f>
        <v/>
      </c>
      <c r="H302" s="22">
        <f>'APNA-370 (NOx)'!$Z$50</f>
        <v/>
      </c>
    </row>
    <row r="303" ht="30" customHeight="1">
      <c r="A303" s="20" t="inlineStr">
        <is>
          <t>APNA-370 (NOx)</t>
        </is>
      </c>
      <c r="B303" s="21" t="inlineStr">
        <is>
          <t>6.1.1</t>
        </is>
      </c>
      <c r="C303" s="20">
        <f>'APNA-370 (NOx)'!$B$51</f>
        <v/>
      </c>
      <c r="D303" s="22" t="inlineStr">
        <is>
          <t>Hermeticidad del reactor</t>
        </is>
      </c>
      <c r="E303" s="24" t="inlineStr">
        <is>
          <t>Bloqueante</t>
        </is>
      </c>
      <c r="F303" s="21">
        <f>'APNA-370 (NOx)'!$U$51</f>
        <v/>
      </c>
      <c r="G303" s="21">
        <f>'APNA-370 (NOx)'!$V$51</f>
        <v/>
      </c>
      <c r="H303" s="22">
        <f>'APNA-370 (NOx)'!$Z$51</f>
        <v/>
      </c>
    </row>
    <row r="304" ht="30" customHeight="1">
      <c r="A304" s="20" t="inlineStr">
        <is>
          <t>APNA-370 (NOx)</t>
        </is>
      </c>
      <c r="B304" s="21" t="inlineStr">
        <is>
          <t>6.2.1</t>
        </is>
      </c>
      <c r="C304" s="20">
        <f>'APNA-370 (NOx)'!$B$52</f>
        <v/>
      </c>
      <c r="D304" s="22" t="inlineStr">
        <is>
          <t>Tubo catalizador de reducción (COM-1)</t>
        </is>
      </c>
      <c r="E304" s="24" t="inlineStr">
        <is>
          <t>Bloqueante</t>
        </is>
      </c>
      <c r="F304" s="21">
        <f>'APNA-370 (NOx)'!$U$52</f>
        <v/>
      </c>
      <c r="G304" s="21">
        <f>'APNA-370 (NOx)'!$V$52</f>
        <v/>
      </c>
      <c r="H304" s="22">
        <f>'APNA-370 (NOx)'!$Z$52</f>
        <v/>
      </c>
    </row>
    <row r="305" ht="30" customHeight="1">
      <c r="A305" s="20" t="inlineStr">
        <is>
          <t>APNA-370 (NOx)</t>
        </is>
      </c>
      <c r="B305" s="21" t="inlineStr">
        <is>
          <t>6.3.1</t>
        </is>
      </c>
      <c r="C305" s="20">
        <f>'APNA-370 (NOx)'!$B$53</f>
        <v/>
      </c>
      <c r="D305" s="22" t="inlineStr">
        <is>
          <t>Tarjeta de potencia del ozonizador (AP-UVP-03)</t>
        </is>
      </c>
      <c r="E305" s="24" t="inlineStr">
        <is>
          <t>Bloqueante</t>
        </is>
      </c>
      <c r="F305" s="21">
        <f>'APNA-370 (NOx)'!$U$53</f>
        <v/>
      </c>
      <c r="G305" s="21">
        <f>'APNA-370 (NOx)'!$V$53</f>
        <v/>
      </c>
      <c r="H305" s="22">
        <f>'APNA-370 (NOx)'!$Z$53</f>
        <v/>
      </c>
    </row>
    <row r="306" ht="30" customHeight="1">
      <c r="A306" s="20" t="inlineStr">
        <is>
          <t>APNA-370 (NOx)</t>
        </is>
      </c>
      <c r="B306" s="21" t="inlineStr">
        <is>
          <t>6.3.2</t>
        </is>
      </c>
      <c r="C306" s="20">
        <f>'APNA-370 (NOx)'!$B$54</f>
        <v/>
      </c>
      <c r="D306" s="22" t="inlineStr">
        <is>
          <t>Protector de PTFE de la lámpara UV (UV liner)</t>
        </is>
      </c>
      <c r="E306" s="25" t="inlineStr">
        <is>
          <t>Cobrable</t>
        </is>
      </c>
      <c r="F306" s="21">
        <f>'APNA-370 (NOx)'!$U$54</f>
        <v/>
      </c>
      <c r="G306" s="21">
        <f>'APNA-370 (NOx)'!$V$54</f>
        <v/>
      </c>
      <c r="H306" s="22">
        <f>'APNA-370 (NOx)'!$Z$54</f>
        <v/>
      </c>
    </row>
    <row r="307" ht="30" customHeight="1">
      <c r="A307" s="20" t="inlineStr">
        <is>
          <t>APNA-370 (NOx)</t>
        </is>
      </c>
      <c r="B307" s="21" t="inlineStr">
        <is>
          <t>6.4.1</t>
        </is>
      </c>
      <c r="C307" s="20">
        <f>'APNA-370 (NOx)'!$B$55</f>
        <v/>
      </c>
      <c r="D307" s="22" t="inlineStr">
        <is>
          <t>Detector de luz de reacción</t>
        </is>
      </c>
      <c r="E307" s="24" t="inlineStr">
        <is>
          <t>Bloqueante</t>
        </is>
      </c>
      <c r="F307" s="21">
        <f>'APNA-370 (NOx)'!$U$55</f>
        <v/>
      </c>
      <c r="G307" s="21">
        <f>'APNA-370 (NOx)'!$V$55</f>
        <v/>
      </c>
      <c r="H307" s="22">
        <f>'APNA-370 (NOx)'!$Z$55</f>
        <v/>
      </c>
    </row>
    <row r="308" ht="30" customHeight="1">
      <c r="A308" s="20" t="inlineStr">
        <is>
          <t>APNA-370 (NOx)</t>
        </is>
      </c>
      <c r="B308" s="21" t="inlineStr">
        <is>
          <t>6.4.2</t>
        </is>
      </c>
      <c r="C308" s="20">
        <f>'APNA-370 (NOx)'!$B$56</f>
        <v/>
      </c>
      <c r="D308" s="22" t="inlineStr">
        <is>
          <t>Limpieza de filtros ópticos y ventana de celda</t>
        </is>
      </c>
      <c r="E308" s="25" t="inlineStr">
        <is>
          <t>Cobrable</t>
        </is>
      </c>
      <c r="F308" s="21">
        <f>'APNA-370 (NOx)'!$U$56</f>
        <v/>
      </c>
      <c r="G308" s="21">
        <f>'APNA-370 (NOx)'!$V$56</f>
        <v/>
      </c>
      <c r="H308" s="22">
        <f>'APNA-370 (NOx)'!$Z$56</f>
        <v/>
      </c>
    </row>
    <row r="309" ht="30" customHeight="1">
      <c r="A309" s="20" t="inlineStr">
        <is>
          <t>APNA-370 (NOx)</t>
        </is>
      </c>
      <c r="B309" s="21" t="inlineStr">
        <is>
          <t>6.5.1</t>
        </is>
      </c>
      <c r="C309" s="20">
        <f>'APNA-370 (NOx)'!$B$57</f>
        <v/>
      </c>
      <c r="D309" s="22" t="inlineStr">
        <is>
          <t>Catalizador de ozono de escape (DO-1 / Deozonizer)</t>
        </is>
      </c>
      <c r="E309" s="24" t="inlineStr">
        <is>
          <t>Bloqueante</t>
        </is>
      </c>
      <c r="F309" s="21">
        <f>'APNA-370 (NOx)'!$U$57</f>
        <v/>
      </c>
      <c r="G309" s="21">
        <f>'APNA-370 (NOx)'!$V$57</f>
        <v/>
      </c>
      <c r="H309" s="22">
        <f>'APNA-370 (NOx)'!$Z$57</f>
        <v/>
      </c>
    </row>
    <row r="310" ht="30" customHeight="1">
      <c r="A310" s="20" t="inlineStr">
        <is>
          <t>APNA-370 (NOx)</t>
        </is>
      </c>
      <c r="B310" s="21" t="inlineStr">
        <is>
          <t>6.6.1</t>
        </is>
      </c>
      <c r="C310" s="20">
        <f>'APNA-370 (NOx)'!$B$58</f>
        <v/>
      </c>
      <c r="D310" s="22" t="inlineStr">
        <is>
          <t>Contenedores de gel de sílice (Dryer D-1)</t>
        </is>
      </c>
      <c r="E310" s="25" t="inlineStr">
        <is>
          <t>Cobrable</t>
        </is>
      </c>
      <c r="F310" s="21">
        <f>'APNA-370 (NOx)'!$U$58</f>
        <v/>
      </c>
      <c r="G310" s="21">
        <f>'APNA-370 (NOx)'!$V$58</f>
        <v/>
      </c>
      <c r="H310" s="22">
        <f>'APNA-370 (NOx)'!$Z$58</f>
        <v/>
      </c>
    </row>
    <row r="311" ht="30" customHeight="1">
      <c r="A311" s="20" t="inlineStr">
        <is>
          <t>APNA-370 (NOx)</t>
        </is>
      </c>
      <c r="B311" s="21" t="inlineStr">
        <is>
          <t>6.6.2</t>
        </is>
      </c>
      <c r="C311" s="20">
        <f>'APNA-370 (NOx)'!$B$59</f>
        <v/>
      </c>
      <c r="D311" s="22" t="inlineStr">
        <is>
          <t>Temperatura de reactivación del cilindro secador</t>
        </is>
      </c>
      <c r="E311" s="24" t="inlineStr">
        <is>
          <t>Bloqueante</t>
        </is>
      </c>
      <c r="F311" s="21">
        <f>'APNA-370 (NOx)'!$U$59</f>
        <v/>
      </c>
      <c r="G311" s="21">
        <f>'APNA-370 (NOx)'!$V$59</f>
        <v/>
      </c>
      <c r="H311" s="22">
        <f>'APNA-370 (NOx)'!$Z$59</f>
        <v/>
      </c>
    </row>
    <row r="312" ht="30" customHeight="1">
      <c r="A312" s="20" t="inlineStr">
        <is>
          <t>APNA-370 (NOx)</t>
        </is>
      </c>
      <c r="B312" s="21" t="inlineStr">
        <is>
          <t>7.1.1</t>
        </is>
      </c>
      <c r="C312" s="20">
        <f>'APNA-370 (NOx)'!$B$60</f>
        <v/>
      </c>
      <c r="D312" s="22" t="inlineStr">
        <is>
          <t>Tarjeta CPU (AP-CPU-01 / AP-CPU-02)</t>
        </is>
      </c>
      <c r="E312" s="24" t="inlineStr">
        <is>
          <t>Bloqueante</t>
        </is>
      </c>
      <c r="F312" s="21">
        <f>'APNA-370 (NOx)'!$U$60</f>
        <v/>
      </c>
      <c r="G312" s="21">
        <f>'APNA-370 (NOx)'!$V$60</f>
        <v/>
      </c>
      <c r="H312" s="22">
        <f>'APNA-370 (NOx)'!$Z$60</f>
        <v/>
      </c>
    </row>
    <row r="313" ht="30" customHeight="1">
      <c r="A313" s="20" t="inlineStr">
        <is>
          <t>APNA-370 (NOx)</t>
        </is>
      </c>
      <c r="B313" s="21" t="inlineStr">
        <is>
          <t>7.1.2</t>
        </is>
      </c>
      <c r="C313" s="20">
        <f>'APNA-370 (NOx)'!$B$61</f>
        <v/>
      </c>
      <c r="D313" s="22" t="inlineStr">
        <is>
          <t>Tarjeta de conversión analógica-digital (AP-ADC-05)</t>
        </is>
      </c>
      <c r="E313" s="24" t="inlineStr">
        <is>
          <t>Bloqueante</t>
        </is>
      </c>
      <c r="F313" s="21">
        <f>'APNA-370 (NOx)'!$U$61</f>
        <v/>
      </c>
      <c r="G313" s="21">
        <f>'APNA-370 (NOx)'!$V$61</f>
        <v/>
      </c>
      <c r="H313" s="22">
        <f>'APNA-370 (NOx)'!$Z$61</f>
        <v/>
      </c>
    </row>
    <row r="314" ht="30" customHeight="1">
      <c r="A314" s="20" t="inlineStr">
        <is>
          <t>APNA-370 (NOx)</t>
        </is>
      </c>
      <c r="B314" s="21" t="inlineStr">
        <is>
          <t>7.1.3</t>
        </is>
      </c>
      <c r="C314" s="20">
        <f>'APNA-370 (NOx)'!$B$62</f>
        <v/>
      </c>
      <c r="D314" s="22" t="inlineStr">
        <is>
          <t>Tarjeta de relés y contactos (AP-RPL-02 / AP-RPL-02A)</t>
        </is>
      </c>
      <c r="E314" s="24" t="inlineStr">
        <is>
          <t>Bloqueante</t>
        </is>
      </c>
      <c r="F314" s="21">
        <f>'APNA-370 (NOx)'!$U$62</f>
        <v/>
      </c>
      <c r="G314" s="21">
        <f>'APNA-370 (NOx)'!$V$62</f>
        <v/>
      </c>
      <c r="H314" s="22">
        <f>'APNA-370 (NOx)'!$Z$62</f>
        <v/>
      </c>
    </row>
    <row r="315" ht="30" customHeight="1">
      <c r="A315" s="20" t="inlineStr">
        <is>
          <t>APNA-370 (NOx)</t>
        </is>
      </c>
      <c r="B315" s="21" t="inlineStr">
        <is>
          <t>7.1.4</t>
        </is>
      </c>
      <c r="C315" s="20">
        <f>'APNA-370 (NOx)'!$B$63</f>
        <v/>
      </c>
      <c r="D315" s="22" t="inlineStr">
        <is>
          <t>Tarjeta de comunicación serial RS-232C (AP-SIO-04)</t>
        </is>
      </c>
      <c r="E315" s="23" t="inlineStr">
        <is>
          <t>Alerta</t>
        </is>
      </c>
      <c r="F315" s="21">
        <f>'APNA-370 (NOx)'!$U$63</f>
        <v/>
      </c>
      <c r="G315" s="21">
        <f>'APNA-370 (NOx)'!$V$63</f>
        <v/>
      </c>
      <c r="H315" s="22">
        <f>'APNA-370 (NOx)'!$Z$63</f>
        <v/>
      </c>
    </row>
    <row r="316" ht="30" customHeight="1">
      <c r="A316" s="20" t="inlineStr">
        <is>
          <t>APNA-370 (NOx)</t>
        </is>
      </c>
      <c r="B316" s="21" t="inlineStr">
        <is>
          <t>7.2.1</t>
        </is>
      </c>
      <c r="C316" s="20">
        <f>'APNA-370 (NOx)'!$B$64</f>
        <v/>
      </c>
      <c r="D316" s="22" t="inlineStr">
        <is>
          <t>Pila de memoria y reloj RTC</t>
        </is>
      </c>
      <c r="E316" s="25" t="inlineStr">
        <is>
          <t>Cobrable</t>
        </is>
      </c>
      <c r="F316" s="21">
        <f>'APNA-370 (NOx)'!$U$64</f>
        <v/>
      </c>
      <c r="G316" s="21">
        <f>'APNA-370 (NOx)'!$V$64</f>
        <v/>
      </c>
      <c r="H316" s="22">
        <f>'APNA-370 (NOx)'!$Z$64</f>
        <v/>
      </c>
    </row>
    <row r="317" ht="30" customHeight="1">
      <c r="A317" s="20" t="inlineStr">
        <is>
          <t>APNA-370 (NOx)</t>
        </is>
      </c>
      <c r="B317" s="21" t="inlineStr">
        <is>
          <t>7.3.1</t>
        </is>
      </c>
      <c r="C317" s="20">
        <f>'APNA-370 (NOx)'!$B$65</f>
        <v/>
      </c>
      <c r="D317" s="22" t="inlineStr">
        <is>
          <t>Cintas de datos planas (Tape Wire)</t>
        </is>
      </c>
      <c r="E317" s="25" t="inlineStr">
        <is>
          <t>Cobrable</t>
        </is>
      </c>
      <c r="F317" s="21">
        <f>'APNA-370 (NOx)'!$U$65</f>
        <v/>
      </c>
      <c r="G317" s="21">
        <f>'APNA-370 (NOx)'!$V$65</f>
        <v/>
      </c>
      <c r="H317" s="22">
        <f>'APNA-370 (NOx)'!$Z$65</f>
        <v/>
      </c>
    </row>
    <row r="318" ht="30" customHeight="1">
      <c r="A318" s="20" t="inlineStr">
        <is>
          <t>APNA-370 (NOx)</t>
        </is>
      </c>
      <c r="B318" s="21" t="inlineStr">
        <is>
          <t>7.3.2</t>
        </is>
      </c>
      <c r="C318" s="20">
        <f>'APNA-370 (NOx)'!$B$66</f>
        <v/>
      </c>
      <c r="D318" s="22" t="inlineStr">
        <is>
          <t>Panel digitalizador táctil (Touch Panel)</t>
        </is>
      </c>
      <c r="E318" s="25" t="inlineStr">
        <is>
          <t>Cobrable</t>
        </is>
      </c>
      <c r="F318" s="21">
        <f>'APNA-370 (NOx)'!$U$66</f>
        <v/>
      </c>
      <c r="G318" s="21">
        <f>'APNA-370 (NOx)'!$V$66</f>
        <v/>
      </c>
      <c r="H318" s="22">
        <f>'APNA-370 (NOx)'!$Z$66</f>
        <v/>
      </c>
    </row>
    <row r="319" ht="30" customHeight="1">
      <c r="A319" s="20" t="inlineStr">
        <is>
          <t>APNA-370 (NOx)</t>
        </is>
      </c>
      <c r="B319" s="21" t="inlineStr">
        <is>
          <t>7.4.1</t>
        </is>
      </c>
      <c r="C319" s="20">
        <f>'APNA-370 (NOx)'!$B$67</f>
        <v/>
      </c>
      <c r="D319" s="22" t="inlineStr">
        <is>
          <t>Señales de concentración de salida (Mom/Avg)</t>
        </is>
      </c>
      <c r="E319" s="24" t="inlineStr">
        <is>
          <t>Bloqueante</t>
        </is>
      </c>
      <c r="F319" s="21">
        <f>'APNA-370 (NOx)'!$U$67</f>
        <v/>
      </c>
      <c r="G319" s="21">
        <f>'APNA-370 (NOx)'!$V$67</f>
        <v/>
      </c>
      <c r="H319" s="22">
        <f>'APNA-370 (NOx)'!$Z$67</f>
        <v/>
      </c>
    </row>
    <row r="320" ht="30" customHeight="1">
      <c r="A320" s="20" t="inlineStr">
        <is>
          <t>APNA-370 (NOx)</t>
        </is>
      </c>
      <c r="B320" s="21" t="inlineStr">
        <is>
          <t>7.5.1</t>
        </is>
      </c>
      <c r="C320" s="20">
        <f>'APNA-370 (NOx)'!$B$68</f>
        <v/>
      </c>
      <c r="D320" s="22" t="inlineStr">
        <is>
          <t>Fusibles de entrada de red AC</t>
        </is>
      </c>
      <c r="E320" s="24" t="inlineStr">
        <is>
          <t>Bloqueante</t>
        </is>
      </c>
      <c r="F320" s="21">
        <f>'APNA-370 (NOx)'!$U$68</f>
        <v/>
      </c>
      <c r="G320" s="21">
        <f>'APNA-370 (NOx)'!$V$68</f>
        <v/>
      </c>
      <c r="H320" s="22">
        <f>'APNA-370 (NOx)'!$Z$68</f>
        <v/>
      </c>
    </row>
    <row r="321" ht="30" customHeight="1">
      <c r="A321" s="20" t="inlineStr">
        <is>
          <t>APNA-370 (NOx)</t>
        </is>
      </c>
      <c r="B321" s="21" t="inlineStr">
        <is>
          <t>8.1.1</t>
        </is>
      </c>
      <c r="C321" s="20">
        <f>'APNA-370 (NOx)'!$B$69</f>
        <v/>
      </c>
      <c r="D321" s="22" t="inlineStr">
        <is>
          <t>Filtro de aire en línea del ozonizador</t>
        </is>
      </c>
      <c r="E321" s="25" t="inlineStr">
        <is>
          <t>Cobrable</t>
        </is>
      </c>
      <c r="F321" s="21">
        <f>'APNA-370 (NOx)'!$U$69</f>
        <v/>
      </c>
      <c r="G321" s="21">
        <f>'APNA-370 (NOx)'!$V$69</f>
        <v/>
      </c>
      <c r="H321" s="22">
        <f>'APNA-370 (NOx)'!$Z$69</f>
        <v/>
      </c>
    </row>
    <row r="322" ht="30" customHeight="1">
      <c r="A322" s="20" t="inlineStr">
        <is>
          <t>APNA-370 (NOx)</t>
        </is>
      </c>
      <c r="B322" s="21" t="inlineStr">
        <is>
          <t>8.2.1</t>
        </is>
      </c>
      <c r="C322" s="20">
        <f>'APNA-370 (NOx)'!$B$70</f>
        <v/>
      </c>
      <c r="D322" s="22" t="inlineStr">
        <is>
          <t>Depurador de gases de escape (Scrubber BAA-050)</t>
        </is>
      </c>
      <c r="E322" s="25" t="inlineStr">
        <is>
          <t>Cobrable</t>
        </is>
      </c>
      <c r="F322" s="21">
        <f>'APNA-370 (NOx)'!$U$70</f>
        <v/>
      </c>
      <c r="G322" s="21">
        <f>'APNA-370 (NOx)'!$V$70</f>
        <v/>
      </c>
      <c r="H322" s="22">
        <f>'APNA-370 (NOx)'!$Z$70</f>
        <v/>
      </c>
    </row>
    <row r="323" ht="30" customHeight="1">
      <c r="A323" s="20" t="inlineStr">
        <is>
          <t>APNA-370 (NOx)</t>
        </is>
      </c>
      <c r="B323" s="21" t="inlineStr">
        <is>
          <t>8.3.1</t>
        </is>
      </c>
      <c r="C323" s="20">
        <f>'APNA-370 (NOx)'!$B$71</f>
        <v/>
      </c>
      <c r="D323" s="22" t="inlineStr">
        <is>
          <t>Filtros de esponja de ventilación del chasis</t>
        </is>
      </c>
      <c r="E323" s="25" t="inlineStr">
        <is>
          <t>Cobrable</t>
        </is>
      </c>
      <c r="F323" s="21">
        <f>'APNA-370 (NOx)'!$U$71</f>
        <v/>
      </c>
      <c r="G323" s="21">
        <f>'APNA-370 (NOx)'!$V$71</f>
        <v/>
      </c>
      <c r="H323" s="22">
        <f>'APNA-370 (NOx)'!$Z$71</f>
        <v/>
      </c>
    </row>
    <row r="324" ht="30" customHeight="1">
      <c r="A324" s="20" t="inlineStr">
        <is>
          <t>APNA-370 (NOx)</t>
        </is>
      </c>
      <c r="B324" s="21" t="inlineStr">
        <is>
          <t>9.1.1</t>
        </is>
      </c>
      <c r="C324" s="20">
        <f>'APNA-370 (NOx)'!$B$72</f>
        <v/>
      </c>
      <c r="D324" s="22" t="inlineStr">
        <is>
          <t>Temperatura del detector (DETECTOR TEMP)</t>
        </is>
      </c>
      <c r="E324" s="24" t="inlineStr">
        <is>
          <t>Bloqueante</t>
        </is>
      </c>
      <c r="F324" s="21">
        <f>'APNA-370 (NOx)'!$U$72</f>
        <v/>
      </c>
      <c r="G324" s="21">
        <f>'APNA-370 (NOx)'!$V$72</f>
        <v/>
      </c>
      <c r="H324" s="22">
        <f>'APNA-370 (NOx)'!$Z$72</f>
        <v/>
      </c>
    </row>
    <row r="325" ht="30" customHeight="1">
      <c r="A325" s="20" t="inlineStr">
        <is>
          <t>APNA-370 (NOx)</t>
        </is>
      </c>
      <c r="B325" s="21" t="inlineStr">
        <is>
          <t>9.2.1</t>
        </is>
      </c>
      <c r="C325" s="20">
        <f>'APNA-370 (NOx)'!$B$73</f>
        <v/>
      </c>
      <c r="D325" s="22" t="inlineStr">
        <is>
          <t>Presión interna del detector (PUMP PRESS)</t>
        </is>
      </c>
      <c r="E325" s="24" t="inlineStr">
        <is>
          <t>Bloqueante</t>
        </is>
      </c>
      <c r="F325" s="21">
        <f>'APNA-370 (NOx)'!$U$73</f>
        <v/>
      </c>
      <c r="G325" s="21">
        <f>'APNA-370 (NOx)'!$V$73</f>
        <v/>
      </c>
      <c r="H325" s="22">
        <f>'APNA-370 (NOx)'!$Z$73</f>
        <v/>
      </c>
    </row>
    <row r="326" ht="30" customHeight="1">
      <c r="A326" s="20" t="inlineStr">
        <is>
          <t>APNA-370 (NOx)</t>
        </is>
      </c>
      <c r="B326" s="21" t="inlineStr">
        <is>
          <t>9.2.2</t>
        </is>
      </c>
      <c r="C326" s="20">
        <f>'APNA-370 (NOx)'!$B$74</f>
        <v/>
      </c>
      <c r="D326" s="22" t="inlineStr">
        <is>
          <t>Presión ambiental (AMBIENT PRESS)</t>
        </is>
      </c>
      <c r="E326" s="24" t="inlineStr">
        <is>
          <t>Bloqueante</t>
        </is>
      </c>
      <c r="F326" s="21">
        <f>'APNA-370 (NOx)'!$U$74</f>
        <v/>
      </c>
      <c r="G326" s="21">
        <f>'APNA-370 (NOx)'!$V$74</f>
        <v/>
      </c>
      <c r="H326" s="22">
        <f>'APNA-370 (NOx)'!$Z$74</f>
        <v/>
      </c>
    </row>
    <row r="327" ht="30" customHeight="1">
      <c r="A327" s="20" t="inlineStr">
        <is>
          <t>APNA-370 (NOx)</t>
        </is>
      </c>
      <c r="B327" s="21" t="inlineStr">
        <is>
          <t>9.3.1</t>
        </is>
      </c>
      <c r="C327" s="20">
        <f>'APNA-370 (NOx)'!$B$75</f>
        <v/>
      </c>
      <c r="D327" s="22" t="inlineStr">
        <is>
          <t>Canal de alimentación interna de 24 V DC</t>
        </is>
      </c>
      <c r="E327" s="24" t="inlineStr">
        <is>
          <t>Bloqueante</t>
        </is>
      </c>
      <c r="F327" s="21">
        <f>'APNA-370 (NOx)'!$U$75</f>
        <v/>
      </c>
      <c r="G327" s="21">
        <f>'APNA-370 (NOx)'!$V$75</f>
        <v/>
      </c>
      <c r="H327" s="22">
        <f>'APNA-370 (NOx)'!$Z$75</f>
        <v/>
      </c>
    </row>
    <row r="328" ht="30" customHeight="1">
      <c r="A328" s="20" t="inlineStr">
        <is>
          <t>APNA-370 (NOx)</t>
        </is>
      </c>
      <c r="B328" s="21" t="inlineStr">
        <is>
          <t>9.3.2</t>
        </is>
      </c>
      <c r="C328" s="20">
        <f>'APNA-370 (NOx)'!$B$76</f>
        <v/>
      </c>
      <c r="D328" s="22" t="inlineStr">
        <is>
          <t>Canal de alimentación interna de 5 V DC</t>
        </is>
      </c>
      <c r="E328" s="24" t="inlineStr">
        <is>
          <t>Bloqueante</t>
        </is>
      </c>
      <c r="F328" s="21">
        <f>'APNA-370 (NOx)'!$U$76</f>
        <v/>
      </c>
      <c r="G328" s="21">
        <f>'APNA-370 (NOx)'!$V$76</f>
        <v/>
      </c>
      <c r="H328" s="22">
        <f>'APNA-370 (NOx)'!$Z$76</f>
        <v/>
      </c>
    </row>
    <row r="329" ht="30" customHeight="1">
      <c r="A329" s="20" t="inlineStr">
        <is>
          <t>APNA-370 (NOx)</t>
        </is>
      </c>
      <c r="B329" s="21" t="inlineStr">
        <is>
          <t>10.1.1</t>
        </is>
      </c>
      <c r="C329" s="20">
        <f>'APNA-370 (NOx)'!$B$77</f>
        <v/>
      </c>
      <c r="D329" s="22" t="inlineStr">
        <is>
          <t>Dimensiones físicas externas</t>
        </is>
      </c>
      <c r="E329" s="23" t="inlineStr">
        <is>
          <t>Alerta</t>
        </is>
      </c>
      <c r="F329" s="21">
        <f>'APNA-370 (NOx)'!$U$77</f>
        <v/>
      </c>
      <c r="G329" s="21">
        <f>'APNA-370 (NOx)'!$V$77</f>
        <v/>
      </c>
      <c r="H329" s="22">
        <f>'APNA-370 (NOx)'!$Z$77</f>
        <v/>
      </c>
    </row>
    <row r="330" ht="30" customHeight="1">
      <c r="A330" s="20" t="inlineStr">
        <is>
          <t>APNA-370 (NOx)</t>
        </is>
      </c>
      <c r="B330" s="21" t="inlineStr">
        <is>
          <t>10.1.2</t>
        </is>
      </c>
      <c r="C330" s="20">
        <f>'APNA-370 (NOx)'!$B$78</f>
        <v/>
      </c>
      <c r="D330" s="22" t="inlineStr">
        <is>
          <t>Masa total del analizador</t>
        </is>
      </c>
      <c r="E330" s="23" t="inlineStr">
        <is>
          <t>Alerta</t>
        </is>
      </c>
      <c r="F330" s="21">
        <f>'APNA-370 (NOx)'!$U$78</f>
        <v/>
      </c>
      <c r="G330" s="21">
        <f>'APNA-370 (NOx)'!$V$78</f>
        <v/>
      </c>
      <c r="H330" s="22">
        <f>'APNA-370 (NOx)'!$Z$78</f>
        <v/>
      </c>
    </row>
    <row r="331" ht="30" customHeight="1">
      <c r="A331" s="20" t="inlineStr">
        <is>
          <t>APNA-370 (NOx)</t>
        </is>
      </c>
      <c r="B331" s="21" t="inlineStr">
        <is>
          <t>10.1.3</t>
        </is>
      </c>
      <c r="C331" s="20">
        <f>'APNA-370 (NOx)'!$B$79</f>
        <v/>
      </c>
      <c r="D331" s="22" t="inlineStr">
        <is>
          <t>Tornillos de fijación de la cubierta superior</t>
        </is>
      </c>
      <c r="E331" s="25" t="inlineStr">
        <is>
          <t>Cobrable</t>
        </is>
      </c>
      <c r="F331" s="21">
        <f>'APNA-370 (NOx)'!$U$79</f>
        <v/>
      </c>
      <c r="G331" s="21">
        <f>'APNA-370 (NOx)'!$V$79</f>
        <v/>
      </c>
      <c r="H331" s="22">
        <f>'APNA-370 (NOx)'!$Z$79</f>
        <v/>
      </c>
    </row>
    <row r="332" ht="30" customHeight="1">
      <c r="A332" s="20" t="inlineStr">
        <is>
          <t>APNA-370 (NOx)</t>
        </is>
      </c>
      <c r="B332" s="21" t="inlineStr">
        <is>
          <t>10.1.4</t>
        </is>
      </c>
      <c r="C332" s="20">
        <f>'APNA-370 (NOx)'!$B$80</f>
        <v/>
      </c>
      <c r="D332" s="22" t="inlineStr">
        <is>
          <t>Casquillos de bisagra de la puerta frontal</t>
        </is>
      </c>
      <c r="E332" s="25" t="inlineStr">
        <is>
          <t>Cobrable</t>
        </is>
      </c>
      <c r="F332" s="21">
        <f>'APNA-370 (NOx)'!$U$80</f>
        <v/>
      </c>
      <c r="G332" s="21">
        <f>'APNA-370 (NOx)'!$V$80</f>
        <v/>
      </c>
      <c r="H332" s="22">
        <f>'APNA-370 (NOx)'!$Z$80</f>
        <v/>
      </c>
    </row>
    <row r="333" ht="30" customHeight="1">
      <c r="A333" s="20" t="inlineStr">
        <is>
          <t>APNA-370 (NOx)</t>
        </is>
      </c>
      <c r="B333" s="21" t="inlineStr">
        <is>
          <t>10.2.1</t>
        </is>
      </c>
      <c r="C333" s="20">
        <f>'APNA-370 (NOx)'!$B$81</f>
        <v/>
      </c>
      <c r="D333" s="22" t="inlineStr">
        <is>
          <t>Racores y férulas en los puertos traseros</t>
        </is>
      </c>
      <c r="E333" s="24" t="inlineStr">
        <is>
          <t>Bloqueante</t>
        </is>
      </c>
      <c r="F333" s="21">
        <f>'APNA-370 (NOx)'!$U$81</f>
        <v/>
      </c>
      <c r="G333" s="21">
        <f>'APNA-370 (NOx)'!$V$81</f>
        <v/>
      </c>
      <c r="H333" s="22">
        <f>'APNA-370 (NOx)'!$Z$81</f>
        <v/>
      </c>
    </row>
    <row r="334" ht="30" customHeight="1">
      <c r="A334" s="20" t="inlineStr">
        <is>
          <t>APNA-370 (NOx)</t>
        </is>
      </c>
      <c r="B334" s="21" t="inlineStr">
        <is>
          <t>10.3.1</t>
        </is>
      </c>
      <c r="C334" s="20">
        <f>'APNA-370 (NOx)'!$B$82</f>
        <v/>
      </c>
      <c r="D334" s="22" t="inlineStr">
        <is>
          <t>Rango de temperatura ambiente del sitio</t>
        </is>
      </c>
      <c r="E334" s="23" t="inlineStr">
        <is>
          <t>Alerta</t>
        </is>
      </c>
      <c r="F334" s="21">
        <f>'APNA-370 (NOx)'!$U$82</f>
        <v/>
      </c>
      <c r="G334" s="21">
        <f>'APNA-370 (NOx)'!$V$82</f>
        <v/>
      </c>
      <c r="H334" s="22">
        <f>'APNA-370 (NOx)'!$Z$82</f>
        <v/>
      </c>
    </row>
    <row r="335" ht="30" customHeight="1">
      <c r="A335" s="20" t="inlineStr">
        <is>
          <t>APNA-370 (NOx)</t>
        </is>
      </c>
      <c r="B335" s="21" t="inlineStr">
        <is>
          <t>10.3.2</t>
        </is>
      </c>
      <c r="C335" s="20">
        <f>'APNA-370 (NOx)'!$B$83</f>
        <v/>
      </c>
      <c r="D335" s="22" t="inlineStr">
        <is>
          <t>Límites de humedad relativa ambiente</t>
        </is>
      </c>
      <c r="E335" s="23" t="inlineStr">
        <is>
          <t>Alerta</t>
        </is>
      </c>
      <c r="F335" s="21">
        <f>'APNA-370 (NOx)'!$U$83</f>
        <v/>
      </c>
      <c r="G335" s="21">
        <f>'APNA-370 (NOx)'!$V$83</f>
        <v/>
      </c>
      <c r="H335" s="22">
        <f>'APNA-370 (NOx)'!$Z$83</f>
        <v/>
      </c>
    </row>
    <row r="336" ht="30" customHeight="1">
      <c r="A336" s="20" t="inlineStr">
        <is>
          <t>APNA-370 (NOx)</t>
        </is>
      </c>
      <c r="B336" s="21" t="inlineStr">
        <is>
          <t>10.3.3</t>
        </is>
      </c>
      <c r="C336" s="20">
        <f>'APNA-370 (NOx)'!$B$84</f>
        <v/>
      </c>
      <c r="D336" s="22" t="inlineStr">
        <is>
          <t>Límite máximo de altitud de operación</t>
        </is>
      </c>
      <c r="E336" s="23" t="inlineStr">
        <is>
          <t>Alerta</t>
        </is>
      </c>
      <c r="F336" s="21">
        <f>'APNA-370 (NOx)'!$U$84</f>
        <v/>
      </c>
      <c r="G336" s="21">
        <f>'APNA-370 (NOx)'!$V$84</f>
        <v/>
      </c>
      <c r="H336" s="22">
        <f>'APNA-370 (NOx)'!$Z$84</f>
        <v/>
      </c>
    </row>
  </sheetData>
  <autoFilter ref="A4:H336"/>
  <conditionalFormatting sqref="F5:F336">
    <cfRule type="cellIs" priority="1" operator="equal" dxfId="0">
      <formula>"Conforme"</formula>
    </cfRule>
    <cfRule type="cellIs" priority="2" operator="equal" dxfId="1">
      <formula>"No conforme"</formula>
    </cfRule>
    <cfRule type="cellIs" priority="3" operator="equal" dxfId="2">
      <formula>"Requiere reemplazo"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46" customWidth="1" min="3" max="3"/>
    <col width="15" customWidth="1" min="4" max="4"/>
    <col width="56" customWidth="1" min="5" max="5"/>
    <col width="8" customWidth="1" min="6" max="6"/>
    <col width="11" customWidth="1" min="7" max="7"/>
    <col width="44" customWidth="1" min="8" max="8"/>
    <col width="56" customWidth="1" min="9" max="9"/>
    <col width="20" customWidth="1" min="10" max="10"/>
    <col width="22" customWidth="1" min="11" max="11"/>
  </cols>
  <sheetData>
    <row r="1">
      <c r="A1" s="19" t="inlineStr">
        <is>
          <t>ENCADENAMIENTO CONDICIONAL — QUÉ VERIFICAR CUANDO UN ÍTEM SALE NO OK</t>
        </is>
      </c>
    </row>
    <row r="2">
      <c r="A2" s="2" t="inlineStr">
        <is>
          <t>Un renglón por enlace del árbol de diagnóstico. La columna «Rama activa» se enciende sola cuando el ítem de origen queda marcado como hallazgo en la hoja del modelo.</t>
        </is>
      </c>
    </row>
    <row r="3">
      <c r="A3" s="2" t="inlineStr">
        <is>
          <t>Filtre por «Rama activa = SÍ» para ver únicamente las verificaciones que la visita de hoy realmente disparó. Los ID son hipervínculos a la fila correspondiente.</t>
        </is>
      </c>
    </row>
    <row r="5" ht="32" customHeight="1">
      <c r="A5" s="9" t="inlineStr">
        <is>
          <t>Modelo</t>
        </is>
      </c>
      <c r="B5" s="9" t="inlineStr">
        <is>
          <t>ID origen</t>
        </is>
      </c>
      <c r="C5" s="9" t="inlineStr">
        <is>
          <t>Ítem que salió NO OK</t>
        </is>
      </c>
      <c r="D5" s="9" t="inlineStr">
        <is>
          <t>Criterio de falla</t>
        </is>
      </c>
      <c r="E5" s="9" t="inlineStr">
        <is>
          <t>Causa probable</t>
        </is>
      </c>
      <c r="F5" s="9" t="inlineStr">
        <is>
          <t>Orden</t>
        </is>
      </c>
      <c r="G5" s="9" t="inlineStr">
        <is>
          <t>ID destino</t>
        </is>
      </c>
      <c r="H5" s="9" t="inlineStr">
        <is>
          <t>Verificación siguiente</t>
        </is>
      </c>
      <c r="I5" s="9" t="inlineStr">
        <is>
          <t>Acción si se confirma</t>
        </is>
      </c>
      <c r="J5" s="9" t="inlineStr">
        <is>
          <t>Resultado del origen</t>
        </is>
      </c>
      <c r="K5" s="9" t="inlineStr">
        <is>
          <t>Rama activa</t>
        </is>
      </c>
    </row>
    <row r="6" ht="36" customHeight="1">
      <c r="A6" s="20" t="inlineStr">
        <is>
          <t>APMA-370 (CO)</t>
        </is>
      </c>
      <c r="B6" s="26" t="inlineStr">
        <is>
          <t>1.1.1</t>
        </is>
      </c>
      <c r="C6" s="22" t="inlineStr">
        <is>
          <t>LED de encendido (Power LED)</t>
        </is>
      </c>
      <c r="D6" s="23" t="inlineStr">
        <is>
          <t>Alerta</t>
        </is>
      </c>
      <c r="E6" s="22" t="inlineStr">
        <is>
          <t>LED en rojo: hay al menos una alarma activa en el equipo</t>
        </is>
      </c>
      <c r="F6" s="20" t="n">
        <v>1</v>
      </c>
      <c r="G6" s="26" t="inlineStr">
        <is>
          <t>1.1.2</t>
        </is>
      </c>
      <c r="H6" s="22" t="inlineStr">
        <is>
          <t>LED de alarma (Alarm LED)</t>
        </is>
      </c>
      <c r="I6" s="22" t="inlineStr">
        <is>
          <t>Registrar el color y pasar al listado de alarmas antes de continuar</t>
        </is>
      </c>
      <c r="J6" s="20">
        <f>IFERROR(INDEX('APMA-370 (CO)'!$U$9:$U$88,MATCH($B6,'APMA-370 (CO)'!$A$9:$A$88,0)),"")</f>
        <v/>
      </c>
      <c r="K6" s="20">
        <f>IF(OR($J6="No conforme",$J6="Requiere reemplazo"),"SÍ — verificar destino","")</f>
        <v/>
      </c>
    </row>
    <row r="7" ht="36" customHeight="1">
      <c r="A7" s="20" t="inlineStr">
        <is>
          <t>APMA-370 (CO)</t>
        </is>
      </c>
      <c r="B7" s="26" t="inlineStr">
        <is>
          <t>1.1.2</t>
        </is>
      </c>
      <c r="C7" s="22" t="inlineStr">
        <is>
          <t>LED de alarma (Alarm LED)</t>
        </is>
      </c>
      <c r="D7" s="24" t="inlineStr">
        <is>
          <t>Bloqueante</t>
        </is>
      </c>
      <c r="E7" s="22" t="inlineStr">
        <is>
          <t>Alarma activa de proceso, de calibración o de tarjeta</t>
        </is>
      </c>
      <c r="F7" s="20" t="n">
        <v>1</v>
      </c>
      <c r="G7" s="26" t="inlineStr">
        <is>
          <t>3.1.1</t>
        </is>
      </c>
      <c r="H7" s="22" t="inlineStr">
        <is>
          <t>Coeficiente de calibración de cero</t>
        </is>
      </c>
      <c r="I7" s="22" t="inlineStr">
        <is>
          <t>Anotar el código en MENU/ALARM y entrar por la rama que corresponda</t>
        </is>
      </c>
      <c r="J7" s="20">
        <f>IFERROR(INDEX('APMA-370 (CO)'!$U$9:$U$88,MATCH($B7,'APMA-370 (CO)'!$A$9:$A$88,0)),"")</f>
        <v/>
      </c>
      <c r="K7" s="20">
        <f>IF(OR($J7="No conforme",$J7="Requiere reemplazo"),"SÍ — verificar destino","")</f>
        <v/>
      </c>
    </row>
    <row r="8" ht="36" customHeight="1">
      <c r="A8" s="20" t="inlineStr">
        <is>
          <t>APMA-370 (CO)</t>
        </is>
      </c>
      <c r="B8" s="26" t="inlineStr">
        <is>
          <t>1.1.2</t>
        </is>
      </c>
      <c r="C8" s="22" t="inlineStr">
        <is>
          <t>LED de alarma (Alarm LED)</t>
        </is>
      </c>
      <c r="D8" s="24" t="inlineStr">
        <is>
          <t>Bloqueante</t>
        </is>
      </c>
      <c r="E8" s="22" t="inlineStr">
        <is>
          <t>Alarma activa de proceso, de calibración o de tarjeta</t>
        </is>
      </c>
      <c r="F8" s="20" t="n">
        <v>2</v>
      </c>
      <c r="G8" s="26" t="inlineStr">
        <is>
          <t>5.1.1</t>
        </is>
      </c>
      <c r="H8" s="22" t="inlineStr">
        <is>
          <t>Caudal volumétrico de muestra (SAMPLE)</t>
        </is>
      </c>
      <c r="I8" s="22" t="inlineStr">
        <is>
          <t>Anotar el código en MENU/ALARM y entrar por la rama que corresponda</t>
        </is>
      </c>
      <c r="J8" s="20">
        <f>IFERROR(INDEX('APMA-370 (CO)'!$U$9:$U$88,MATCH($B8,'APMA-370 (CO)'!$A$9:$A$88,0)),"")</f>
        <v/>
      </c>
      <c r="K8" s="20">
        <f>IF(OR($J8="No conforme",$J8="Requiere reemplazo"),"SÍ — verificar destino","")</f>
        <v/>
      </c>
    </row>
    <row r="9" ht="36" customHeight="1">
      <c r="A9" s="20" t="inlineStr">
        <is>
          <t>APMA-370 (CO)</t>
        </is>
      </c>
      <c r="B9" s="26" t="inlineStr">
        <is>
          <t>1.1.2</t>
        </is>
      </c>
      <c r="C9" s="22" t="inlineStr">
        <is>
          <t>LED de alarma (Alarm LED)</t>
        </is>
      </c>
      <c r="D9" s="24" t="inlineStr">
        <is>
          <t>Bloqueante</t>
        </is>
      </c>
      <c r="E9" s="22" t="inlineStr">
        <is>
          <t>Alarma activa de proceso, de calibración o de tarjeta</t>
        </is>
      </c>
      <c r="F9" s="20" t="n">
        <v>3</v>
      </c>
      <c r="G9" s="26" t="inlineStr">
        <is>
          <t>5.1.2</t>
        </is>
      </c>
      <c r="H9" s="22" t="inlineStr">
        <is>
          <t>Presión de succión de la bomba (PUMP)</t>
        </is>
      </c>
      <c r="I9" s="22" t="inlineStr">
        <is>
          <t>Anotar el código en MENU/ALARM y entrar por la rama que corresponda</t>
        </is>
      </c>
      <c r="J9" s="20">
        <f>IFERROR(INDEX('APMA-370 (CO)'!$U$9:$U$88,MATCH($B9,'APMA-370 (CO)'!$A$9:$A$88,0)),"")</f>
        <v/>
      </c>
      <c r="K9" s="20">
        <f>IF(OR($J9="No conforme",$J9="Requiere reemplazo"),"SÍ — verificar destino","")</f>
        <v/>
      </c>
    </row>
    <row r="10" ht="36" customHeight="1">
      <c r="A10" s="20" t="inlineStr">
        <is>
          <t>APMA-370 (CO)</t>
        </is>
      </c>
      <c r="B10" s="26" t="inlineStr">
        <is>
          <t>1.1.2</t>
        </is>
      </c>
      <c r="C10" s="22" t="inlineStr">
        <is>
          <t>LED de alarma (Alarm LED)</t>
        </is>
      </c>
      <c r="D10" s="24" t="inlineStr">
        <is>
          <t>Bloqueante</t>
        </is>
      </c>
      <c r="E10" s="22" t="inlineStr">
        <is>
          <t>Alarma activa de proceso, de calibración o de tarjeta</t>
        </is>
      </c>
      <c r="F10" s="20" t="n">
        <v>4</v>
      </c>
      <c r="G10" s="26" t="inlineStr">
        <is>
          <t>9.1.1</t>
        </is>
      </c>
      <c r="H10" s="22" t="inlineStr">
        <is>
          <t>Temperatura de la celda de medida (CELL)</t>
        </is>
      </c>
      <c r="I10" s="22" t="inlineStr">
        <is>
          <t>Anotar el código en MENU/ALARM y entrar por la rama que corresponda</t>
        </is>
      </c>
      <c r="J10" s="20">
        <f>IFERROR(INDEX('APMA-370 (CO)'!$U$9:$U$88,MATCH($B10,'APMA-370 (CO)'!$A$9:$A$88,0)),"")</f>
        <v/>
      </c>
      <c r="K10" s="20">
        <f>IF(OR($J10="No conforme",$J10="Requiere reemplazo"),"SÍ — verificar destino","")</f>
        <v/>
      </c>
    </row>
    <row r="11" ht="48" customHeight="1">
      <c r="A11" s="20" t="inlineStr">
        <is>
          <t>APMA-370 (CO)</t>
        </is>
      </c>
      <c r="B11" s="26" t="inlineStr">
        <is>
          <t>1.1.3</t>
        </is>
      </c>
      <c r="C11" s="22" t="inlineStr">
        <is>
          <t>Inicialización del display (TFT LCD)</t>
        </is>
      </c>
      <c r="D11" s="25" t="inlineStr">
        <is>
          <t>Cobrable</t>
        </is>
      </c>
      <c r="E11" s="22" t="inlineStr">
        <is>
          <t>Cinta flex del LCD agrietada o suelta; panel táctil o unidad LCD averiados</t>
        </is>
      </c>
      <c r="F11" s="20" t="n">
        <v>1</v>
      </c>
      <c r="G11" s="26" t="inlineStr">
        <is>
          <t>7.3.1</t>
        </is>
      </c>
      <c r="H11" s="22" t="inlineStr">
        <is>
          <t>Cintas flex de la pantalla táctil LCD (Tape Wire)</t>
        </is>
      </c>
      <c r="I11" s="22" t="inlineStr">
        <is>
          <t>Prueba cruzada con cinta y CPU de servicio; reemplazar la unidad LCD si el fallo sigue en la pantalla</t>
        </is>
      </c>
      <c r="J11" s="20">
        <f>IFERROR(INDEX('APMA-370 (CO)'!$U$9:$U$88,MATCH($B11,'APMA-370 (CO)'!$A$9:$A$88,0)),"")</f>
        <v/>
      </c>
      <c r="K11" s="20">
        <f>IF(OR($J11="No conforme",$J11="Requiere reemplazo"),"SÍ — verificar destino","")</f>
        <v/>
      </c>
    </row>
    <row r="12" ht="48" customHeight="1">
      <c r="A12" s="20" t="inlineStr">
        <is>
          <t>APMA-370 (CO)</t>
        </is>
      </c>
      <c r="B12" s="26" t="inlineStr">
        <is>
          <t>1.1.3</t>
        </is>
      </c>
      <c r="C12" s="22" t="inlineStr">
        <is>
          <t>Inicialización del display (TFT LCD)</t>
        </is>
      </c>
      <c r="D12" s="25" t="inlineStr">
        <is>
          <t>Cobrable</t>
        </is>
      </c>
      <c r="E12" s="22" t="inlineStr">
        <is>
          <t>Cinta flex del LCD agrietada o suelta; panel táctil o unidad LCD averiados</t>
        </is>
      </c>
      <c r="F12" s="20" t="n">
        <v>2</v>
      </c>
      <c r="G12" s="26" t="inlineStr">
        <is>
          <t>7.3.2</t>
        </is>
      </c>
      <c r="H12" s="22" t="inlineStr">
        <is>
          <t>Respuesta táctil de la pantalla (Touch Panel)</t>
        </is>
      </c>
      <c r="I12" s="22" t="inlineStr">
        <is>
          <t>Prueba cruzada con cinta y CPU de servicio; reemplazar la unidad LCD si el fallo sigue en la pantalla</t>
        </is>
      </c>
      <c r="J12" s="20">
        <f>IFERROR(INDEX('APMA-370 (CO)'!$U$9:$U$88,MATCH($B12,'APMA-370 (CO)'!$A$9:$A$88,0)),"")</f>
        <v/>
      </c>
      <c r="K12" s="20">
        <f>IF(OR($J12="No conforme",$J12="Requiere reemplazo"),"SÍ — verificar destino","")</f>
        <v/>
      </c>
    </row>
    <row r="13" ht="48" customHeight="1">
      <c r="A13" s="20" t="inlineStr">
        <is>
          <t>APMA-370 (CO)</t>
        </is>
      </c>
      <c r="B13" s="26" t="inlineStr">
        <is>
          <t>1.1.3</t>
        </is>
      </c>
      <c r="C13" s="22" t="inlineStr">
        <is>
          <t>Inicialización del display (TFT LCD)</t>
        </is>
      </c>
      <c r="D13" s="25" t="inlineStr">
        <is>
          <t>Cobrable</t>
        </is>
      </c>
      <c r="E13" s="22" t="inlineStr">
        <is>
          <t>Cinta flex del LCD agrietada o suelta; panel táctil o unidad LCD averiados</t>
        </is>
      </c>
      <c r="F13" s="20" t="n">
        <v>3</v>
      </c>
      <c r="G13" s="26" t="inlineStr">
        <is>
          <t>7.4.1</t>
        </is>
      </c>
      <c r="H13" s="22" t="inlineStr">
        <is>
          <t>Tensiones secundarias de la fuente de poder principal</t>
        </is>
      </c>
      <c r="I13" s="22" t="inlineStr">
        <is>
          <t>Prueba cruzada con cinta y CPU de servicio; reemplazar la unidad LCD si el fallo sigue en la pantalla</t>
        </is>
      </c>
      <c r="J13" s="20">
        <f>IFERROR(INDEX('APMA-370 (CO)'!$U$9:$U$88,MATCH($B13,'APMA-370 (CO)'!$A$9:$A$88,0)),"")</f>
        <v/>
      </c>
      <c r="K13" s="20">
        <f>IF(OR($J13="No conforme",$J13="Requiere reemplazo"),"SÍ — verificar destino","")</f>
        <v/>
      </c>
    </row>
    <row r="14" ht="36" customHeight="1">
      <c r="A14" s="20" t="inlineStr">
        <is>
          <t>APMA-370 (CO)</t>
        </is>
      </c>
      <c r="B14" s="26" t="inlineStr">
        <is>
          <t>1.2.1</t>
        </is>
      </c>
      <c r="C14" s="22" t="inlineStr">
        <is>
          <t>Versión de programa (firmware)</t>
        </is>
      </c>
      <c r="D14" s="23" t="inlineStr">
        <is>
          <t>Alerta</t>
        </is>
      </c>
      <c r="E14" s="22" t="inlineStr">
        <is>
          <t>Programa no homologado, o CPU sustituida sin recargar la configuración de fábrica</t>
        </is>
      </c>
      <c r="F14" s="20" t="n">
        <v>1</v>
      </c>
      <c r="G14" s="26" t="inlineStr">
        <is>
          <t>7.1.1</t>
        </is>
      </c>
      <c r="H14" s="22" t="inlineStr">
        <is>
          <t>Estado de la tarjeta principal CPU (AP-CPU-02)</t>
        </is>
      </c>
      <c r="I14" s="22" t="inlineStr">
        <is>
          <t>Confirmar el HGS con fábrica y recargar la configuración desde la CF antes de calibrar</t>
        </is>
      </c>
      <c r="J14" s="20">
        <f>IFERROR(INDEX('APMA-370 (CO)'!$U$9:$U$88,MATCH($B14,'APMA-370 (CO)'!$A$9:$A$88,0)),"")</f>
        <v/>
      </c>
      <c r="K14" s="20">
        <f>IF(OR($J14="No conforme",$J14="Requiere reemplazo"),"SÍ — verificar destino","")</f>
        <v/>
      </c>
    </row>
    <row r="15" ht="36" customHeight="1">
      <c r="A15" s="20" t="inlineStr">
        <is>
          <t>APMA-370 (CO)</t>
        </is>
      </c>
      <c r="B15" s="26" t="inlineStr">
        <is>
          <t>1.3.1</t>
        </is>
      </c>
      <c r="C15" s="22" t="inlineStr">
        <is>
          <t>Tiempo de calentamiento inicial (warm-up)</t>
        </is>
      </c>
      <c r="D15" s="23" t="inlineStr">
        <is>
          <t>Alerta</t>
        </is>
      </c>
      <c r="E15" s="22" t="inlineStr">
        <is>
          <t>Equipo encendido hace menos de 3 h: banco óptico y catalizador aún inestables</t>
        </is>
      </c>
      <c r="F15" s="20" t="n">
        <v>1</v>
      </c>
      <c r="G15" s="26" t="inlineStr">
        <is>
          <t>9.1.1</t>
        </is>
      </c>
      <c r="H15" s="22" t="inlineStr">
        <is>
          <t>Temperatura de la celda de medida (CELL)</t>
        </is>
      </c>
      <c r="I15" s="22" t="inlineStr">
        <is>
          <t>Esperar a completar el calentamiento; no calibrar ni juzgar derivas hasta entonces</t>
        </is>
      </c>
      <c r="J15" s="20">
        <f>IFERROR(INDEX('APMA-370 (CO)'!$U$9:$U$88,MATCH($B15,'APMA-370 (CO)'!$A$9:$A$88,0)),"")</f>
        <v/>
      </c>
      <c r="K15" s="20">
        <f>IF(OR($J15="No conforme",$J15="Requiere reemplazo"),"SÍ — verificar destino","")</f>
        <v/>
      </c>
    </row>
    <row r="16" ht="36" customHeight="1">
      <c r="A16" s="20" t="inlineStr">
        <is>
          <t>APMA-370 (CO)</t>
        </is>
      </c>
      <c r="B16" s="26" t="inlineStr">
        <is>
          <t>1.3.1</t>
        </is>
      </c>
      <c r="C16" s="22" t="inlineStr">
        <is>
          <t>Tiempo de calentamiento inicial (warm-up)</t>
        </is>
      </c>
      <c r="D16" s="23" t="inlineStr">
        <is>
          <t>Alerta</t>
        </is>
      </c>
      <c r="E16" s="22" t="inlineStr">
        <is>
          <t>Equipo encendido hace menos de 3 h: banco óptico y catalizador aún inestables</t>
        </is>
      </c>
      <c r="F16" s="20" t="n">
        <v>2</v>
      </c>
      <c r="G16" s="26" t="inlineStr">
        <is>
          <t>9.1.2</t>
        </is>
      </c>
      <c r="H16" s="22" t="inlineStr">
        <is>
          <t>Sensor de temperatura del catalizador de CO (CAT)</t>
        </is>
      </c>
      <c r="I16" s="22" t="inlineStr">
        <is>
          <t>Esperar a completar el calentamiento; no calibrar ni juzgar derivas hasta entonces</t>
        </is>
      </c>
      <c r="J16" s="20">
        <f>IFERROR(INDEX('APMA-370 (CO)'!$U$9:$U$88,MATCH($B16,'APMA-370 (CO)'!$A$9:$A$88,0)),"")</f>
        <v/>
      </c>
      <c r="K16" s="20">
        <f>IF(OR($J16="No conforme",$J16="Requiere reemplazo"),"SÍ — verificar destino","")</f>
        <v/>
      </c>
    </row>
    <row r="17" ht="36" customHeight="1">
      <c r="A17" s="20" t="inlineStr">
        <is>
          <t>APMA-370 (CO)</t>
        </is>
      </c>
      <c r="B17" s="26" t="inlineStr">
        <is>
          <t>2.1.1</t>
        </is>
      </c>
      <c r="C17" s="22" t="inlineStr">
        <is>
          <t>Placa de número de serie frontal</t>
        </is>
      </c>
      <c r="D17" s="23" t="inlineStr">
        <is>
          <t>Alerta</t>
        </is>
      </c>
      <c r="E17" s="22" t="inlineStr">
        <is>
          <t>Placa ilegible, despegada, o equipo distinto al de la orden de servicio</t>
        </is>
      </c>
      <c r="F17" s="20" t="n">
        <v>1</v>
      </c>
      <c r="G17" s="26" t="inlineStr">
        <is>
          <t>2.1.2</t>
        </is>
      </c>
      <c r="H17" s="22" t="inlineStr">
        <is>
          <t>Placa de número de serie posterior</t>
        </is>
      </c>
      <c r="I17" s="22" t="inlineStr">
        <is>
          <t>Registrar el serial real, fotografiarlo y corregir la hoja de vida</t>
        </is>
      </c>
      <c r="J17" s="20">
        <f>IFERROR(INDEX('APMA-370 (CO)'!$U$9:$U$88,MATCH($B17,'APMA-370 (CO)'!$A$9:$A$88,0)),"")</f>
        <v/>
      </c>
      <c r="K17" s="20">
        <f>IF(OR($J17="No conforme",$J17="Requiere reemplazo"),"SÍ — verificar destino","")</f>
        <v/>
      </c>
    </row>
    <row r="18" ht="36" customHeight="1">
      <c r="A18" s="20" t="inlineStr">
        <is>
          <t>APMA-370 (CO)</t>
        </is>
      </c>
      <c r="B18" s="26" t="inlineStr">
        <is>
          <t>2.1.2</t>
        </is>
      </c>
      <c r="C18" s="22" t="inlineStr">
        <is>
          <t>Placa de número de serie posterior</t>
        </is>
      </c>
      <c r="D18" s="23" t="inlineStr">
        <is>
          <t>Alerta</t>
        </is>
      </c>
      <c r="E18" s="22" t="inlineStr">
        <is>
          <t>Placa ilegible o no coincide con la frontal</t>
        </is>
      </c>
      <c r="F18" s="20" t="n">
        <v>1</v>
      </c>
      <c r="G18" s="26" t="inlineStr">
        <is>
          <t>2.1.1</t>
        </is>
      </c>
      <c r="H18" s="22" t="inlineStr">
        <is>
          <t>Placa de número de serie frontal</t>
        </is>
      </c>
      <c r="I18" s="22" t="inlineStr">
        <is>
          <t>Verificar contra la documentación de fábrica y reportar la discrepancia antes de intervenir</t>
        </is>
      </c>
      <c r="J18" s="20">
        <f>IFERROR(INDEX('APMA-370 (CO)'!$U$9:$U$88,MATCH($B18,'APMA-370 (CO)'!$A$9:$A$88,0)),"")</f>
        <v/>
      </c>
      <c r="K18" s="20">
        <f>IF(OR($J18="No conforme",$J18="Requiere reemplazo"),"SÍ — verificar destino","")</f>
        <v/>
      </c>
    </row>
    <row r="19" ht="36" customHeight="1">
      <c r="A19" s="20" t="inlineStr">
        <is>
          <t>APMA-370 (CO)</t>
        </is>
      </c>
      <c r="B19" s="26" t="inlineStr">
        <is>
          <t>2.2.1</t>
        </is>
      </c>
      <c r="C19" s="22" t="inlineStr">
        <is>
          <t>ID del equipo (Machine ID)</t>
        </is>
      </c>
      <c r="D19" s="23" t="inlineStr">
        <is>
          <t>Alerta</t>
        </is>
      </c>
      <c r="E19" s="22" t="inlineStr">
        <is>
          <t>ID distinto al asignado en el sistema de adquisición</t>
        </is>
      </c>
      <c r="F19" s="20" t="n">
        <v>1</v>
      </c>
      <c r="G19" s="26" t="inlineStr">
        <is>
          <t>7.5.1</t>
        </is>
      </c>
      <c r="H19" s="22" t="inlineStr">
        <is>
          <t>Conector del cable serial RS-232C</t>
        </is>
      </c>
      <c r="I19" s="22" t="inlineStr">
        <is>
          <t>Corregir el ID en MENU/SYSTEM y confirmar la llegada del dato al datalogger</t>
        </is>
      </c>
      <c r="J19" s="20">
        <f>IFERROR(INDEX('APMA-370 (CO)'!$U$9:$U$88,MATCH($B19,'APMA-370 (CO)'!$A$9:$A$88,0)),"")</f>
        <v/>
      </c>
      <c r="K19" s="20">
        <f>IF(OR($J19="No conforme",$J19="Requiere reemplazo"),"SÍ — verificar destino","")</f>
        <v/>
      </c>
    </row>
    <row r="20" ht="48" customHeight="1">
      <c r="A20" s="20" t="inlineStr">
        <is>
          <t>APMA-370 (CO)</t>
        </is>
      </c>
      <c r="B20" s="26" t="inlineStr">
        <is>
          <t>3.1.1</t>
        </is>
      </c>
      <c r="C20" s="22" t="inlineStr">
        <is>
          <t>Coeficiente de calibración de cero</t>
        </is>
      </c>
      <c r="D20" s="24" t="inlineStr">
        <is>
          <t>Bloqueante</t>
        </is>
      </c>
      <c r="E20" s="22" t="inlineStr">
        <is>
          <t>Aire cero contaminado, calentamiento insuficiente, catalizador CAT-1 agotado o humedad en la línea de referencia</t>
        </is>
      </c>
      <c r="F20" s="20" t="n">
        <v>1</v>
      </c>
      <c r="G20" s="26" t="inlineStr">
        <is>
          <t>1.3.1</t>
        </is>
      </c>
      <c r="H20" s="22" t="inlineStr">
        <is>
          <t>Tiempo de calentamiento inicial (warm-up)</t>
        </is>
      </c>
      <c r="I20" s="22" t="inlineStr">
        <is>
          <t>Inyectar aire cero de cilindro certificado para descartar el generador; si persiste, seguir la rama de catalizador y humedad</t>
        </is>
      </c>
      <c r="J20" s="20">
        <f>IFERROR(INDEX('APMA-370 (CO)'!$U$9:$U$88,MATCH($B20,'APMA-370 (CO)'!$A$9:$A$88,0)),"")</f>
        <v/>
      </c>
      <c r="K20" s="20">
        <f>IF(OR($J20="No conforme",$J20="Requiere reemplazo"),"SÍ — verificar destino","")</f>
        <v/>
      </c>
    </row>
    <row r="21" ht="48" customHeight="1">
      <c r="A21" s="20" t="inlineStr">
        <is>
          <t>APMA-370 (CO)</t>
        </is>
      </c>
      <c r="B21" s="26" t="inlineStr">
        <is>
          <t>3.1.1</t>
        </is>
      </c>
      <c r="C21" s="22" t="inlineStr">
        <is>
          <t>Coeficiente de calibración de cero</t>
        </is>
      </c>
      <c r="D21" s="24" t="inlineStr">
        <is>
          <t>Bloqueante</t>
        </is>
      </c>
      <c r="E21" s="22" t="inlineStr">
        <is>
          <t>Aire cero contaminado, calentamiento insuficiente, catalizador CAT-1 agotado o humedad en la línea de referencia</t>
        </is>
      </c>
      <c r="F21" s="20" t="n">
        <v>2</v>
      </c>
      <c r="G21" s="26" t="inlineStr">
        <is>
          <t>6.4.1</t>
        </is>
      </c>
      <c r="H21" s="22" t="inlineStr">
        <is>
          <t>Eficiencia del relleno catalítico de CO (CAT-1)</t>
        </is>
      </c>
      <c r="I21" s="22" t="inlineStr">
        <is>
          <t>Inyectar aire cero de cilindro certificado para descartar el generador; si persiste, seguir la rama de catalizador y humedad</t>
        </is>
      </c>
      <c r="J21" s="20">
        <f>IFERROR(INDEX('APMA-370 (CO)'!$U$9:$U$88,MATCH($B21,'APMA-370 (CO)'!$A$9:$A$88,0)),"")</f>
        <v/>
      </c>
      <c r="K21" s="20">
        <f>IF(OR($J21="No conforme",$J21="Requiere reemplazo"),"SÍ — verificar destino","")</f>
        <v/>
      </c>
    </row>
    <row r="22" ht="48" customHeight="1">
      <c r="A22" s="20" t="inlineStr">
        <is>
          <t>APMA-370 (CO)</t>
        </is>
      </c>
      <c r="B22" s="26" t="inlineStr">
        <is>
          <t>3.1.1</t>
        </is>
      </c>
      <c r="C22" s="22" t="inlineStr">
        <is>
          <t>Coeficiente de calibración de cero</t>
        </is>
      </c>
      <c r="D22" s="24" t="inlineStr">
        <is>
          <t>Bloqueante</t>
        </is>
      </c>
      <c r="E22" s="22" t="inlineStr">
        <is>
          <t>Aire cero contaminado, calentamiento insuficiente, catalizador CAT-1 agotado o humedad en la línea de referencia</t>
        </is>
      </c>
      <c r="F22" s="20" t="n">
        <v>3</v>
      </c>
      <c r="G22" s="26" t="inlineStr">
        <is>
          <t>4.3.1</t>
        </is>
      </c>
      <c r="H22" s="22" t="inlineStr">
        <is>
          <t>Trampa de humedad (Mist Catcher BAA)</t>
        </is>
      </c>
      <c r="I22" s="22" t="inlineStr">
        <is>
          <t>Inyectar aire cero de cilindro certificado para descartar el generador; si persiste, seguir la rama de catalizador y humedad</t>
        </is>
      </c>
      <c r="J22" s="20">
        <f>IFERROR(INDEX('APMA-370 (CO)'!$U$9:$U$88,MATCH($B22,'APMA-370 (CO)'!$A$9:$A$88,0)),"")</f>
        <v/>
      </c>
      <c r="K22" s="20">
        <f>IF(OR($J22="No conforme",$J22="Requiere reemplazo"),"SÍ — verificar destino","")</f>
        <v/>
      </c>
    </row>
    <row r="23" ht="48" customHeight="1">
      <c r="A23" s="20" t="inlineStr">
        <is>
          <t>APMA-370 (CO)</t>
        </is>
      </c>
      <c r="B23" s="26" t="inlineStr">
        <is>
          <t>3.1.1</t>
        </is>
      </c>
      <c r="C23" s="22" t="inlineStr">
        <is>
          <t>Coeficiente de calibración de cero</t>
        </is>
      </c>
      <c r="D23" s="24" t="inlineStr">
        <is>
          <t>Bloqueante</t>
        </is>
      </c>
      <c r="E23" s="22" t="inlineStr">
        <is>
          <t>Aire cero contaminado, calentamiento insuficiente, catalizador CAT-1 agotado o humedad en la línea de referencia</t>
        </is>
      </c>
      <c r="F23" s="20" t="n">
        <v>4</v>
      </c>
      <c r="G23" s="26" t="inlineStr">
        <is>
          <t>5.3.2</t>
        </is>
      </c>
      <c r="H23" s="22" t="inlineStr">
        <is>
          <t>Prueba de estanqueidad (Leak Test)</t>
        </is>
      </c>
      <c r="I23" s="22" t="inlineStr">
        <is>
          <t>Inyectar aire cero de cilindro certificado para descartar el generador; si persiste, seguir la rama de catalizador y humedad</t>
        </is>
      </c>
      <c r="J23" s="20">
        <f>IFERROR(INDEX('APMA-370 (CO)'!$U$9:$U$88,MATCH($B23,'APMA-370 (CO)'!$A$9:$A$88,0)),"")</f>
        <v/>
      </c>
      <c r="K23" s="20">
        <f>IF(OR($J23="No conforme",$J23="Requiere reemplazo"),"SÍ — verificar destino","")</f>
        <v/>
      </c>
    </row>
    <row r="24" ht="48" customHeight="1">
      <c r="A24" s="20" t="inlineStr">
        <is>
          <t>APMA-370 (CO)</t>
        </is>
      </c>
      <c r="B24" s="26" t="inlineStr">
        <is>
          <t>3.1.1</t>
        </is>
      </c>
      <c r="C24" s="22" t="inlineStr">
        <is>
          <t>Coeficiente de calibración de cero</t>
        </is>
      </c>
      <c r="D24" s="24" t="inlineStr">
        <is>
          <t>Bloqueante</t>
        </is>
      </c>
      <c r="E24" s="22" t="inlineStr">
        <is>
          <t>Aire cero contaminado, calentamiento insuficiente, catalizador CAT-1 agotado o humedad en la línea de referencia</t>
        </is>
      </c>
      <c r="F24" s="20" t="n">
        <v>5</v>
      </c>
      <c r="G24" s="26" t="inlineStr">
        <is>
          <t>3.2.1</t>
        </is>
      </c>
      <c r="H24" s="22" t="inlineStr">
        <is>
          <t>Presión de entrada de gas patrón</t>
        </is>
      </c>
      <c r="I24" s="22" t="inlineStr">
        <is>
          <t>Inyectar aire cero de cilindro certificado para descartar el generador; si persiste, seguir la rama de catalizador y humedad</t>
        </is>
      </c>
      <c r="J24" s="20">
        <f>IFERROR(INDEX('APMA-370 (CO)'!$U$9:$U$88,MATCH($B24,'APMA-370 (CO)'!$A$9:$A$88,0)),"")</f>
        <v/>
      </c>
      <c r="K24" s="20">
        <f>IF(OR($J24="No conforme",$J24="Requiere reemplazo"),"SÍ — verificar destino","")</f>
        <v/>
      </c>
    </row>
    <row r="25" ht="48" customHeight="1">
      <c r="A25" s="20" t="inlineStr">
        <is>
          <t>APMA-370 (CO)</t>
        </is>
      </c>
      <c r="B25" s="26" t="inlineStr">
        <is>
          <t>3.1.2</t>
        </is>
      </c>
      <c r="C25" s="22" t="inlineStr">
        <is>
          <t>Coeficiente de calibración de span</t>
        </is>
      </c>
      <c r="D25" s="24" t="inlineStr">
        <is>
          <t>Bloqueante</t>
        </is>
      </c>
      <c r="E25" s="22" t="inlineStr">
        <is>
          <t>Concentración del patrón mal configurada, caudal de exceso insuficiente, o pérdida de intensidad óptica</t>
        </is>
      </c>
      <c r="F25" s="20" t="n">
        <v>1</v>
      </c>
      <c r="G25" s="26" t="inlineStr">
        <is>
          <t>3.2.1</t>
        </is>
      </c>
      <c r="H25" s="22" t="inlineStr">
        <is>
          <t>Presión de entrada de gas patrón</t>
        </is>
      </c>
      <c r="I25" s="22" t="inlineStr">
        <is>
          <t>Confirmar SPAN CONC. contra el certificado del cilindro y volver a calibrar</t>
        </is>
      </c>
      <c r="J25" s="20">
        <f>IFERROR(INDEX('APMA-370 (CO)'!$U$9:$U$88,MATCH($B25,'APMA-370 (CO)'!$A$9:$A$88,0)),"")</f>
        <v/>
      </c>
      <c r="K25" s="20">
        <f>IF(OR($J25="No conforme",$J25="Requiere reemplazo"),"SÍ — verificar destino","")</f>
        <v/>
      </c>
    </row>
    <row r="26" ht="48" customHeight="1">
      <c r="A26" s="20" t="inlineStr">
        <is>
          <t>APMA-370 (CO)</t>
        </is>
      </c>
      <c r="B26" s="26" t="inlineStr">
        <is>
          <t>3.1.2</t>
        </is>
      </c>
      <c r="C26" s="22" t="inlineStr">
        <is>
          <t>Coeficiente de calibración de span</t>
        </is>
      </c>
      <c r="D26" s="24" t="inlineStr">
        <is>
          <t>Bloqueante</t>
        </is>
      </c>
      <c r="E26" s="22" t="inlineStr">
        <is>
          <t>Concentración del patrón mal configurada, caudal de exceso insuficiente, o pérdida de intensidad óptica</t>
        </is>
      </c>
      <c r="F26" s="20" t="n">
        <v>2</v>
      </c>
      <c r="G26" s="26" t="inlineStr">
        <is>
          <t>3.2.2</t>
        </is>
      </c>
      <c r="H26" s="22" t="inlineStr">
        <is>
          <t>Caudal de exceso de gas de calibración (OVER FLOW)</t>
        </is>
      </c>
      <c r="I26" s="22" t="inlineStr">
        <is>
          <t>Confirmar SPAN CONC. contra el certificado del cilindro y volver a calibrar</t>
        </is>
      </c>
      <c r="J26" s="20">
        <f>IFERROR(INDEX('APMA-370 (CO)'!$U$9:$U$88,MATCH($B26,'APMA-370 (CO)'!$A$9:$A$88,0)),"")</f>
        <v/>
      </c>
      <c r="K26" s="20">
        <f>IF(OR($J26="No conforme",$J26="Requiere reemplazo"),"SÍ — verificar destino","")</f>
        <v/>
      </c>
    </row>
    <row r="27" ht="48" customHeight="1">
      <c r="A27" s="20" t="inlineStr">
        <is>
          <t>APMA-370 (CO)</t>
        </is>
      </c>
      <c r="B27" s="26" t="inlineStr">
        <is>
          <t>3.1.2</t>
        </is>
      </c>
      <c r="C27" s="22" t="inlineStr">
        <is>
          <t>Coeficiente de calibración de span</t>
        </is>
      </c>
      <c r="D27" s="24" t="inlineStr">
        <is>
          <t>Bloqueante</t>
        </is>
      </c>
      <c r="E27" s="22" t="inlineStr">
        <is>
          <t>Concentración del patrón mal configurada, caudal de exceso insuficiente, o pérdida de intensidad óptica</t>
        </is>
      </c>
      <c r="F27" s="20" t="n">
        <v>3</v>
      </c>
      <c r="G27" s="26" t="inlineStr">
        <is>
          <t>6.1.1</t>
        </is>
      </c>
      <c r="H27" s="22" t="inlineStr">
        <is>
          <t>Tensión de señal principal (SIGNAL MAIN)</t>
        </is>
      </c>
      <c r="I27" s="22" t="inlineStr">
        <is>
          <t>Confirmar SPAN CONC. contra el certificado del cilindro y volver a calibrar</t>
        </is>
      </c>
      <c r="J27" s="20">
        <f>IFERROR(INDEX('APMA-370 (CO)'!$U$9:$U$88,MATCH($B27,'APMA-370 (CO)'!$A$9:$A$88,0)),"")</f>
        <v/>
      </c>
      <c r="K27" s="20">
        <f>IF(OR($J27="No conforme",$J27="Requiere reemplazo"),"SÍ — verificar destino","")</f>
        <v/>
      </c>
    </row>
    <row r="28" ht="48" customHeight="1">
      <c r="A28" s="20" t="inlineStr">
        <is>
          <t>APMA-370 (CO)</t>
        </is>
      </c>
      <c r="B28" s="26" t="inlineStr">
        <is>
          <t>3.1.2</t>
        </is>
      </c>
      <c r="C28" s="22" t="inlineStr">
        <is>
          <t>Coeficiente de calibración de span</t>
        </is>
      </c>
      <c r="D28" s="24" t="inlineStr">
        <is>
          <t>Bloqueante</t>
        </is>
      </c>
      <c r="E28" s="22" t="inlineStr">
        <is>
          <t>Concentración del patrón mal configurada, caudal de exceso insuficiente, o pérdida de intensidad óptica</t>
        </is>
      </c>
      <c r="F28" s="20" t="n">
        <v>4</v>
      </c>
      <c r="G28" s="26" t="inlineStr">
        <is>
          <t>6.2.2</t>
        </is>
      </c>
      <c r="H28" s="22" t="inlineStr">
        <is>
          <t>Limpieza de ventanas ópticas y lentes de la celda</t>
        </is>
      </c>
      <c r="I28" s="22" t="inlineStr">
        <is>
          <t>Confirmar SPAN CONC. contra el certificado del cilindro y volver a calibrar</t>
        </is>
      </c>
      <c r="J28" s="20">
        <f>IFERROR(INDEX('APMA-370 (CO)'!$U$9:$U$88,MATCH($B28,'APMA-370 (CO)'!$A$9:$A$88,0)),"")</f>
        <v/>
      </c>
      <c r="K28" s="20">
        <f>IF(OR($J28="No conforme",$J28="Requiere reemplazo"),"SÍ — verificar destino","")</f>
        <v/>
      </c>
    </row>
    <row r="29" ht="48" customHeight="1">
      <c r="A29" s="20" t="inlineStr">
        <is>
          <t>APMA-370 (CO)</t>
        </is>
      </c>
      <c r="B29" s="26" t="inlineStr">
        <is>
          <t>3.1.2</t>
        </is>
      </c>
      <c r="C29" s="22" t="inlineStr">
        <is>
          <t>Coeficiente de calibración de span</t>
        </is>
      </c>
      <c r="D29" s="24" t="inlineStr">
        <is>
          <t>Bloqueante</t>
        </is>
      </c>
      <c r="E29" s="22" t="inlineStr">
        <is>
          <t>Concentración del patrón mal configurada, caudal de exceso insuficiente, o pérdida de intensidad óptica</t>
        </is>
      </c>
      <c r="F29" s="20" t="n">
        <v>5</v>
      </c>
      <c r="G29" s="26" t="inlineStr">
        <is>
          <t>6.2.1</t>
        </is>
      </c>
      <c r="H29" s="22" t="inlineStr">
        <is>
          <t>Lámpara infrarroja (IR Lamp)</t>
        </is>
      </c>
      <c r="I29" s="22" t="inlineStr">
        <is>
          <t>Confirmar SPAN CONC. contra el certificado del cilindro y volver a calibrar</t>
        </is>
      </c>
      <c r="J29" s="20">
        <f>IFERROR(INDEX('APMA-370 (CO)'!$U$9:$U$88,MATCH($B29,'APMA-370 (CO)'!$A$9:$A$88,0)),"")</f>
        <v/>
      </c>
      <c r="K29" s="20">
        <f>IF(OR($J29="No conforme",$J29="Requiere reemplazo"),"SÍ — verificar destino","")</f>
        <v/>
      </c>
    </row>
    <row r="30" ht="36" customHeight="1">
      <c r="A30" s="20" t="inlineStr">
        <is>
          <t>APMA-370 (CO)</t>
        </is>
      </c>
      <c r="B30" s="26" t="inlineStr">
        <is>
          <t>3.2.1</t>
        </is>
      </c>
      <c r="C30" s="22" t="inlineStr">
        <is>
          <t>Presión de entrada de gas patrón</t>
        </is>
      </c>
      <c r="D30" s="24" t="inlineStr">
        <is>
          <t>Bloqueante</t>
        </is>
      </c>
      <c r="E30" s="22" t="inlineStr">
        <is>
          <t>Regulador del cilindro mal ajustado o cilindro despresurizado</t>
        </is>
      </c>
      <c r="F30" s="20" t="n">
        <v>1</v>
      </c>
      <c r="G30" s="26" t="inlineStr">
        <is>
          <t>3.2.2</t>
        </is>
      </c>
      <c r="H30" s="22" t="inlineStr">
        <is>
          <t>Caudal de exceso de gas de calibración (OVER FLOW)</t>
        </is>
      </c>
      <c r="I30" s="22" t="inlineStr">
        <is>
          <t>Reajustar el regulador de doble etapa hasta lograr overflow estable</t>
        </is>
      </c>
      <c r="J30" s="20">
        <f>IFERROR(INDEX('APMA-370 (CO)'!$U$9:$U$88,MATCH($B30,'APMA-370 (CO)'!$A$9:$A$88,0)),"")</f>
        <v/>
      </c>
      <c r="K30" s="20">
        <f>IF(OR($J30="No conforme",$J30="Requiere reemplazo"),"SÍ — verificar destino","")</f>
        <v/>
      </c>
    </row>
    <row r="31" ht="36" customHeight="1">
      <c r="A31" s="20" t="inlineStr">
        <is>
          <t>APMA-370 (CO)</t>
        </is>
      </c>
      <c r="B31" s="26" t="inlineStr">
        <is>
          <t>3.2.2</t>
        </is>
      </c>
      <c r="C31" s="22" t="inlineStr">
        <is>
          <t>Caudal de exceso de gas de calibración (OVER FLOW)</t>
        </is>
      </c>
      <c r="D31" s="24" t="inlineStr">
        <is>
          <t>Bloqueante</t>
        </is>
      </c>
      <c r="E31" s="22" t="inlineStr">
        <is>
          <t>Caudal insuficiente: el analizador aspira aire ambiente mezclado con el patrón</t>
        </is>
      </c>
      <c r="F31" s="20" t="n">
        <v>1</v>
      </c>
      <c r="G31" s="26" t="inlineStr">
        <is>
          <t>3.2.1</t>
        </is>
      </c>
      <c r="H31" s="22" t="inlineStr">
        <is>
          <t>Presión de entrada de gas patrón</t>
        </is>
      </c>
      <c r="I31" s="22" t="inlineStr">
        <is>
          <t>Subir el caudal por encima de 1,2 L/min y repetir la calibración</t>
        </is>
      </c>
      <c r="J31" s="20">
        <f>IFERROR(INDEX('APMA-370 (CO)'!$U$9:$U$88,MATCH($B31,'APMA-370 (CO)'!$A$9:$A$88,0)),"")</f>
        <v/>
      </c>
      <c r="K31" s="20">
        <f>IF(OR($J31="No conforme",$J31="Requiere reemplazo"),"SÍ — verificar destino","")</f>
        <v/>
      </c>
    </row>
    <row r="32" ht="36" customHeight="1">
      <c r="A32" s="20" t="inlineStr">
        <is>
          <t>APMA-370 (CO)</t>
        </is>
      </c>
      <c r="B32" s="26" t="inlineStr">
        <is>
          <t>3.2.2</t>
        </is>
      </c>
      <c r="C32" s="22" t="inlineStr">
        <is>
          <t>Caudal de exceso de gas de calibración (OVER FLOW)</t>
        </is>
      </c>
      <c r="D32" s="24" t="inlineStr">
        <is>
          <t>Bloqueante</t>
        </is>
      </c>
      <c r="E32" s="22" t="inlineStr">
        <is>
          <t>Caudal insuficiente: el analizador aspira aire ambiente mezclado con el patrón</t>
        </is>
      </c>
      <c r="F32" s="20" t="n">
        <v>2</v>
      </c>
      <c r="G32" s="26" t="inlineStr">
        <is>
          <t>5.3.2</t>
        </is>
      </c>
      <c r="H32" s="22" t="inlineStr">
        <is>
          <t>Prueba de estanqueidad (Leak Test)</t>
        </is>
      </c>
      <c r="I32" s="22" t="inlineStr">
        <is>
          <t>Subir el caudal por encima de 1,2 L/min y repetir la calibración</t>
        </is>
      </c>
      <c r="J32" s="20">
        <f>IFERROR(INDEX('APMA-370 (CO)'!$U$9:$U$88,MATCH($B32,'APMA-370 (CO)'!$A$9:$A$88,0)),"")</f>
        <v/>
      </c>
      <c r="K32" s="20">
        <f>IF(OR($J32="No conforme",$J32="Requiere reemplazo"),"SÍ — verificar destino","")</f>
        <v/>
      </c>
    </row>
    <row r="33" ht="36" customHeight="1">
      <c r="A33" s="20" t="inlineStr">
        <is>
          <t>APMA-370 (CO)</t>
        </is>
      </c>
      <c r="B33" s="26" t="inlineStr">
        <is>
          <t>4.1.1</t>
        </is>
      </c>
      <c r="C33" s="22" t="inlineStr">
        <is>
          <t>Férula de Sample Inlet (Sleeve)</t>
        </is>
      </c>
      <c r="D33" s="24" t="inlineStr">
        <is>
          <t>Bloqueante</t>
        </is>
      </c>
      <c r="E33" s="22" t="inlineStr">
        <is>
          <t>Férula ausente o mal montada: ingreso de aire falso por la entrada de muestra</t>
        </is>
      </c>
      <c r="F33" s="20" t="n">
        <v>1</v>
      </c>
      <c r="G33" s="26" t="inlineStr">
        <is>
          <t>5.3.2</t>
        </is>
      </c>
      <c r="H33" s="22" t="inlineStr">
        <is>
          <t>Prueba de estanqueidad (Leak Test)</t>
        </is>
      </c>
      <c r="I33" s="22" t="inlineStr">
        <is>
          <t>Instalar la férula, reapretar y repetir la prueba de estanqueidad antes de calibrar</t>
        </is>
      </c>
      <c r="J33" s="20">
        <f>IFERROR(INDEX('APMA-370 (CO)'!$U$9:$U$88,MATCH($B33,'APMA-370 (CO)'!$A$9:$A$88,0)),"")</f>
        <v/>
      </c>
      <c r="K33" s="20">
        <f>IF(OR($J33="No conforme",$J33="Requiere reemplazo"),"SÍ — verificar destino","")</f>
        <v/>
      </c>
    </row>
    <row r="34" ht="36" customHeight="1">
      <c r="A34" s="20" t="inlineStr">
        <is>
          <t>APMA-370 (CO)</t>
        </is>
      </c>
      <c r="B34" s="26" t="inlineStr">
        <is>
          <t>4.1.1</t>
        </is>
      </c>
      <c r="C34" s="22" t="inlineStr">
        <is>
          <t>Férula de Sample Inlet (Sleeve)</t>
        </is>
      </c>
      <c r="D34" s="24" t="inlineStr">
        <is>
          <t>Bloqueante</t>
        </is>
      </c>
      <c r="E34" s="22" t="inlineStr">
        <is>
          <t>Férula ausente o mal montada: ingreso de aire falso por la entrada de muestra</t>
        </is>
      </c>
      <c r="F34" s="20" t="n">
        <v>2</v>
      </c>
      <c r="G34" s="26" t="inlineStr">
        <is>
          <t>5.1.1</t>
        </is>
      </c>
      <c r="H34" s="22" t="inlineStr">
        <is>
          <t>Caudal volumétrico de muestra (SAMPLE)</t>
        </is>
      </c>
      <c r="I34" s="22" t="inlineStr">
        <is>
          <t>Instalar la férula, reapretar y repetir la prueba de estanqueidad antes de calibrar</t>
        </is>
      </c>
      <c r="J34" s="20">
        <f>IFERROR(INDEX('APMA-370 (CO)'!$U$9:$U$88,MATCH($B34,'APMA-370 (CO)'!$A$9:$A$88,0)),"")</f>
        <v/>
      </c>
      <c r="K34" s="20">
        <f>IF(OR($J34="No conforme",$J34="Requiere reemplazo"),"SÍ — verificar destino","")</f>
        <v/>
      </c>
    </row>
    <row r="35" ht="36" customHeight="1">
      <c r="A35" s="20" t="inlineStr">
        <is>
          <t>APMA-370 (CO)</t>
        </is>
      </c>
      <c r="B35" s="26" t="inlineStr">
        <is>
          <t>4.1.1</t>
        </is>
      </c>
      <c r="C35" s="22" t="inlineStr">
        <is>
          <t>Férula de Sample Inlet (Sleeve)</t>
        </is>
      </c>
      <c r="D35" s="24" t="inlineStr">
        <is>
          <t>Bloqueante</t>
        </is>
      </c>
      <c r="E35" s="22" t="inlineStr">
        <is>
          <t>Férula ausente o mal montada: ingreso de aire falso por la entrada de muestra</t>
        </is>
      </c>
      <c r="F35" s="20" t="n">
        <v>3</v>
      </c>
      <c r="G35" s="26" t="inlineStr">
        <is>
          <t>3.1.1</t>
        </is>
      </c>
      <c r="H35" s="22" t="inlineStr">
        <is>
          <t>Coeficiente de calibración de cero</t>
        </is>
      </c>
      <c r="I35" s="22" t="inlineStr">
        <is>
          <t>Instalar la férula, reapretar y repetir la prueba de estanqueidad antes de calibrar</t>
        </is>
      </c>
      <c r="J35" s="20">
        <f>IFERROR(INDEX('APMA-370 (CO)'!$U$9:$U$88,MATCH($B35,'APMA-370 (CO)'!$A$9:$A$88,0)),"")</f>
        <v/>
      </c>
      <c r="K35" s="20">
        <f>IF(OR($J35="No conforme",$J35="Requiere reemplazo"),"SÍ — verificar destino","")</f>
        <v/>
      </c>
    </row>
    <row r="36" ht="36" customHeight="1">
      <c r="A36" s="20" t="inlineStr">
        <is>
          <t>APMA-370 (CO)</t>
        </is>
      </c>
      <c r="B36" s="26" t="inlineStr">
        <is>
          <t>4.1.2</t>
        </is>
      </c>
      <c r="C36" s="22" t="inlineStr">
        <is>
          <t>Tuerca de Sample Inlet (Cap Nut)</t>
        </is>
      </c>
      <c r="D36" s="24" t="inlineStr">
        <is>
          <t>Bloqueante</t>
        </is>
      </c>
      <c r="E36" s="22" t="inlineStr">
        <is>
          <t>Tuerca ausente, fisurada o floja</t>
        </is>
      </c>
      <c r="F36" s="20" t="n">
        <v>1</v>
      </c>
      <c r="G36" s="26" t="inlineStr">
        <is>
          <t>5.3.2</t>
        </is>
      </c>
      <c r="H36" s="22" t="inlineStr">
        <is>
          <t>Prueba de estanqueidad (Leak Test)</t>
        </is>
      </c>
      <c r="I36" s="22" t="inlineStr">
        <is>
          <t>Reponer la tuerca de PVDF y repetir la prueba de estanqueidad</t>
        </is>
      </c>
      <c r="J36" s="20">
        <f>IFERROR(INDEX('APMA-370 (CO)'!$U$9:$U$88,MATCH($B36,'APMA-370 (CO)'!$A$9:$A$88,0)),"")</f>
        <v/>
      </c>
      <c r="K36" s="20">
        <f>IF(OR($J36="No conforme",$J36="Requiere reemplazo"),"SÍ — verificar destino","")</f>
        <v/>
      </c>
    </row>
    <row r="37" ht="36" customHeight="1">
      <c r="A37" s="20" t="inlineStr">
        <is>
          <t>APMA-370 (CO)</t>
        </is>
      </c>
      <c r="B37" s="26" t="inlineStr">
        <is>
          <t>4.1.2</t>
        </is>
      </c>
      <c r="C37" s="22" t="inlineStr">
        <is>
          <t>Tuerca de Sample Inlet (Cap Nut)</t>
        </is>
      </c>
      <c r="D37" s="24" t="inlineStr">
        <is>
          <t>Bloqueante</t>
        </is>
      </c>
      <c r="E37" s="22" t="inlineStr">
        <is>
          <t>Tuerca ausente, fisurada o floja</t>
        </is>
      </c>
      <c r="F37" s="20" t="n">
        <v>2</v>
      </c>
      <c r="G37" s="26" t="inlineStr">
        <is>
          <t>4.1.1</t>
        </is>
      </c>
      <c r="H37" s="22" t="inlineStr">
        <is>
          <t>Férula de Sample Inlet (Sleeve)</t>
        </is>
      </c>
      <c r="I37" s="22" t="inlineStr">
        <is>
          <t>Reponer la tuerca de PVDF y repetir la prueba de estanqueidad</t>
        </is>
      </c>
      <c r="J37" s="20">
        <f>IFERROR(INDEX('APMA-370 (CO)'!$U$9:$U$88,MATCH($B37,'APMA-370 (CO)'!$A$9:$A$88,0)),"")</f>
        <v/>
      </c>
      <c r="K37" s="20">
        <f>IF(OR($J37="No conforme",$J37="Requiere reemplazo"),"SÍ — verificar destino","")</f>
        <v/>
      </c>
    </row>
    <row r="38" ht="36" customHeight="1">
      <c r="A38" s="20" t="inlineStr">
        <is>
          <t>APMA-370 (CO)</t>
        </is>
      </c>
      <c r="B38" s="26" t="inlineStr">
        <is>
          <t>4.1.3</t>
        </is>
      </c>
      <c r="C38" s="22" t="inlineStr">
        <is>
          <t>Férula de Exhaust (Sleeve)</t>
        </is>
      </c>
      <c r="D38" s="24" t="inlineStr">
        <is>
          <t>Bloqueante</t>
        </is>
      </c>
      <c r="E38" s="22" t="inlineStr">
        <is>
          <t>Férula ausente: fuga de gases de escape hacia la cabina</t>
        </is>
      </c>
      <c r="F38" s="20" t="n">
        <v>1</v>
      </c>
      <c r="G38" s="26" t="inlineStr">
        <is>
          <t>5.3.2</t>
        </is>
      </c>
      <c r="H38" s="22" t="inlineStr">
        <is>
          <t>Prueba de estanqueidad (Leak Test)</t>
        </is>
      </c>
      <c r="I38" s="22" t="inlineStr">
        <is>
          <t>Instalar la férula y verificar que el escape quede canalizado</t>
        </is>
      </c>
      <c r="J38" s="20">
        <f>IFERROR(INDEX('APMA-370 (CO)'!$U$9:$U$88,MATCH($B38,'APMA-370 (CO)'!$A$9:$A$88,0)),"")</f>
        <v/>
      </c>
      <c r="K38" s="20">
        <f>IF(OR($J38="No conforme",$J38="Requiere reemplazo"),"SÍ — verificar destino","")</f>
        <v/>
      </c>
    </row>
    <row r="39" ht="24" customHeight="1">
      <c r="A39" s="20" t="inlineStr">
        <is>
          <t>APMA-370 (CO)</t>
        </is>
      </c>
      <c r="B39" s="26" t="inlineStr">
        <is>
          <t>4.1.4</t>
        </is>
      </c>
      <c r="C39" s="22" t="inlineStr">
        <is>
          <t>Tuerca de Exhaust (Cap Nut)</t>
        </is>
      </c>
      <c r="D39" s="24" t="inlineStr">
        <is>
          <t>Bloqueante</t>
        </is>
      </c>
      <c r="E39" s="22" t="inlineStr">
        <is>
          <t>Tuerca ausente o floja en la salida de escape</t>
        </is>
      </c>
      <c r="F39" s="20" t="n">
        <v>1</v>
      </c>
      <c r="G39" s="26" t="inlineStr">
        <is>
          <t>5.3.2</t>
        </is>
      </c>
      <c r="H39" s="22" t="inlineStr">
        <is>
          <t>Prueba de estanqueidad (Leak Test)</t>
        </is>
      </c>
      <c r="I39" s="22" t="inlineStr">
        <is>
          <t>Reponer la tuerca de PVDF y reapretar</t>
        </is>
      </c>
      <c r="J39" s="20">
        <f>IFERROR(INDEX('APMA-370 (CO)'!$U$9:$U$88,MATCH($B39,'APMA-370 (CO)'!$A$9:$A$88,0)),"")</f>
        <v/>
      </c>
      <c r="K39" s="20">
        <f>IF(OR($J39="No conforme",$J39="Requiere reemplazo"),"SÍ — verificar destino","")</f>
        <v/>
      </c>
    </row>
    <row r="40" ht="24" customHeight="1">
      <c r="A40" s="20" t="inlineStr">
        <is>
          <t>APMA-370 (CO)</t>
        </is>
      </c>
      <c r="B40" s="26" t="inlineStr">
        <is>
          <t>4.1.4</t>
        </is>
      </c>
      <c r="C40" s="22" t="inlineStr">
        <is>
          <t>Tuerca de Exhaust (Cap Nut)</t>
        </is>
      </c>
      <c r="D40" s="24" t="inlineStr">
        <is>
          <t>Bloqueante</t>
        </is>
      </c>
      <c r="E40" s="22" t="inlineStr">
        <is>
          <t>Tuerca ausente o floja en la salida de escape</t>
        </is>
      </c>
      <c r="F40" s="20" t="n">
        <v>2</v>
      </c>
      <c r="G40" s="26" t="inlineStr">
        <is>
          <t>4.1.3</t>
        </is>
      </c>
      <c r="H40" s="22" t="inlineStr">
        <is>
          <t>Férula de Exhaust (Sleeve)</t>
        </is>
      </c>
      <c r="I40" s="22" t="inlineStr">
        <is>
          <t>Reponer la tuerca de PVDF y reapretar</t>
        </is>
      </c>
      <c r="J40" s="20">
        <f>IFERROR(INDEX('APMA-370 (CO)'!$U$9:$U$88,MATCH($B40,'APMA-370 (CO)'!$A$9:$A$88,0)),"")</f>
        <v/>
      </c>
      <c r="K40" s="20">
        <f>IF(OR($J40="No conforme",$J40="Requiere reemplazo"),"SÍ — verificar destino","")</f>
        <v/>
      </c>
    </row>
    <row r="41" ht="36" customHeight="1">
      <c r="A41" s="20" t="inlineStr">
        <is>
          <t>APMA-370 (CO)</t>
        </is>
      </c>
      <c r="B41" s="26" t="inlineStr">
        <is>
          <t>4.1.5</t>
        </is>
      </c>
      <c r="C41" s="22" t="inlineStr">
        <is>
          <t>Panel Mount Union (SO21521-6 PVDF)</t>
        </is>
      </c>
      <c r="D41" s="24" t="inlineStr">
        <is>
          <t>Bloqueante</t>
        </is>
      </c>
      <c r="E41" s="22" t="inlineStr">
        <is>
          <t>Racor fisurado por sobreapriete o fatiga del plástico</t>
        </is>
      </c>
      <c r="F41" s="20" t="n">
        <v>1</v>
      </c>
      <c r="G41" s="26" t="inlineStr">
        <is>
          <t>5.3.2</t>
        </is>
      </c>
      <c r="H41" s="22" t="inlineStr">
        <is>
          <t>Prueba de estanqueidad (Leak Test)</t>
        </is>
      </c>
      <c r="I41" s="22" t="inlineStr">
        <is>
          <t>Reemplazar el racor pasamuros y repetir la prueba de estanqueidad</t>
        </is>
      </c>
      <c r="J41" s="20">
        <f>IFERROR(INDEX('APMA-370 (CO)'!$U$9:$U$88,MATCH($B41,'APMA-370 (CO)'!$A$9:$A$88,0)),"")</f>
        <v/>
      </c>
      <c r="K41" s="20">
        <f>IF(OR($J41="No conforme",$J41="Requiere reemplazo"),"SÍ — verificar destino","")</f>
        <v/>
      </c>
    </row>
    <row r="42" ht="36" customHeight="1">
      <c r="A42" s="20" t="inlineStr">
        <is>
          <t>APMA-370 (CO)</t>
        </is>
      </c>
      <c r="B42" s="26" t="inlineStr">
        <is>
          <t>4.2.1</t>
        </is>
      </c>
      <c r="C42" s="22" t="inlineStr">
        <is>
          <t>Colmatación del filtro de partículas PA-10L</t>
        </is>
      </c>
      <c r="D42" s="25" t="inlineStr">
        <is>
          <t>Cobrable</t>
        </is>
      </c>
      <c r="E42" s="22" t="inlineStr">
        <is>
          <t>Filtro saturado de material particulado, hollín o humedad</t>
        </is>
      </c>
      <c r="F42" s="20" t="n">
        <v>1</v>
      </c>
      <c r="G42" s="26" t="inlineStr">
        <is>
          <t>5.1.2</t>
        </is>
      </c>
      <c r="H42" s="22" t="inlineStr">
        <is>
          <t>Presión de succión de la bomba (PUMP)</t>
        </is>
      </c>
      <c r="I42" s="22" t="inlineStr">
        <is>
          <t>Reemplazar el elemento filtrante y reiniciar su horómetro</t>
        </is>
      </c>
      <c r="J42" s="20">
        <f>IFERROR(INDEX('APMA-370 (CO)'!$U$9:$U$88,MATCH($B42,'APMA-370 (CO)'!$A$9:$A$88,0)),"")</f>
        <v/>
      </c>
      <c r="K42" s="20">
        <f>IF(OR($J42="No conforme",$J42="Requiere reemplazo"),"SÍ — verificar destino","")</f>
        <v/>
      </c>
    </row>
    <row r="43" ht="36" customHeight="1">
      <c r="A43" s="20" t="inlineStr">
        <is>
          <t>APMA-370 (CO)</t>
        </is>
      </c>
      <c r="B43" s="26" t="inlineStr">
        <is>
          <t>4.2.1</t>
        </is>
      </c>
      <c r="C43" s="22" t="inlineStr">
        <is>
          <t>Colmatación del filtro de partículas PA-10L</t>
        </is>
      </c>
      <c r="D43" s="25" t="inlineStr">
        <is>
          <t>Cobrable</t>
        </is>
      </c>
      <c r="E43" s="22" t="inlineStr">
        <is>
          <t>Filtro saturado de material particulado, hollín o humedad</t>
        </is>
      </c>
      <c r="F43" s="20" t="n">
        <v>2</v>
      </c>
      <c r="G43" s="26" t="inlineStr">
        <is>
          <t>5.1.1</t>
        </is>
      </c>
      <c r="H43" s="22" t="inlineStr">
        <is>
          <t>Caudal volumétrico de muestra (SAMPLE)</t>
        </is>
      </c>
      <c r="I43" s="22" t="inlineStr">
        <is>
          <t>Reemplazar el elemento filtrante y reiniciar su horómetro</t>
        </is>
      </c>
      <c r="J43" s="20">
        <f>IFERROR(INDEX('APMA-370 (CO)'!$U$9:$U$88,MATCH($B43,'APMA-370 (CO)'!$A$9:$A$88,0)),"")</f>
        <v/>
      </c>
      <c r="K43" s="20">
        <f>IF(OR($J43="No conforme",$J43="Requiere reemplazo"),"SÍ — verificar destino","")</f>
        <v/>
      </c>
    </row>
    <row r="44" ht="36" customHeight="1">
      <c r="A44" s="20" t="inlineStr">
        <is>
          <t>APMA-370 (CO)</t>
        </is>
      </c>
      <c r="B44" s="26" t="inlineStr">
        <is>
          <t>4.2.1</t>
        </is>
      </c>
      <c r="C44" s="22" t="inlineStr">
        <is>
          <t>Colmatación del filtro de partículas PA-10L</t>
        </is>
      </c>
      <c r="D44" s="25" t="inlineStr">
        <is>
          <t>Cobrable</t>
        </is>
      </c>
      <c r="E44" s="22" t="inlineStr">
        <is>
          <t>Filtro saturado de material particulado, hollín o humedad</t>
        </is>
      </c>
      <c r="F44" s="20" t="n">
        <v>3</v>
      </c>
      <c r="G44" s="26" t="inlineStr">
        <is>
          <t>8.1.1</t>
        </is>
      </c>
      <c r="H44" s="22" t="inlineStr">
        <is>
          <t>Horas acumuladas del filtro de partículas PA-10L</t>
        </is>
      </c>
      <c r="I44" s="22" t="inlineStr">
        <is>
          <t>Reemplazar el elemento filtrante y reiniciar su horómetro</t>
        </is>
      </c>
      <c r="J44" s="20">
        <f>IFERROR(INDEX('APMA-370 (CO)'!$U$9:$U$88,MATCH($B44,'APMA-370 (CO)'!$A$9:$A$88,0)),"")</f>
        <v/>
      </c>
      <c r="K44" s="20">
        <f>IF(OR($J44="No conforme",$J44="Requiere reemplazo"),"SÍ — verificar destino","")</f>
        <v/>
      </c>
    </row>
    <row r="45" ht="36" customHeight="1">
      <c r="A45" s="20" t="inlineStr">
        <is>
          <t>APMA-370 (CO)</t>
        </is>
      </c>
      <c r="B45" s="26" t="inlineStr">
        <is>
          <t>4.2.2</t>
        </is>
      </c>
      <c r="C45" s="22" t="inlineStr">
        <is>
          <t>Empaque del filtro frontal (PA-10L)</t>
        </is>
      </c>
      <c r="D45" s="25" t="inlineStr">
        <is>
          <t>Cobrable</t>
        </is>
      </c>
      <c r="E45" s="22" t="inlineStr">
        <is>
          <t>Empaque endurecido o aplastado: fuga en el portafiltros</t>
        </is>
      </c>
      <c r="F45" s="20" t="n">
        <v>1</v>
      </c>
      <c r="G45" s="26" t="inlineStr">
        <is>
          <t>5.3.2</t>
        </is>
      </c>
      <c r="H45" s="22" t="inlineStr">
        <is>
          <t>Prueba de estanqueidad (Leak Test)</t>
        </is>
      </c>
      <c r="I45" s="22" t="inlineStr">
        <is>
          <t>Reemplazar el empaque y repetir la prueba de estanqueidad</t>
        </is>
      </c>
      <c r="J45" s="20">
        <f>IFERROR(INDEX('APMA-370 (CO)'!$U$9:$U$88,MATCH($B45,'APMA-370 (CO)'!$A$9:$A$88,0)),"")</f>
        <v/>
      </c>
      <c r="K45" s="20">
        <f>IF(OR($J45="No conforme",$J45="Requiere reemplazo"),"SÍ — verificar destino","")</f>
        <v/>
      </c>
    </row>
    <row r="46" ht="36" customHeight="1">
      <c r="A46" s="20" t="inlineStr">
        <is>
          <t>APMA-370 (CO)</t>
        </is>
      </c>
      <c r="B46" s="26" t="inlineStr">
        <is>
          <t>4.2.3</t>
        </is>
      </c>
      <c r="C46" s="22" t="inlineStr">
        <is>
          <t>Junta tórica del portafiltros (O-Ring)</t>
        </is>
      </c>
      <c r="D46" s="25" t="inlineStr">
        <is>
          <t>Cobrable</t>
        </is>
      </c>
      <c r="E46" s="22" t="inlineStr">
        <is>
          <t>Junta reseca o con microfisuras: fuga en la tapa</t>
        </is>
      </c>
      <c r="F46" s="20" t="n">
        <v>1</v>
      </c>
      <c r="G46" s="26" t="inlineStr">
        <is>
          <t>5.3.2</t>
        </is>
      </c>
      <c r="H46" s="22" t="inlineStr">
        <is>
          <t>Prueba de estanqueidad (Leak Test)</t>
        </is>
      </c>
      <c r="I46" s="22" t="inlineStr">
        <is>
          <t>Reemplazar la junta tórica y lubricarla levemente al montar</t>
        </is>
      </c>
      <c r="J46" s="20">
        <f>IFERROR(INDEX('APMA-370 (CO)'!$U$9:$U$88,MATCH($B46,'APMA-370 (CO)'!$A$9:$A$88,0)),"")</f>
        <v/>
      </c>
      <c r="K46" s="20">
        <f>IF(OR($J46="No conforme",$J46="Requiere reemplazo"),"SÍ — verificar destino","")</f>
        <v/>
      </c>
    </row>
    <row r="47" ht="36" customHeight="1">
      <c r="A47" s="20" t="inlineStr">
        <is>
          <t>APMA-370 (CO)</t>
        </is>
      </c>
      <c r="B47" s="26" t="inlineStr">
        <is>
          <t>4.3.1</t>
        </is>
      </c>
      <c r="C47" s="22" t="inlineStr">
        <is>
          <t>Trampa de humedad (Mist Catcher BAA)</t>
        </is>
      </c>
      <c r="D47" s="25" t="inlineStr">
        <is>
          <t>Cobrable</t>
        </is>
      </c>
      <c r="E47" s="22" t="inlineStr">
        <is>
          <t>Condensado acumulado por línea de muestreo sin trampa, o shelter con oscilación térmica</t>
        </is>
      </c>
      <c r="F47" s="20" t="n">
        <v>1</v>
      </c>
      <c r="G47" s="26" t="inlineStr">
        <is>
          <t>4.3.2</t>
        </is>
      </c>
      <c r="H47" s="22" t="inlineStr">
        <is>
          <t>Líneas de teflón internas</t>
        </is>
      </c>
      <c r="I47" s="22" t="inlineStr">
        <is>
          <t>Vaciar y secar la trampa, purgar el circuito con aire seco y corregir el origen del condensado</t>
        </is>
      </c>
      <c r="J47" s="20">
        <f>IFERROR(INDEX('APMA-370 (CO)'!$U$9:$U$88,MATCH($B47,'APMA-370 (CO)'!$A$9:$A$88,0)),"")</f>
        <v/>
      </c>
      <c r="K47" s="20">
        <f>IF(OR($J47="No conforme",$J47="Requiere reemplazo"),"SÍ — verificar destino","")</f>
        <v/>
      </c>
    </row>
    <row r="48" ht="36" customHeight="1">
      <c r="A48" s="20" t="inlineStr">
        <is>
          <t>APMA-370 (CO)</t>
        </is>
      </c>
      <c r="B48" s="26" t="inlineStr">
        <is>
          <t>4.3.1</t>
        </is>
      </c>
      <c r="C48" s="22" t="inlineStr">
        <is>
          <t>Trampa de humedad (Mist Catcher BAA)</t>
        </is>
      </c>
      <c r="D48" s="25" t="inlineStr">
        <is>
          <t>Cobrable</t>
        </is>
      </c>
      <c r="E48" s="22" t="inlineStr">
        <is>
          <t>Condensado acumulado por línea de muestreo sin trampa, o shelter con oscilación térmica</t>
        </is>
      </c>
      <c r="F48" s="20" t="n">
        <v>2</v>
      </c>
      <c r="G48" s="26" t="inlineStr">
        <is>
          <t>3.1.1</t>
        </is>
      </c>
      <c r="H48" s="22" t="inlineStr">
        <is>
          <t>Coeficiente de calibración de cero</t>
        </is>
      </c>
      <c r="I48" s="22" t="inlineStr">
        <is>
          <t>Vaciar y secar la trampa, purgar el circuito con aire seco y corregir el origen del condensado</t>
        </is>
      </c>
      <c r="J48" s="20">
        <f>IFERROR(INDEX('APMA-370 (CO)'!$U$9:$U$88,MATCH($B48,'APMA-370 (CO)'!$A$9:$A$88,0)),"")</f>
        <v/>
      </c>
      <c r="K48" s="20">
        <f>IF(OR($J48="No conforme",$J48="Requiere reemplazo"),"SÍ — verificar destino","")</f>
        <v/>
      </c>
    </row>
    <row r="49" ht="36" customHeight="1">
      <c r="A49" s="20" t="inlineStr">
        <is>
          <t>APMA-370 (CO)</t>
        </is>
      </c>
      <c r="B49" s="26" t="inlineStr">
        <is>
          <t>4.3.1</t>
        </is>
      </c>
      <c r="C49" s="22" t="inlineStr">
        <is>
          <t>Trampa de humedad (Mist Catcher BAA)</t>
        </is>
      </c>
      <c r="D49" s="25" t="inlineStr">
        <is>
          <t>Cobrable</t>
        </is>
      </c>
      <c r="E49" s="22" t="inlineStr">
        <is>
          <t>Condensado acumulado por línea de muestreo sin trampa, o shelter con oscilación térmica</t>
        </is>
      </c>
      <c r="F49" s="20" t="n">
        <v>3</v>
      </c>
      <c r="G49" s="26" t="inlineStr">
        <is>
          <t>10.4.1</t>
        </is>
      </c>
      <c r="H49" s="22" t="inlineStr">
        <is>
          <t>Temperatura ambiental de operación de la sala</t>
        </is>
      </c>
      <c r="I49" s="22" t="inlineStr">
        <is>
          <t>Vaciar y secar la trampa, purgar el circuito con aire seco y corregir el origen del condensado</t>
        </is>
      </c>
      <c r="J49" s="20">
        <f>IFERROR(INDEX('APMA-370 (CO)'!$U$9:$U$88,MATCH($B49,'APMA-370 (CO)'!$A$9:$A$88,0)),"")</f>
        <v/>
      </c>
      <c r="K49" s="20">
        <f>IF(OR($J49="No conforme",$J49="Requiere reemplazo"),"SÍ — verificar destino","")</f>
        <v/>
      </c>
    </row>
    <row r="50" ht="24" customHeight="1">
      <c r="A50" s="20" t="inlineStr">
        <is>
          <t>APMA-370 (CO)</t>
        </is>
      </c>
      <c r="B50" s="26" t="inlineStr">
        <is>
          <t>4.3.2</t>
        </is>
      </c>
      <c r="C50" s="22" t="inlineStr">
        <is>
          <t>Líneas de teflón internas</t>
        </is>
      </c>
      <c r="D50" s="25" t="inlineStr">
        <is>
          <t>Cobrable</t>
        </is>
      </c>
      <c r="E50" s="22" t="inlineStr">
        <is>
          <t>Manguera doblada, aplastada o con suciedad interna</t>
        </is>
      </c>
      <c r="F50" s="20" t="n">
        <v>1</v>
      </c>
      <c r="G50" s="26" t="inlineStr">
        <is>
          <t>5.1.1</t>
        </is>
      </c>
      <c r="H50" s="22" t="inlineStr">
        <is>
          <t>Caudal volumétrico de muestra (SAMPLE)</t>
        </is>
      </c>
      <c r="I50" s="22" t="inlineStr">
        <is>
          <t>Rectificar el trazado o reemplazar el tramo afectado</t>
        </is>
      </c>
      <c r="J50" s="20">
        <f>IFERROR(INDEX('APMA-370 (CO)'!$U$9:$U$88,MATCH($B50,'APMA-370 (CO)'!$A$9:$A$88,0)),"")</f>
        <v/>
      </c>
      <c r="K50" s="20">
        <f>IF(OR($J50="No conforme",$J50="Requiere reemplazo"),"SÍ — verificar destino","")</f>
        <v/>
      </c>
    </row>
    <row r="51" ht="24" customHeight="1">
      <c r="A51" s="20" t="inlineStr">
        <is>
          <t>APMA-370 (CO)</t>
        </is>
      </c>
      <c r="B51" s="26" t="inlineStr">
        <is>
          <t>4.3.2</t>
        </is>
      </c>
      <c r="C51" s="22" t="inlineStr">
        <is>
          <t>Líneas de teflón internas</t>
        </is>
      </c>
      <c r="D51" s="25" t="inlineStr">
        <is>
          <t>Cobrable</t>
        </is>
      </c>
      <c r="E51" s="22" t="inlineStr">
        <is>
          <t>Manguera doblada, aplastada o con suciedad interna</t>
        </is>
      </c>
      <c r="F51" s="20" t="n">
        <v>2</v>
      </c>
      <c r="G51" s="26" t="inlineStr">
        <is>
          <t>5.1.2</t>
        </is>
      </c>
      <c r="H51" s="22" t="inlineStr">
        <is>
          <t>Presión de succión de la bomba (PUMP)</t>
        </is>
      </c>
      <c r="I51" s="22" t="inlineStr">
        <is>
          <t>Rectificar el trazado o reemplazar el tramo afectado</t>
        </is>
      </c>
      <c r="J51" s="20">
        <f>IFERROR(INDEX('APMA-370 (CO)'!$U$9:$U$88,MATCH($B51,'APMA-370 (CO)'!$A$9:$A$88,0)),"")</f>
        <v/>
      </c>
      <c r="K51" s="20">
        <f>IF(OR($J51="No conforme",$J51="Requiere reemplazo"),"SÍ — verificar destino","")</f>
        <v/>
      </c>
    </row>
    <row r="52" ht="36" customHeight="1">
      <c r="A52" s="20" t="inlineStr">
        <is>
          <t>APMA-370 (CO)</t>
        </is>
      </c>
      <c r="B52" s="26" t="inlineStr">
        <is>
          <t>5.1.1</t>
        </is>
      </c>
      <c r="C52" s="22" t="inlineStr">
        <is>
          <t>Caudal volumétrico de muestra (SAMPLE)</t>
        </is>
      </c>
      <c r="D52" s="24" t="inlineStr">
        <is>
          <t>Bloqueante</t>
        </is>
      </c>
      <c r="E52" s="22" t="inlineStr">
        <is>
          <t>Filtro colmatado, fuga en el circuito, o diafragma de bomba desgastado</t>
        </is>
      </c>
      <c r="F52" s="20" t="n">
        <v>1</v>
      </c>
      <c r="G52" s="26" t="inlineStr">
        <is>
          <t>4.2.1</t>
        </is>
      </c>
      <c r="H52" s="22" t="inlineStr">
        <is>
          <t>Colmatación del filtro de partículas PA-10L</t>
        </is>
      </c>
      <c r="I52" s="22" t="inlineStr">
        <is>
          <t>Medir el caudal real con flujómetro de burbuja en SAMPLE INLET y recorrer la rama en ese orden</t>
        </is>
      </c>
      <c r="J52" s="20">
        <f>IFERROR(INDEX('APMA-370 (CO)'!$U$9:$U$88,MATCH($B52,'APMA-370 (CO)'!$A$9:$A$88,0)),"")</f>
        <v/>
      </c>
      <c r="K52" s="20">
        <f>IF(OR($J52="No conforme",$J52="Requiere reemplazo"),"SÍ — verificar destino","")</f>
        <v/>
      </c>
    </row>
    <row r="53" ht="36" customHeight="1">
      <c r="A53" s="20" t="inlineStr">
        <is>
          <t>APMA-370 (CO)</t>
        </is>
      </c>
      <c r="B53" s="26" t="inlineStr">
        <is>
          <t>5.1.1</t>
        </is>
      </c>
      <c r="C53" s="22" t="inlineStr">
        <is>
          <t>Caudal volumétrico de muestra (SAMPLE)</t>
        </is>
      </c>
      <c r="D53" s="24" t="inlineStr">
        <is>
          <t>Bloqueante</t>
        </is>
      </c>
      <c r="E53" s="22" t="inlineStr">
        <is>
          <t>Filtro colmatado, fuga en el circuito, o diafragma de bomba desgastado</t>
        </is>
      </c>
      <c r="F53" s="20" t="n">
        <v>2</v>
      </c>
      <c r="G53" s="26" t="inlineStr">
        <is>
          <t>5.1.2</t>
        </is>
      </c>
      <c r="H53" s="22" t="inlineStr">
        <is>
          <t>Presión de succión de la bomba (PUMP)</t>
        </is>
      </c>
      <c r="I53" s="22" t="inlineStr">
        <is>
          <t>Medir el caudal real con flujómetro de burbuja en SAMPLE INLET y recorrer la rama en ese orden</t>
        </is>
      </c>
      <c r="J53" s="20">
        <f>IFERROR(INDEX('APMA-370 (CO)'!$U$9:$U$88,MATCH($B53,'APMA-370 (CO)'!$A$9:$A$88,0)),"")</f>
        <v/>
      </c>
      <c r="K53" s="20">
        <f>IF(OR($J53="No conforme",$J53="Requiere reemplazo"),"SÍ — verificar destino","")</f>
        <v/>
      </c>
    </row>
    <row r="54" ht="36" customHeight="1">
      <c r="A54" s="20" t="inlineStr">
        <is>
          <t>APMA-370 (CO)</t>
        </is>
      </c>
      <c r="B54" s="26" t="inlineStr">
        <is>
          <t>5.1.1</t>
        </is>
      </c>
      <c r="C54" s="22" t="inlineStr">
        <is>
          <t>Caudal volumétrico de muestra (SAMPLE)</t>
        </is>
      </c>
      <c r="D54" s="24" t="inlineStr">
        <is>
          <t>Bloqueante</t>
        </is>
      </c>
      <c r="E54" s="22" t="inlineStr">
        <is>
          <t>Filtro colmatado, fuga en el circuito, o diafragma de bomba desgastado</t>
        </is>
      </c>
      <c r="F54" s="20" t="n">
        <v>3</v>
      </c>
      <c r="G54" s="26" t="inlineStr">
        <is>
          <t>5.2.2</t>
        </is>
      </c>
      <c r="H54" s="22" t="inlineStr">
        <is>
          <t>Desgaste de diafragmas de la bomba (P-1-D)</t>
        </is>
      </c>
      <c r="I54" s="22" t="inlineStr">
        <is>
          <t>Medir el caudal real con flujómetro de burbuja en SAMPLE INLET y recorrer la rama en ese orden</t>
        </is>
      </c>
      <c r="J54" s="20">
        <f>IFERROR(INDEX('APMA-370 (CO)'!$U$9:$U$88,MATCH($B54,'APMA-370 (CO)'!$A$9:$A$88,0)),"")</f>
        <v/>
      </c>
      <c r="K54" s="20">
        <f>IF(OR($J54="No conforme",$J54="Requiere reemplazo"),"SÍ — verificar destino","")</f>
        <v/>
      </c>
    </row>
    <row r="55" ht="36" customHeight="1">
      <c r="A55" s="20" t="inlineStr">
        <is>
          <t>APMA-370 (CO)</t>
        </is>
      </c>
      <c r="B55" s="26" t="inlineStr">
        <is>
          <t>5.1.1</t>
        </is>
      </c>
      <c r="C55" s="22" t="inlineStr">
        <is>
          <t>Caudal volumétrico de muestra (SAMPLE)</t>
        </is>
      </c>
      <c r="D55" s="24" t="inlineStr">
        <is>
          <t>Bloqueante</t>
        </is>
      </c>
      <c r="E55" s="22" t="inlineStr">
        <is>
          <t>Filtro colmatado, fuga en el circuito, o diafragma de bomba desgastado</t>
        </is>
      </c>
      <c r="F55" s="20" t="n">
        <v>4</v>
      </c>
      <c r="G55" s="26" t="inlineStr">
        <is>
          <t>5.3.2</t>
        </is>
      </c>
      <c r="H55" s="22" t="inlineStr">
        <is>
          <t>Prueba de estanqueidad (Leak Test)</t>
        </is>
      </c>
      <c r="I55" s="22" t="inlineStr">
        <is>
          <t>Medir el caudal real con flujómetro de burbuja en SAMPLE INLET y recorrer la rama en ese orden</t>
        </is>
      </c>
      <c r="J55" s="20">
        <f>IFERROR(INDEX('APMA-370 (CO)'!$U$9:$U$88,MATCH($B55,'APMA-370 (CO)'!$A$9:$A$88,0)),"")</f>
        <v/>
      </c>
      <c r="K55" s="20">
        <f>IF(OR($J55="No conforme",$J55="Requiere reemplazo"),"SÍ — verificar destino","")</f>
        <v/>
      </c>
    </row>
    <row r="56" ht="48" customHeight="1">
      <c r="A56" s="20" t="inlineStr">
        <is>
          <t>APMA-370 (CO)</t>
        </is>
      </c>
      <c r="B56" s="26" t="inlineStr">
        <is>
          <t>5.1.2</t>
        </is>
      </c>
      <c r="C56" s="22" t="inlineStr">
        <is>
          <t>Presión de succión de la bomba (PUMP)</t>
        </is>
      </c>
      <c r="D56" s="24" t="inlineStr">
        <is>
          <t>Bloqueante</t>
        </is>
      </c>
      <c r="E56" s="22" t="inlineStr">
        <is>
          <t>Vacío alto: obstrucción aguas arriba. Vacío bajo: fuga o diafragma roto</t>
        </is>
      </c>
      <c r="F56" s="20" t="n">
        <v>1</v>
      </c>
      <c r="G56" s="26" t="inlineStr">
        <is>
          <t>4.2.1</t>
        </is>
      </c>
      <c r="H56" s="22" t="inlineStr">
        <is>
          <t>Colmatación del filtro de partículas PA-10L</t>
        </is>
      </c>
      <c r="I56" s="22" t="inlineStr">
        <is>
          <t>Desconectar la línea en SAMPLE INLET: si la presión cae, la obstrucción está aguas arriba; si no, está dentro del equipo</t>
        </is>
      </c>
      <c r="J56" s="20">
        <f>IFERROR(INDEX('APMA-370 (CO)'!$U$9:$U$88,MATCH($B56,'APMA-370 (CO)'!$A$9:$A$88,0)),"")</f>
        <v/>
      </c>
      <c r="K56" s="20">
        <f>IF(OR($J56="No conforme",$J56="Requiere reemplazo"),"SÍ — verificar destino","")</f>
        <v/>
      </c>
    </row>
    <row r="57" ht="48" customHeight="1">
      <c r="A57" s="20" t="inlineStr">
        <is>
          <t>APMA-370 (CO)</t>
        </is>
      </c>
      <c r="B57" s="26" t="inlineStr">
        <is>
          <t>5.1.2</t>
        </is>
      </c>
      <c r="C57" s="22" t="inlineStr">
        <is>
          <t>Presión de succión de la bomba (PUMP)</t>
        </is>
      </c>
      <c r="D57" s="24" t="inlineStr">
        <is>
          <t>Bloqueante</t>
        </is>
      </c>
      <c r="E57" s="22" t="inlineStr">
        <is>
          <t>Vacío alto: obstrucción aguas arriba. Vacío bajo: fuga o diafragma roto</t>
        </is>
      </c>
      <c r="F57" s="20" t="n">
        <v>2</v>
      </c>
      <c r="G57" s="26" t="inlineStr">
        <is>
          <t>4.3.2</t>
        </is>
      </c>
      <c r="H57" s="22" t="inlineStr">
        <is>
          <t>Líneas de teflón internas</t>
        </is>
      </c>
      <c r="I57" s="22" t="inlineStr">
        <is>
          <t>Desconectar la línea en SAMPLE INLET: si la presión cae, la obstrucción está aguas arriba; si no, está dentro del equipo</t>
        </is>
      </c>
      <c r="J57" s="20">
        <f>IFERROR(INDEX('APMA-370 (CO)'!$U$9:$U$88,MATCH($B57,'APMA-370 (CO)'!$A$9:$A$88,0)),"")</f>
        <v/>
      </c>
      <c r="K57" s="20">
        <f>IF(OR($J57="No conforme",$J57="Requiere reemplazo"),"SÍ — verificar destino","")</f>
        <v/>
      </c>
    </row>
    <row r="58" ht="48" customHeight="1">
      <c r="A58" s="20" t="inlineStr">
        <is>
          <t>APMA-370 (CO)</t>
        </is>
      </c>
      <c r="B58" s="26" t="inlineStr">
        <is>
          <t>5.1.2</t>
        </is>
      </c>
      <c r="C58" s="22" t="inlineStr">
        <is>
          <t>Presión de succión de la bomba (PUMP)</t>
        </is>
      </c>
      <c r="D58" s="24" t="inlineStr">
        <is>
          <t>Bloqueante</t>
        </is>
      </c>
      <c r="E58" s="22" t="inlineStr">
        <is>
          <t>Vacío alto: obstrucción aguas arriba. Vacío bajo: fuga o diafragma roto</t>
        </is>
      </c>
      <c r="F58" s="20" t="n">
        <v>3</v>
      </c>
      <c r="G58" s="26" t="inlineStr">
        <is>
          <t>5.2.2</t>
        </is>
      </c>
      <c r="H58" s="22" t="inlineStr">
        <is>
          <t>Desgaste de diafragmas de la bomba (P-1-D)</t>
        </is>
      </c>
      <c r="I58" s="22" t="inlineStr">
        <is>
          <t>Desconectar la línea en SAMPLE INLET: si la presión cae, la obstrucción está aguas arriba; si no, está dentro del equipo</t>
        </is>
      </c>
      <c r="J58" s="20">
        <f>IFERROR(INDEX('APMA-370 (CO)'!$U$9:$U$88,MATCH($B58,'APMA-370 (CO)'!$A$9:$A$88,0)),"")</f>
        <v/>
      </c>
      <c r="K58" s="20">
        <f>IF(OR($J58="No conforme",$J58="Requiere reemplazo"),"SÍ — verificar destino","")</f>
        <v/>
      </c>
    </row>
    <row r="59" ht="48" customHeight="1">
      <c r="A59" s="20" t="inlineStr">
        <is>
          <t>APMA-370 (CO)</t>
        </is>
      </c>
      <c r="B59" s="26" t="inlineStr">
        <is>
          <t>5.1.2</t>
        </is>
      </c>
      <c r="C59" s="22" t="inlineStr">
        <is>
          <t>Presión de succión de la bomba (PUMP)</t>
        </is>
      </c>
      <c r="D59" s="24" t="inlineStr">
        <is>
          <t>Bloqueante</t>
        </is>
      </c>
      <c r="E59" s="22" t="inlineStr">
        <is>
          <t>Vacío alto: obstrucción aguas arriba. Vacío bajo: fuga o diafragma roto</t>
        </is>
      </c>
      <c r="F59" s="20" t="n">
        <v>4</v>
      </c>
      <c r="G59" s="26" t="inlineStr">
        <is>
          <t>5.3.2</t>
        </is>
      </c>
      <c r="H59" s="22" t="inlineStr">
        <is>
          <t>Prueba de estanqueidad (Leak Test)</t>
        </is>
      </c>
      <c r="I59" s="22" t="inlineStr">
        <is>
          <t>Desconectar la línea en SAMPLE INLET: si la presión cae, la obstrucción está aguas arriba; si no, está dentro del equipo</t>
        </is>
      </c>
      <c r="J59" s="20">
        <f>IFERROR(INDEX('APMA-370 (CO)'!$U$9:$U$88,MATCH($B59,'APMA-370 (CO)'!$A$9:$A$88,0)),"")</f>
        <v/>
      </c>
      <c r="K59" s="20">
        <f>IF(OR($J59="No conforme",$J59="Requiere reemplazo"),"SÍ — verificar destino","")</f>
        <v/>
      </c>
    </row>
    <row r="60" ht="36" customHeight="1">
      <c r="A60" s="20" t="inlineStr">
        <is>
          <t>APMA-370 (CO)</t>
        </is>
      </c>
      <c r="B60" s="26" t="inlineStr">
        <is>
          <t>5.2.1</t>
        </is>
      </c>
      <c r="C60" s="22" t="inlineStr">
        <is>
          <t>Vibración y ruido mecánico de la bomba (P-1-B)</t>
        </is>
      </c>
      <c r="D60" s="25" t="inlineStr">
        <is>
          <t>Cobrable</t>
        </is>
      </c>
      <c r="E60" s="22" t="inlineStr">
        <is>
          <t>Diafragma roto (siseo de aire) o rodamiento y motor dañados (golpeteo metálico)</t>
        </is>
      </c>
      <c r="F60" s="20" t="n">
        <v>1</v>
      </c>
      <c r="G60" s="26" t="inlineStr">
        <is>
          <t>5.2.2</t>
        </is>
      </c>
      <c r="H60" s="22" t="inlineStr">
        <is>
          <t>Desgaste de diafragmas de la bomba (P-1-D)</t>
        </is>
      </c>
      <c r="I60" s="22" t="inlineStr">
        <is>
          <t>Discriminar por el tipo de ruido y reemplazar diafragmas o la unidad de bomba completa</t>
        </is>
      </c>
      <c r="J60" s="20">
        <f>IFERROR(INDEX('APMA-370 (CO)'!$U$9:$U$88,MATCH($B60,'APMA-370 (CO)'!$A$9:$A$88,0)),"")</f>
        <v/>
      </c>
      <c r="K60" s="20">
        <f>IF(OR($J60="No conforme",$J60="Requiere reemplazo"),"SÍ — verificar destino","")</f>
        <v/>
      </c>
    </row>
    <row r="61" ht="36" customHeight="1">
      <c r="A61" s="20" t="inlineStr">
        <is>
          <t>APMA-370 (CO)</t>
        </is>
      </c>
      <c r="B61" s="26" t="inlineStr">
        <is>
          <t>5.2.1</t>
        </is>
      </c>
      <c r="C61" s="22" t="inlineStr">
        <is>
          <t>Vibración y ruido mecánico de la bomba (P-1-B)</t>
        </is>
      </c>
      <c r="D61" s="25" t="inlineStr">
        <is>
          <t>Cobrable</t>
        </is>
      </c>
      <c r="E61" s="22" t="inlineStr">
        <is>
          <t>Diafragma roto (siseo de aire) o rodamiento y motor dañados (golpeteo metálico)</t>
        </is>
      </c>
      <c r="F61" s="20" t="n">
        <v>2</v>
      </c>
      <c r="G61" s="26" t="inlineStr">
        <is>
          <t>5.2.3</t>
        </is>
      </c>
      <c r="H61" s="22" t="inlineStr">
        <is>
          <t>Limpieza de cabezales y válvulas de la bomba</t>
        </is>
      </c>
      <c r="I61" s="22" t="inlineStr">
        <is>
          <t>Discriminar por el tipo de ruido y reemplazar diafragmas o la unidad de bomba completa</t>
        </is>
      </c>
      <c r="J61" s="20">
        <f>IFERROR(INDEX('APMA-370 (CO)'!$U$9:$U$88,MATCH($B61,'APMA-370 (CO)'!$A$9:$A$88,0)),"")</f>
        <v/>
      </c>
      <c r="K61" s="20">
        <f>IF(OR($J61="No conforme",$J61="Requiere reemplazo"),"SÍ — verificar destino","")</f>
        <v/>
      </c>
    </row>
    <row r="62" ht="36" customHeight="1">
      <c r="A62" s="20" t="inlineStr">
        <is>
          <t>APMA-370 (CO)</t>
        </is>
      </c>
      <c r="B62" s="26" t="inlineStr">
        <is>
          <t>5.2.1</t>
        </is>
      </c>
      <c r="C62" s="22" t="inlineStr">
        <is>
          <t>Vibración y ruido mecánico de la bomba (P-1-B)</t>
        </is>
      </c>
      <c r="D62" s="25" t="inlineStr">
        <is>
          <t>Cobrable</t>
        </is>
      </c>
      <c r="E62" s="22" t="inlineStr">
        <is>
          <t>Diafragma roto (siseo de aire) o rodamiento y motor dañados (golpeteo metálico)</t>
        </is>
      </c>
      <c r="F62" s="20" t="n">
        <v>3</v>
      </c>
      <c r="G62" s="26" t="inlineStr">
        <is>
          <t>5.1.2</t>
        </is>
      </c>
      <c r="H62" s="22" t="inlineStr">
        <is>
          <t>Presión de succión de la bomba (PUMP)</t>
        </is>
      </c>
      <c r="I62" s="22" t="inlineStr">
        <is>
          <t>Discriminar por el tipo de ruido y reemplazar diafragmas o la unidad de bomba completa</t>
        </is>
      </c>
      <c r="J62" s="20">
        <f>IFERROR(INDEX('APMA-370 (CO)'!$U$9:$U$88,MATCH($B62,'APMA-370 (CO)'!$A$9:$A$88,0)),"")</f>
        <v/>
      </c>
      <c r="K62" s="20">
        <f>IF(OR($J62="No conforme",$J62="Requiere reemplazo"),"SÍ — verificar destino","")</f>
        <v/>
      </c>
    </row>
    <row r="63" ht="36" customHeight="1">
      <c r="A63" s="20" t="inlineStr">
        <is>
          <t>APMA-370 (CO)</t>
        </is>
      </c>
      <c r="B63" s="26" t="inlineStr">
        <is>
          <t>5.2.2</t>
        </is>
      </c>
      <c r="C63" s="22" t="inlineStr">
        <is>
          <t>Desgaste de diafragmas de la bomba (P-1-D)</t>
        </is>
      </c>
      <c r="D63" s="25" t="inlineStr">
        <is>
          <t>Cobrable</t>
        </is>
      </c>
      <c r="E63" s="22" t="inlineStr">
        <is>
          <t>Fatiga del EPDM por horas de servicio, o arrastre de condensado hacia el cabezal</t>
        </is>
      </c>
      <c r="F63" s="20" t="n">
        <v>1</v>
      </c>
      <c r="G63" s="26" t="inlineStr">
        <is>
          <t>8.1.2</t>
        </is>
      </c>
      <c r="H63" s="22" t="inlineStr">
        <is>
          <t>Horas acumuladas de diafragmas de la bomba (P-1-D)</t>
        </is>
      </c>
      <c r="I63" s="22" t="inlineStr">
        <is>
          <t>Reemplazar el juego de diafragmas, reiniciar el horómetro y corregir el origen del condensado</t>
        </is>
      </c>
      <c r="J63" s="20">
        <f>IFERROR(INDEX('APMA-370 (CO)'!$U$9:$U$88,MATCH($B63,'APMA-370 (CO)'!$A$9:$A$88,0)),"")</f>
        <v/>
      </c>
      <c r="K63" s="20">
        <f>IF(OR($J63="No conforme",$J63="Requiere reemplazo"),"SÍ — verificar destino","")</f>
        <v/>
      </c>
    </row>
    <row r="64" ht="36" customHeight="1">
      <c r="A64" s="20" t="inlineStr">
        <is>
          <t>APMA-370 (CO)</t>
        </is>
      </c>
      <c r="B64" s="26" t="inlineStr">
        <is>
          <t>5.2.2</t>
        </is>
      </c>
      <c r="C64" s="22" t="inlineStr">
        <is>
          <t>Desgaste de diafragmas de la bomba (P-1-D)</t>
        </is>
      </c>
      <c r="D64" s="25" t="inlineStr">
        <is>
          <t>Cobrable</t>
        </is>
      </c>
      <c r="E64" s="22" t="inlineStr">
        <is>
          <t>Fatiga del EPDM por horas de servicio, o arrastre de condensado hacia el cabezal</t>
        </is>
      </c>
      <c r="F64" s="20" t="n">
        <v>2</v>
      </c>
      <c r="G64" s="26" t="inlineStr">
        <is>
          <t>4.3.1</t>
        </is>
      </c>
      <c r="H64" s="22" t="inlineStr">
        <is>
          <t>Trampa de humedad (Mist Catcher BAA)</t>
        </is>
      </c>
      <c r="I64" s="22" t="inlineStr">
        <is>
          <t>Reemplazar el juego de diafragmas, reiniciar el horómetro y corregir el origen del condensado</t>
        </is>
      </c>
      <c r="J64" s="20">
        <f>IFERROR(INDEX('APMA-370 (CO)'!$U$9:$U$88,MATCH($B64,'APMA-370 (CO)'!$A$9:$A$88,0)),"")</f>
        <v/>
      </c>
      <c r="K64" s="20">
        <f>IF(OR($J64="No conforme",$J64="Requiere reemplazo"),"SÍ — verificar destino","")</f>
        <v/>
      </c>
    </row>
    <row r="65" ht="36" customHeight="1">
      <c r="A65" s="20" t="inlineStr">
        <is>
          <t>APMA-370 (CO)</t>
        </is>
      </c>
      <c r="B65" s="26" t="inlineStr">
        <is>
          <t>5.2.3</t>
        </is>
      </c>
      <c r="C65" s="22" t="inlineStr">
        <is>
          <t>Limpieza de cabezales y válvulas de la bomba</t>
        </is>
      </c>
      <c r="D65" s="25" t="inlineStr">
        <is>
          <t>Cobrable</t>
        </is>
      </c>
      <c r="E65" s="22" t="inlineStr">
        <is>
          <t>Depósitos de polvo negro por filtro colmatado o por operación sin filtro</t>
        </is>
      </c>
      <c r="F65" s="20" t="n">
        <v>1</v>
      </c>
      <c r="G65" s="26" t="inlineStr">
        <is>
          <t>4.2.1</t>
        </is>
      </c>
      <c r="H65" s="22" t="inlineStr">
        <is>
          <t>Colmatación del filtro de partículas PA-10L</t>
        </is>
      </c>
      <c r="I65" s="22" t="inlineStr">
        <is>
          <t>Limpiar cámaras y válvulas planas, y corregir la causa aguas arriba</t>
        </is>
      </c>
      <c r="J65" s="20">
        <f>IFERROR(INDEX('APMA-370 (CO)'!$U$9:$U$88,MATCH($B65,'APMA-370 (CO)'!$A$9:$A$88,0)),"")</f>
        <v/>
      </c>
      <c r="K65" s="20">
        <f>IF(OR($J65="No conforme",$J65="Requiere reemplazo"),"SÍ — verificar destino","")</f>
        <v/>
      </c>
    </row>
    <row r="66" ht="36" customHeight="1">
      <c r="A66" s="20" t="inlineStr">
        <is>
          <t>APMA-370 (CO)</t>
        </is>
      </c>
      <c r="B66" s="26" t="inlineStr">
        <is>
          <t>5.3.1</t>
        </is>
      </c>
      <c r="C66" s="22" t="inlineStr">
        <is>
          <t>Conmutación de la válvula de modulación (SV-2)</t>
        </is>
      </c>
      <c r="D66" s="24" t="inlineStr">
        <is>
          <t>Bloqueante</t>
        </is>
      </c>
      <c r="E66" s="22" t="inlineStr">
        <is>
          <t>Bobina quemada, vástago atascado o fuga interna en la válvula</t>
        </is>
      </c>
      <c r="F66" s="20" t="n">
        <v>1</v>
      </c>
      <c r="G66" s="26" t="inlineStr">
        <is>
          <t>6.1.1</t>
        </is>
      </c>
      <c r="H66" s="22" t="inlineStr">
        <is>
          <t>Tensión de señal principal (SIGNAL MAIN)</t>
        </is>
      </c>
      <c r="I66" s="22" t="inlineStr">
        <is>
          <t>Reemplazar la unidad de electroválvula y verificar que la modulación vuelva a ser rítmica</t>
        </is>
      </c>
      <c r="J66" s="20">
        <f>IFERROR(INDEX('APMA-370 (CO)'!$U$9:$U$88,MATCH($B66,'APMA-370 (CO)'!$A$9:$A$88,0)),"")</f>
        <v/>
      </c>
      <c r="K66" s="20">
        <f>IF(OR($J66="No conforme",$J66="Requiere reemplazo"),"SÍ — verificar destino","")</f>
        <v/>
      </c>
    </row>
    <row r="67" ht="36" customHeight="1">
      <c r="A67" s="20" t="inlineStr">
        <is>
          <t>APMA-370 (CO)</t>
        </is>
      </c>
      <c r="B67" s="26" t="inlineStr">
        <is>
          <t>5.3.1</t>
        </is>
      </c>
      <c r="C67" s="22" t="inlineStr">
        <is>
          <t>Conmutación de la válvula de modulación (SV-2)</t>
        </is>
      </c>
      <c r="D67" s="24" t="inlineStr">
        <is>
          <t>Bloqueante</t>
        </is>
      </c>
      <c r="E67" s="22" t="inlineStr">
        <is>
          <t>Bobina quemada, vástago atascado o fuga interna en la válvula</t>
        </is>
      </c>
      <c r="F67" s="20" t="n">
        <v>2</v>
      </c>
      <c r="G67" s="26" t="inlineStr">
        <is>
          <t>6.1.2</t>
        </is>
      </c>
      <c r="H67" s="22" t="inlineStr">
        <is>
          <t>Tensión de señal de compensación (SIGNAL COMP)</t>
        </is>
      </c>
      <c r="I67" s="22" t="inlineStr">
        <is>
          <t>Reemplazar la unidad de electroválvula y verificar que la modulación vuelva a ser rítmica</t>
        </is>
      </c>
      <c r="J67" s="20">
        <f>IFERROR(INDEX('APMA-370 (CO)'!$U$9:$U$88,MATCH($B67,'APMA-370 (CO)'!$A$9:$A$88,0)),"")</f>
        <v/>
      </c>
      <c r="K67" s="20">
        <f>IF(OR($J67="No conforme",$J67="Requiere reemplazo"),"SÍ — verificar destino","")</f>
        <v/>
      </c>
    </row>
    <row r="68" ht="36" customHeight="1">
      <c r="A68" s="20" t="inlineStr">
        <is>
          <t>APMA-370 (CO)</t>
        </is>
      </c>
      <c r="B68" s="26" t="inlineStr">
        <is>
          <t>5.3.1</t>
        </is>
      </c>
      <c r="C68" s="22" t="inlineStr">
        <is>
          <t>Conmutación de la válvula de modulación (SV-2)</t>
        </is>
      </c>
      <c r="D68" s="24" t="inlineStr">
        <is>
          <t>Bloqueante</t>
        </is>
      </c>
      <c r="E68" s="22" t="inlineStr">
        <is>
          <t>Bobina quemada, vástago atascado o fuga interna en la válvula</t>
        </is>
      </c>
      <c r="F68" s="20" t="n">
        <v>3</v>
      </c>
      <c r="G68" s="26" t="inlineStr">
        <is>
          <t>9.3.1</t>
        </is>
      </c>
      <c r="H68" s="22" t="inlineStr">
        <is>
          <t>Tensión interna del riel DC 24 V</t>
        </is>
      </c>
      <c r="I68" s="22" t="inlineStr">
        <is>
          <t>Reemplazar la unidad de electroválvula y verificar que la modulación vuelva a ser rítmica</t>
        </is>
      </c>
      <c r="J68" s="20">
        <f>IFERROR(INDEX('APMA-370 (CO)'!$U$9:$U$88,MATCH($B68,'APMA-370 (CO)'!$A$9:$A$88,0)),"")</f>
        <v/>
      </c>
      <c r="K68" s="20">
        <f>IF(OR($J68="No conforme",$J68="Requiere reemplazo"),"SÍ — verificar destino","")</f>
        <v/>
      </c>
    </row>
    <row r="69" ht="36" customHeight="1">
      <c r="A69" s="20" t="inlineStr">
        <is>
          <t>APMA-370 (CO)</t>
        </is>
      </c>
      <c r="B69" s="26" t="inlineStr">
        <is>
          <t>5.3.2</t>
        </is>
      </c>
      <c r="C69" s="22" t="inlineStr">
        <is>
          <t>Prueba de estanqueidad (Leak Test)</t>
        </is>
      </c>
      <c r="D69" s="24" t="inlineStr">
        <is>
          <t>Bloqueante</t>
        </is>
      </c>
      <c r="E69" s="22" t="inlineStr">
        <is>
          <t>Fuga en conexiones traseras, portafiltros o mangueras internas</t>
        </is>
      </c>
      <c r="F69" s="20" t="n">
        <v>1</v>
      </c>
      <c r="G69" s="26" t="inlineStr">
        <is>
          <t>4.1.1</t>
        </is>
      </c>
      <c r="H69" s="22" t="inlineStr">
        <is>
          <t>Férula de Sample Inlet (Sleeve)</t>
        </is>
      </c>
      <c r="I69" s="22" t="inlineStr">
        <is>
          <t>Recorrer los puntos de sello en ese orden hasta ubicar la fuga y repetir la prueba</t>
        </is>
      </c>
      <c r="J69" s="20">
        <f>IFERROR(INDEX('APMA-370 (CO)'!$U$9:$U$88,MATCH($B69,'APMA-370 (CO)'!$A$9:$A$88,0)),"")</f>
        <v/>
      </c>
      <c r="K69" s="20">
        <f>IF(OR($J69="No conforme",$J69="Requiere reemplazo"),"SÍ — verificar destino","")</f>
        <v/>
      </c>
    </row>
    <row r="70" ht="36" customHeight="1">
      <c r="A70" s="20" t="inlineStr">
        <is>
          <t>APMA-370 (CO)</t>
        </is>
      </c>
      <c r="B70" s="26" t="inlineStr">
        <is>
          <t>5.3.2</t>
        </is>
      </c>
      <c r="C70" s="22" t="inlineStr">
        <is>
          <t>Prueba de estanqueidad (Leak Test)</t>
        </is>
      </c>
      <c r="D70" s="24" t="inlineStr">
        <is>
          <t>Bloqueante</t>
        </is>
      </c>
      <c r="E70" s="22" t="inlineStr">
        <is>
          <t>Fuga en conexiones traseras, portafiltros o mangueras internas</t>
        </is>
      </c>
      <c r="F70" s="20" t="n">
        <v>2</v>
      </c>
      <c r="G70" s="26" t="inlineStr">
        <is>
          <t>4.1.2</t>
        </is>
      </c>
      <c r="H70" s="22" t="inlineStr">
        <is>
          <t>Tuerca de Sample Inlet (Cap Nut)</t>
        </is>
      </c>
      <c r="I70" s="22" t="inlineStr">
        <is>
          <t>Recorrer los puntos de sello en ese orden hasta ubicar la fuga y repetir la prueba</t>
        </is>
      </c>
      <c r="J70" s="20">
        <f>IFERROR(INDEX('APMA-370 (CO)'!$U$9:$U$88,MATCH($B70,'APMA-370 (CO)'!$A$9:$A$88,0)),"")</f>
        <v/>
      </c>
      <c r="K70" s="20">
        <f>IF(OR($J70="No conforme",$J70="Requiere reemplazo"),"SÍ — verificar destino","")</f>
        <v/>
      </c>
    </row>
    <row r="71" ht="36" customHeight="1">
      <c r="A71" s="20" t="inlineStr">
        <is>
          <t>APMA-370 (CO)</t>
        </is>
      </c>
      <c r="B71" s="26" t="inlineStr">
        <is>
          <t>5.3.2</t>
        </is>
      </c>
      <c r="C71" s="22" t="inlineStr">
        <is>
          <t>Prueba de estanqueidad (Leak Test)</t>
        </is>
      </c>
      <c r="D71" s="24" t="inlineStr">
        <is>
          <t>Bloqueante</t>
        </is>
      </c>
      <c r="E71" s="22" t="inlineStr">
        <is>
          <t>Fuga en conexiones traseras, portafiltros o mangueras internas</t>
        </is>
      </c>
      <c r="F71" s="20" t="n">
        <v>3</v>
      </c>
      <c r="G71" s="26" t="inlineStr">
        <is>
          <t>4.2.3</t>
        </is>
      </c>
      <c r="H71" s="22" t="inlineStr">
        <is>
          <t>Junta tórica del portafiltros (O-Ring)</t>
        </is>
      </c>
      <c r="I71" s="22" t="inlineStr">
        <is>
          <t>Recorrer los puntos de sello en ese orden hasta ubicar la fuga y repetir la prueba</t>
        </is>
      </c>
      <c r="J71" s="20">
        <f>IFERROR(INDEX('APMA-370 (CO)'!$U$9:$U$88,MATCH($B71,'APMA-370 (CO)'!$A$9:$A$88,0)),"")</f>
        <v/>
      </c>
      <c r="K71" s="20">
        <f>IF(OR($J71="No conforme",$J71="Requiere reemplazo"),"SÍ — verificar destino","")</f>
        <v/>
      </c>
    </row>
    <row r="72" ht="36" customHeight="1">
      <c r="A72" s="20" t="inlineStr">
        <is>
          <t>APMA-370 (CO)</t>
        </is>
      </c>
      <c r="B72" s="26" t="inlineStr">
        <is>
          <t>5.3.2</t>
        </is>
      </c>
      <c r="C72" s="22" t="inlineStr">
        <is>
          <t>Prueba de estanqueidad (Leak Test)</t>
        </is>
      </c>
      <c r="D72" s="24" t="inlineStr">
        <is>
          <t>Bloqueante</t>
        </is>
      </c>
      <c r="E72" s="22" t="inlineStr">
        <is>
          <t>Fuga en conexiones traseras, portafiltros o mangueras internas</t>
        </is>
      </c>
      <c r="F72" s="20" t="n">
        <v>4</v>
      </c>
      <c r="G72" s="26" t="inlineStr">
        <is>
          <t>4.2.2</t>
        </is>
      </c>
      <c r="H72" s="22" t="inlineStr">
        <is>
          <t>Empaque del filtro frontal (PA-10L)</t>
        </is>
      </c>
      <c r="I72" s="22" t="inlineStr">
        <is>
          <t>Recorrer los puntos de sello en ese orden hasta ubicar la fuga y repetir la prueba</t>
        </is>
      </c>
      <c r="J72" s="20">
        <f>IFERROR(INDEX('APMA-370 (CO)'!$U$9:$U$88,MATCH($B72,'APMA-370 (CO)'!$A$9:$A$88,0)),"")</f>
        <v/>
      </c>
      <c r="K72" s="20">
        <f>IF(OR($J72="No conforme",$J72="Requiere reemplazo"),"SÍ — verificar destino","")</f>
        <v/>
      </c>
    </row>
    <row r="73" ht="36" customHeight="1">
      <c r="A73" s="20" t="inlineStr">
        <is>
          <t>APMA-370 (CO)</t>
        </is>
      </c>
      <c r="B73" s="26" t="inlineStr">
        <is>
          <t>5.3.2</t>
        </is>
      </c>
      <c r="C73" s="22" t="inlineStr">
        <is>
          <t>Prueba de estanqueidad (Leak Test)</t>
        </is>
      </c>
      <c r="D73" s="24" t="inlineStr">
        <is>
          <t>Bloqueante</t>
        </is>
      </c>
      <c r="E73" s="22" t="inlineStr">
        <is>
          <t>Fuga en conexiones traseras, portafiltros o mangueras internas</t>
        </is>
      </c>
      <c r="F73" s="20" t="n">
        <v>5</v>
      </c>
      <c r="G73" s="26" t="inlineStr">
        <is>
          <t>4.3.2</t>
        </is>
      </c>
      <c r="H73" s="22" t="inlineStr">
        <is>
          <t>Líneas de teflón internas</t>
        </is>
      </c>
      <c r="I73" s="22" t="inlineStr">
        <is>
          <t>Recorrer los puntos de sello en ese orden hasta ubicar la fuga y repetir la prueba</t>
        </is>
      </c>
      <c r="J73" s="20">
        <f>IFERROR(INDEX('APMA-370 (CO)'!$U$9:$U$88,MATCH($B73,'APMA-370 (CO)'!$A$9:$A$88,0)),"")</f>
        <v/>
      </c>
      <c r="K73" s="20">
        <f>IF(OR($J73="No conforme",$J73="Requiere reemplazo"),"SÍ — verificar destino","")</f>
        <v/>
      </c>
    </row>
    <row r="74" ht="36" customHeight="1">
      <c r="A74" s="20" t="inlineStr">
        <is>
          <t>APMA-370 (CO)</t>
        </is>
      </c>
      <c r="B74" s="26" t="inlineStr">
        <is>
          <t>6.1.1</t>
        </is>
      </c>
      <c r="C74" s="22" t="inlineStr">
        <is>
          <t>Tensión de señal principal (SIGNAL MAIN)</t>
        </is>
      </c>
      <c r="D74" s="24" t="inlineStr">
        <is>
          <t>Bloqueante</t>
        </is>
      </c>
      <c r="E74" s="22" t="inlineStr">
        <is>
          <t>Suspensión del banco óptico desmontada, humedad en la celda, o lámpara IR degradada</t>
        </is>
      </c>
      <c r="F74" s="20" t="n">
        <v>1</v>
      </c>
      <c r="G74" s="26" t="inlineStr">
        <is>
          <t>6.3.1</t>
        </is>
      </c>
      <c r="H74" s="22" t="inlineStr">
        <is>
          <t>Resortes de amortiguación del banco óptico</t>
        </is>
      </c>
      <c r="I74" s="22" t="inlineStr">
        <is>
          <t>Verificar primero que el bloque óptico flote libre; después óptica y lámpara</t>
        </is>
      </c>
      <c r="J74" s="20">
        <f>IFERROR(INDEX('APMA-370 (CO)'!$U$9:$U$88,MATCH($B74,'APMA-370 (CO)'!$A$9:$A$88,0)),"")</f>
        <v/>
      </c>
      <c r="K74" s="20">
        <f>IF(OR($J74="No conforme",$J74="Requiere reemplazo"),"SÍ — verificar destino","")</f>
        <v/>
      </c>
    </row>
    <row r="75" ht="36" customHeight="1">
      <c r="A75" s="20" t="inlineStr">
        <is>
          <t>APMA-370 (CO)</t>
        </is>
      </c>
      <c r="B75" s="26" t="inlineStr">
        <is>
          <t>6.1.1</t>
        </is>
      </c>
      <c r="C75" s="22" t="inlineStr">
        <is>
          <t>Tensión de señal principal (SIGNAL MAIN)</t>
        </is>
      </c>
      <c r="D75" s="24" t="inlineStr">
        <is>
          <t>Bloqueante</t>
        </is>
      </c>
      <c r="E75" s="22" t="inlineStr">
        <is>
          <t>Suspensión del banco óptico desmontada, humedad en la celda, o lámpara IR degradada</t>
        </is>
      </c>
      <c r="F75" s="20" t="n">
        <v>2</v>
      </c>
      <c r="G75" s="26" t="inlineStr">
        <is>
          <t>6.2.2</t>
        </is>
      </c>
      <c r="H75" s="22" t="inlineStr">
        <is>
          <t>Limpieza de ventanas ópticas y lentes de la celda</t>
        </is>
      </c>
      <c r="I75" s="22" t="inlineStr">
        <is>
          <t>Verificar primero que el bloque óptico flote libre; después óptica y lámpara</t>
        </is>
      </c>
      <c r="J75" s="20">
        <f>IFERROR(INDEX('APMA-370 (CO)'!$U$9:$U$88,MATCH($B75,'APMA-370 (CO)'!$A$9:$A$88,0)),"")</f>
        <v/>
      </c>
      <c r="K75" s="20">
        <f>IF(OR($J75="No conforme",$J75="Requiere reemplazo"),"SÍ — verificar destino","")</f>
        <v/>
      </c>
    </row>
    <row r="76" ht="36" customHeight="1">
      <c r="A76" s="20" t="inlineStr">
        <is>
          <t>APMA-370 (CO)</t>
        </is>
      </c>
      <c r="B76" s="26" t="inlineStr">
        <is>
          <t>6.1.1</t>
        </is>
      </c>
      <c r="C76" s="22" t="inlineStr">
        <is>
          <t>Tensión de señal principal (SIGNAL MAIN)</t>
        </is>
      </c>
      <c r="D76" s="24" t="inlineStr">
        <is>
          <t>Bloqueante</t>
        </is>
      </c>
      <c r="E76" s="22" t="inlineStr">
        <is>
          <t>Suspensión del banco óptico desmontada, humedad en la celda, o lámpara IR degradada</t>
        </is>
      </c>
      <c r="F76" s="20" t="n">
        <v>3</v>
      </c>
      <c r="G76" s="26" t="inlineStr">
        <is>
          <t>6.2.1</t>
        </is>
      </c>
      <c r="H76" s="22" t="inlineStr">
        <is>
          <t>Lámpara infrarroja (IR Lamp)</t>
        </is>
      </c>
      <c r="I76" s="22" t="inlineStr">
        <is>
          <t>Verificar primero que el bloque óptico flote libre; después óptica y lámpara</t>
        </is>
      </c>
      <c r="J76" s="20">
        <f>IFERROR(INDEX('APMA-370 (CO)'!$U$9:$U$88,MATCH($B76,'APMA-370 (CO)'!$A$9:$A$88,0)),"")</f>
        <v/>
      </c>
      <c r="K76" s="20">
        <f>IF(OR($J76="No conforme",$J76="Requiere reemplazo"),"SÍ — verificar destino","")</f>
        <v/>
      </c>
    </row>
    <row r="77" ht="36" customHeight="1">
      <c r="A77" s="20" t="inlineStr">
        <is>
          <t>APMA-370 (CO)</t>
        </is>
      </c>
      <c r="B77" s="26" t="inlineStr">
        <is>
          <t>6.1.1</t>
        </is>
      </c>
      <c r="C77" s="22" t="inlineStr">
        <is>
          <t>Tensión de señal principal (SIGNAL MAIN)</t>
        </is>
      </c>
      <c r="D77" s="24" t="inlineStr">
        <is>
          <t>Bloqueante</t>
        </is>
      </c>
      <c r="E77" s="22" t="inlineStr">
        <is>
          <t>Suspensión del banco óptico desmontada, humedad en la celda, o lámpara IR degradada</t>
        </is>
      </c>
      <c r="F77" s="20" t="n">
        <v>4</v>
      </c>
      <c r="G77" s="26" t="inlineStr">
        <is>
          <t>4.3.1</t>
        </is>
      </c>
      <c r="H77" s="22" t="inlineStr">
        <is>
          <t>Trampa de humedad (Mist Catcher BAA)</t>
        </is>
      </c>
      <c r="I77" s="22" t="inlineStr">
        <is>
          <t>Verificar primero que el bloque óptico flote libre; después óptica y lámpara</t>
        </is>
      </c>
      <c r="J77" s="20">
        <f>IFERROR(INDEX('APMA-370 (CO)'!$U$9:$U$88,MATCH($B77,'APMA-370 (CO)'!$A$9:$A$88,0)),"")</f>
        <v/>
      </c>
      <c r="K77" s="20">
        <f>IF(OR($J77="No conforme",$J77="Requiere reemplazo"),"SÍ — verificar destino","")</f>
        <v/>
      </c>
    </row>
    <row r="78" ht="36" customHeight="1">
      <c r="A78" s="20" t="inlineStr">
        <is>
          <t>APMA-370 (CO)</t>
        </is>
      </c>
      <c r="B78" s="26" t="inlineStr">
        <is>
          <t>6.1.2</t>
        </is>
      </c>
      <c r="C78" s="22" t="inlineStr">
        <is>
          <t>Tensión de señal de compensación (SIGNAL COMP)</t>
        </is>
      </c>
      <c r="D78" s="24" t="inlineStr">
        <is>
          <t>Bloqueante</t>
        </is>
      </c>
      <c r="E78" s="22" t="inlineStr">
        <is>
          <t>Contaminación del canal de compensación o desfase de la tarjeta ADC</t>
        </is>
      </c>
      <c r="F78" s="20" t="n">
        <v>1</v>
      </c>
      <c r="G78" s="26" t="inlineStr">
        <is>
          <t>6.2.2</t>
        </is>
      </c>
      <c r="H78" s="22" t="inlineStr">
        <is>
          <t>Limpieza de ventanas ópticas y lentes de la celda</t>
        </is>
      </c>
      <c r="I78" s="22" t="inlineStr">
        <is>
          <t>Limpiar la óptica; si persiste, recalibrar fase y atenuador del canal COMP en modo servicio</t>
        </is>
      </c>
      <c r="J78" s="20">
        <f>IFERROR(INDEX('APMA-370 (CO)'!$U$9:$U$88,MATCH($B78,'APMA-370 (CO)'!$A$9:$A$88,0)),"")</f>
        <v/>
      </c>
      <c r="K78" s="20">
        <f>IF(OR($J78="No conforme",$J78="Requiere reemplazo"),"SÍ — verificar destino","")</f>
        <v/>
      </c>
    </row>
    <row r="79" ht="36" customHeight="1">
      <c r="A79" s="20" t="inlineStr">
        <is>
          <t>APMA-370 (CO)</t>
        </is>
      </c>
      <c r="B79" s="26" t="inlineStr">
        <is>
          <t>6.1.2</t>
        </is>
      </c>
      <c r="C79" s="22" t="inlineStr">
        <is>
          <t>Tensión de señal de compensación (SIGNAL COMP)</t>
        </is>
      </c>
      <c r="D79" s="24" t="inlineStr">
        <is>
          <t>Bloqueante</t>
        </is>
      </c>
      <c r="E79" s="22" t="inlineStr">
        <is>
          <t>Contaminación del canal de compensación o desfase de la tarjeta ADC</t>
        </is>
      </c>
      <c r="F79" s="20" t="n">
        <v>2</v>
      </c>
      <c r="G79" s="26" t="inlineStr">
        <is>
          <t>6.3.1</t>
        </is>
      </c>
      <c r="H79" s="22" t="inlineStr">
        <is>
          <t>Resortes de amortiguación del banco óptico</t>
        </is>
      </c>
      <c r="I79" s="22" t="inlineStr">
        <is>
          <t>Limpiar la óptica; si persiste, recalibrar fase y atenuador del canal COMP en modo servicio</t>
        </is>
      </c>
      <c r="J79" s="20">
        <f>IFERROR(INDEX('APMA-370 (CO)'!$U$9:$U$88,MATCH($B79,'APMA-370 (CO)'!$A$9:$A$88,0)),"")</f>
        <v/>
      </c>
      <c r="K79" s="20">
        <f>IF(OR($J79="No conforme",$J79="Requiere reemplazo"),"SÍ — verificar destino","")</f>
        <v/>
      </c>
    </row>
    <row r="80" ht="36" customHeight="1">
      <c r="A80" s="20" t="inlineStr">
        <is>
          <t>APMA-370 (CO)</t>
        </is>
      </c>
      <c r="B80" s="26" t="inlineStr">
        <is>
          <t>6.1.2</t>
        </is>
      </c>
      <c r="C80" s="22" t="inlineStr">
        <is>
          <t>Tensión de señal de compensación (SIGNAL COMP)</t>
        </is>
      </c>
      <c r="D80" s="24" t="inlineStr">
        <is>
          <t>Bloqueante</t>
        </is>
      </c>
      <c r="E80" s="22" t="inlineStr">
        <is>
          <t>Contaminación del canal de compensación o desfase de la tarjeta ADC</t>
        </is>
      </c>
      <c r="F80" s="20" t="n">
        <v>3</v>
      </c>
      <c r="G80" s="26" t="inlineStr">
        <is>
          <t>7.1.2</t>
        </is>
      </c>
      <c r="H80" s="22" t="inlineStr">
        <is>
          <t>Configuración del DIP switch SW2 en AP-ADC-05</t>
        </is>
      </c>
      <c r="I80" s="22" t="inlineStr">
        <is>
          <t>Limpiar la óptica; si persiste, recalibrar fase y atenuador del canal COMP en modo servicio</t>
        </is>
      </c>
      <c r="J80" s="20">
        <f>IFERROR(INDEX('APMA-370 (CO)'!$U$9:$U$88,MATCH($B80,'APMA-370 (CO)'!$A$9:$A$88,0)),"")</f>
        <v/>
      </c>
      <c r="K80" s="20">
        <f>IF(OR($J80="No conforme",$J80="Requiere reemplazo"),"SÍ — verificar destino","")</f>
        <v/>
      </c>
    </row>
    <row r="81" ht="36" customHeight="1">
      <c r="A81" s="20" t="inlineStr">
        <is>
          <t>APMA-370 (CO)</t>
        </is>
      </c>
      <c r="B81" s="26" t="inlineStr">
        <is>
          <t>6.2.1</t>
        </is>
      </c>
      <c r="C81" s="22" t="inlineStr">
        <is>
          <t>Lámpara infrarroja (IR Lamp)</t>
        </is>
      </c>
      <c r="D81" s="24" t="inlineStr">
        <is>
          <t>Bloqueante</t>
        </is>
      </c>
      <c r="E81" s="22" t="inlineStr">
        <is>
          <t>Filamento con microfisuras o ampolla ennegrecida por horas de servicio</t>
        </is>
      </c>
      <c r="F81" s="20" t="n">
        <v>1</v>
      </c>
      <c r="G81" s="26" t="inlineStr">
        <is>
          <t>6.1.1</t>
        </is>
      </c>
      <c r="H81" s="22" t="inlineStr">
        <is>
          <t>Tensión de señal principal (SIGNAL MAIN)</t>
        </is>
      </c>
      <c r="I81" s="22" t="inlineStr">
        <is>
          <t>Reemplazar la lámpara IR y recalibrar cero y span</t>
        </is>
      </c>
      <c r="J81" s="20">
        <f>IFERROR(INDEX('APMA-370 (CO)'!$U$9:$U$88,MATCH($B81,'APMA-370 (CO)'!$A$9:$A$88,0)),"")</f>
        <v/>
      </c>
      <c r="K81" s="20">
        <f>IF(OR($J81="No conforme",$J81="Requiere reemplazo"),"SÍ — verificar destino","")</f>
        <v/>
      </c>
    </row>
    <row r="82" ht="36" customHeight="1">
      <c r="A82" s="20" t="inlineStr">
        <is>
          <t>APMA-370 (CO)</t>
        </is>
      </c>
      <c r="B82" s="26" t="inlineStr">
        <is>
          <t>6.2.1</t>
        </is>
      </c>
      <c r="C82" s="22" t="inlineStr">
        <is>
          <t>Lámpara infrarroja (IR Lamp)</t>
        </is>
      </c>
      <c r="D82" s="24" t="inlineStr">
        <is>
          <t>Bloqueante</t>
        </is>
      </c>
      <c r="E82" s="22" t="inlineStr">
        <is>
          <t>Filamento con microfisuras o ampolla ennegrecida por horas de servicio</t>
        </is>
      </c>
      <c r="F82" s="20" t="n">
        <v>2</v>
      </c>
      <c r="G82" s="26" t="inlineStr">
        <is>
          <t>3.1.2</t>
        </is>
      </c>
      <c r="H82" s="22" t="inlineStr">
        <is>
          <t>Coeficiente de calibración de span</t>
        </is>
      </c>
      <c r="I82" s="22" t="inlineStr">
        <is>
          <t>Reemplazar la lámpara IR y recalibrar cero y span</t>
        </is>
      </c>
      <c r="J82" s="20">
        <f>IFERROR(INDEX('APMA-370 (CO)'!$U$9:$U$88,MATCH($B82,'APMA-370 (CO)'!$A$9:$A$88,0)),"")</f>
        <v/>
      </c>
      <c r="K82" s="20">
        <f>IF(OR($J82="No conforme",$J82="Requiere reemplazo"),"SÍ — verificar destino","")</f>
        <v/>
      </c>
    </row>
    <row r="83" ht="36" customHeight="1">
      <c r="A83" s="20" t="inlineStr">
        <is>
          <t>APMA-370 (CO)</t>
        </is>
      </c>
      <c r="B83" s="26" t="inlineStr">
        <is>
          <t>6.2.2</t>
        </is>
      </c>
      <c r="C83" s="22" t="inlineStr">
        <is>
          <t>Limpieza de ventanas ópticas y lentes de la celda</t>
        </is>
      </c>
      <c r="D83" s="25" t="inlineStr">
        <is>
          <t>Cobrable</t>
        </is>
      </c>
      <c r="E83" s="22" t="inlineStr">
        <is>
          <t>Depósitos de hollín, o condensación por humedad en la línea de muestra</t>
        </is>
      </c>
      <c r="F83" s="20" t="n">
        <v>1</v>
      </c>
      <c r="G83" s="26" t="inlineStr">
        <is>
          <t>4.3.1</t>
        </is>
      </c>
      <c r="H83" s="22" t="inlineStr">
        <is>
          <t>Trampa de humedad (Mist Catcher BAA)</t>
        </is>
      </c>
      <c r="I83" s="22" t="inlineStr">
        <is>
          <t>Limpiar las ventanas con material óptico apropiado y eliminar el origen de la humedad</t>
        </is>
      </c>
      <c r="J83" s="20">
        <f>IFERROR(INDEX('APMA-370 (CO)'!$U$9:$U$88,MATCH($B83,'APMA-370 (CO)'!$A$9:$A$88,0)),"")</f>
        <v/>
      </c>
      <c r="K83" s="20">
        <f>IF(OR($J83="No conforme",$J83="Requiere reemplazo"),"SÍ — verificar destino","")</f>
        <v/>
      </c>
    </row>
    <row r="84" ht="36" customHeight="1">
      <c r="A84" s="20" t="inlineStr">
        <is>
          <t>APMA-370 (CO)</t>
        </is>
      </c>
      <c r="B84" s="26" t="inlineStr">
        <is>
          <t>6.2.2</t>
        </is>
      </c>
      <c r="C84" s="22" t="inlineStr">
        <is>
          <t>Limpieza de ventanas ópticas y lentes de la celda</t>
        </is>
      </c>
      <c r="D84" s="25" t="inlineStr">
        <is>
          <t>Cobrable</t>
        </is>
      </c>
      <c r="E84" s="22" t="inlineStr">
        <is>
          <t>Depósitos de hollín, o condensación por humedad en la línea de muestra</t>
        </is>
      </c>
      <c r="F84" s="20" t="n">
        <v>2</v>
      </c>
      <c r="G84" s="26" t="inlineStr">
        <is>
          <t>6.1.1</t>
        </is>
      </c>
      <c r="H84" s="22" t="inlineStr">
        <is>
          <t>Tensión de señal principal (SIGNAL MAIN)</t>
        </is>
      </c>
      <c r="I84" s="22" t="inlineStr">
        <is>
          <t>Limpiar las ventanas con material óptico apropiado y eliminar el origen de la humedad</t>
        </is>
      </c>
      <c r="J84" s="20">
        <f>IFERROR(INDEX('APMA-370 (CO)'!$U$9:$U$88,MATCH($B84,'APMA-370 (CO)'!$A$9:$A$88,0)),"")</f>
        <v/>
      </c>
      <c r="K84" s="20">
        <f>IF(OR($J84="No conforme",$J84="Requiere reemplazo"),"SÍ — verificar destino","")</f>
        <v/>
      </c>
    </row>
    <row r="85" ht="36" customHeight="1">
      <c r="A85" s="20" t="inlineStr">
        <is>
          <t>APMA-370 (CO)</t>
        </is>
      </c>
      <c r="B85" s="26" t="inlineStr">
        <is>
          <t>6.3.1</t>
        </is>
      </c>
      <c r="C85" s="22" t="inlineStr">
        <is>
          <t>Resortes de amortiguación del banco óptico</t>
        </is>
      </c>
      <c r="D85" s="25" t="inlineStr">
        <is>
          <t>Cobrable</t>
        </is>
      </c>
      <c r="E85" s="22" t="inlineStr">
        <is>
          <t>Resorte desenganchado o estirado tras un transporte o una intervención</t>
        </is>
      </c>
      <c r="F85" s="20" t="n">
        <v>1</v>
      </c>
      <c r="G85" s="26" t="inlineStr">
        <is>
          <t>6.1.1</t>
        </is>
      </c>
      <c r="H85" s="22" t="inlineStr">
        <is>
          <t>Tensión de señal principal (SIGNAL MAIN)</t>
        </is>
      </c>
      <c r="I85" s="22" t="inlineStr">
        <is>
          <t>Reponer los tres resortes y comprobar que la celda no toque el chasis</t>
        </is>
      </c>
      <c r="J85" s="20">
        <f>IFERROR(INDEX('APMA-370 (CO)'!$U$9:$U$88,MATCH($B85,'APMA-370 (CO)'!$A$9:$A$88,0)),"")</f>
        <v/>
      </c>
      <c r="K85" s="20">
        <f>IF(OR($J85="No conforme",$J85="Requiere reemplazo"),"SÍ — verificar destino","")</f>
        <v/>
      </c>
    </row>
    <row r="86" ht="36" customHeight="1">
      <c r="A86" s="20" t="inlineStr">
        <is>
          <t>APMA-370 (CO)</t>
        </is>
      </c>
      <c r="B86" s="26" t="inlineStr">
        <is>
          <t>6.3.1</t>
        </is>
      </c>
      <c r="C86" s="22" t="inlineStr">
        <is>
          <t>Resortes de amortiguación del banco óptico</t>
        </is>
      </c>
      <c r="D86" s="25" t="inlineStr">
        <is>
          <t>Cobrable</t>
        </is>
      </c>
      <c r="E86" s="22" t="inlineStr">
        <is>
          <t>Resorte desenganchado o estirado tras un transporte o una intervención</t>
        </is>
      </c>
      <c r="F86" s="20" t="n">
        <v>2</v>
      </c>
      <c r="G86" s="26" t="inlineStr">
        <is>
          <t>6.3.2</t>
        </is>
      </c>
      <c r="H86" s="22" t="inlineStr">
        <is>
          <t>Topes amortiguadores (Stoppers)</t>
        </is>
      </c>
      <c r="I86" s="22" t="inlineStr">
        <is>
          <t>Reponer los tres resortes y comprobar que la celda no toque el chasis</t>
        </is>
      </c>
      <c r="J86" s="20">
        <f>IFERROR(INDEX('APMA-370 (CO)'!$U$9:$U$88,MATCH($B86,'APMA-370 (CO)'!$A$9:$A$88,0)),"")</f>
        <v/>
      </c>
      <c r="K86" s="20">
        <f>IF(OR($J86="No conforme",$J86="Requiere reemplazo"),"SÍ — verificar destino","")</f>
        <v/>
      </c>
    </row>
    <row r="87" ht="36" customHeight="1">
      <c r="A87" s="20" t="inlineStr">
        <is>
          <t>APMA-370 (CO)</t>
        </is>
      </c>
      <c r="B87" s="26" t="inlineStr">
        <is>
          <t>6.3.1</t>
        </is>
      </c>
      <c r="C87" s="22" t="inlineStr">
        <is>
          <t>Resortes de amortiguación del banco óptico</t>
        </is>
      </c>
      <c r="D87" s="25" t="inlineStr">
        <is>
          <t>Cobrable</t>
        </is>
      </c>
      <c r="E87" s="22" t="inlineStr">
        <is>
          <t>Resorte desenganchado o estirado tras un transporte o una intervención</t>
        </is>
      </c>
      <c r="F87" s="20" t="n">
        <v>3</v>
      </c>
      <c r="G87" s="26" t="inlineStr">
        <is>
          <t>5.2.1</t>
        </is>
      </c>
      <c r="H87" s="22" t="inlineStr">
        <is>
          <t>Vibración y ruido mecánico de la bomba (P-1-B)</t>
        </is>
      </c>
      <c r="I87" s="22" t="inlineStr">
        <is>
          <t>Reponer los tres resortes y comprobar que la celda no toque el chasis</t>
        </is>
      </c>
      <c r="J87" s="20">
        <f>IFERROR(INDEX('APMA-370 (CO)'!$U$9:$U$88,MATCH($B87,'APMA-370 (CO)'!$A$9:$A$88,0)),"")</f>
        <v/>
      </c>
      <c r="K87" s="20">
        <f>IF(OR($J87="No conforme",$J87="Requiere reemplazo"),"SÍ — verificar destino","")</f>
        <v/>
      </c>
    </row>
    <row r="88" ht="24" customHeight="1">
      <c r="A88" s="20" t="inlineStr">
        <is>
          <t>APMA-370 (CO)</t>
        </is>
      </c>
      <c r="B88" s="26" t="inlineStr">
        <is>
          <t>6.3.2</t>
        </is>
      </c>
      <c r="C88" s="22" t="inlineStr">
        <is>
          <t>Topes amortiguadores (Stoppers)</t>
        </is>
      </c>
      <c r="D88" s="25" t="inlineStr">
        <is>
          <t>Cobrable</t>
        </is>
      </c>
      <c r="E88" s="22" t="inlineStr">
        <is>
          <t>Goma endurecida o desprendida de su zócalo</t>
        </is>
      </c>
      <c r="F88" s="20" t="n">
        <v>1</v>
      </c>
      <c r="G88" s="26" t="inlineStr">
        <is>
          <t>6.3.1</t>
        </is>
      </c>
      <c r="H88" s="22" t="inlineStr">
        <is>
          <t>Resortes de amortiguación del banco óptico</t>
        </is>
      </c>
      <c r="I88" s="22" t="inlineStr">
        <is>
          <t>Reemplazar los topes y recentrar el bloque óptico</t>
        </is>
      </c>
      <c r="J88" s="20">
        <f>IFERROR(INDEX('APMA-370 (CO)'!$U$9:$U$88,MATCH($B88,'APMA-370 (CO)'!$A$9:$A$88,0)),"")</f>
        <v/>
      </c>
      <c r="K88" s="20">
        <f>IF(OR($J88="No conforme",$J88="Requiere reemplazo"),"SÍ — verificar destino","")</f>
        <v/>
      </c>
    </row>
    <row r="89" ht="24" customHeight="1">
      <c r="A89" s="20" t="inlineStr">
        <is>
          <t>APMA-370 (CO)</t>
        </is>
      </c>
      <c r="B89" s="26" t="inlineStr">
        <is>
          <t>6.3.2</t>
        </is>
      </c>
      <c r="C89" s="22" t="inlineStr">
        <is>
          <t>Topes amortiguadores (Stoppers)</t>
        </is>
      </c>
      <c r="D89" s="25" t="inlineStr">
        <is>
          <t>Cobrable</t>
        </is>
      </c>
      <c r="E89" s="22" t="inlineStr">
        <is>
          <t>Goma endurecida o desprendida de su zócalo</t>
        </is>
      </c>
      <c r="F89" s="20" t="n">
        <v>2</v>
      </c>
      <c r="G89" s="26" t="inlineStr">
        <is>
          <t>6.1.1</t>
        </is>
      </c>
      <c r="H89" s="22" t="inlineStr">
        <is>
          <t>Tensión de señal principal (SIGNAL MAIN)</t>
        </is>
      </c>
      <c r="I89" s="22" t="inlineStr">
        <is>
          <t>Reemplazar los topes y recentrar el bloque óptico</t>
        </is>
      </c>
      <c r="J89" s="20">
        <f>IFERROR(INDEX('APMA-370 (CO)'!$U$9:$U$88,MATCH($B89,'APMA-370 (CO)'!$A$9:$A$88,0)),"")</f>
        <v/>
      </c>
      <c r="K89" s="20">
        <f>IF(OR($J89="No conforme",$J89="Requiere reemplazo"),"SÍ — verificar destino","")</f>
        <v/>
      </c>
    </row>
    <row r="90" ht="36" customHeight="1">
      <c r="A90" s="20" t="inlineStr">
        <is>
          <t>APMA-370 (CO)</t>
        </is>
      </c>
      <c r="B90" s="26" t="inlineStr">
        <is>
          <t>6.3.3</t>
        </is>
      </c>
      <c r="C90" s="22" t="inlineStr">
        <is>
          <t>Tornillos de tope (Screw Stopper)</t>
        </is>
      </c>
      <c r="D90" s="25" t="inlineStr">
        <is>
          <t>Cobrable</t>
        </is>
      </c>
      <c r="E90" s="22" t="inlineStr">
        <is>
          <t>Tornillo ausente o desajustado por vibración continua</t>
        </is>
      </c>
      <c r="F90" s="20" t="n">
        <v>1</v>
      </c>
      <c r="G90" s="26" t="inlineStr">
        <is>
          <t>6.3.4</t>
        </is>
      </c>
      <c r="H90" s="22" t="inlineStr">
        <is>
          <t>Tuercas hexagonales de fijación</t>
        </is>
      </c>
      <c r="I90" s="22" t="inlineStr">
        <is>
          <t>Reponer y ajustar los tornillos M5x20 a su posición de tope</t>
        </is>
      </c>
      <c r="J90" s="20">
        <f>IFERROR(INDEX('APMA-370 (CO)'!$U$9:$U$88,MATCH($B90,'APMA-370 (CO)'!$A$9:$A$88,0)),"")</f>
        <v/>
      </c>
      <c r="K90" s="20">
        <f>IF(OR($J90="No conforme",$J90="Requiere reemplazo"),"SÍ — verificar destino","")</f>
        <v/>
      </c>
    </row>
    <row r="91" ht="36" customHeight="1">
      <c r="A91" s="20" t="inlineStr">
        <is>
          <t>APMA-370 (CO)</t>
        </is>
      </c>
      <c r="B91" s="26" t="inlineStr">
        <is>
          <t>6.3.3</t>
        </is>
      </c>
      <c r="C91" s="22" t="inlineStr">
        <is>
          <t>Tornillos de tope (Screw Stopper)</t>
        </is>
      </c>
      <c r="D91" s="25" t="inlineStr">
        <is>
          <t>Cobrable</t>
        </is>
      </c>
      <c r="E91" s="22" t="inlineStr">
        <is>
          <t>Tornillo ausente o desajustado por vibración continua</t>
        </is>
      </c>
      <c r="F91" s="20" t="n">
        <v>2</v>
      </c>
      <c r="G91" s="26" t="inlineStr">
        <is>
          <t>6.3.1</t>
        </is>
      </c>
      <c r="H91" s="22" t="inlineStr">
        <is>
          <t>Resortes de amortiguación del banco óptico</t>
        </is>
      </c>
      <c r="I91" s="22" t="inlineStr">
        <is>
          <t>Reponer y ajustar los tornillos M5x20 a su posición de tope</t>
        </is>
      </c>
      <c r="J91" s="20">
        <f>IFERROR(INDEX('APMA-370 (CO)'!$U$9:$U$88,MATCH($B91,'APMA-370 (CO)'!$A$9:$A$88,0)),"")</f>
        <v/>
      </c>
      <c r="K91" s="20">
        <f>IF(OR($J91="No conforme",$J91="Requiere reemplazo"),"SÍ — verificar destino","")</f>
        <v/>
      </c>
    </row>
    <row r="92" ht="24" customHeight="1">
      <c r="A92" s="20" t="inlineStr">
        <is>
          <t>APMA-370 (CO)</t>
        </is>
      </c>
      <c r="B92" s="26" t="inlineStr">
        <is>
          <t>6.3.4</t>
        </is>
      </c>
      <c r="C92" s="22" t="inlineStr">
        <is>
          <t>Tuercas hexagonales de fijación</t>
        </is>
      </c>
      <c r="D92" s="25" t="inlineStr">
        <is>
          <t>Cobrable</t>
        </is>
      </c>
      <c r="E92" s="22" t="inlineStr">
        <is>
          <t>Tuerca floja por la vibración de la bomba</t>
        </is>
      </c>
      <c r="F92" s="20" t="n">
        <v>1</v>
      </c>
      <c r="G92" s="26" t="inlineStr">
        <is>
          <t>6.3.3</t>
        </is>
      </c>
      <c r="H92" s="22" t="inlineStr">
        <is>
          <t>Tornillos de tope (Screw Stopper)</t>
        </is>
      </c>
      <c r="I92" s="22" t="inlineStr">
        <is>
          <t>Reapretar sin llegar a rigidizar la suspensión</t>
        </is>
      </c>
      <c r="J92" s="20">
        <f>IFERROR(INDEX('APMA-370 (CO)'!$U$9:$U$88,MATCH($B92,'APMA-370 (CO)'!$A$9:$A$88,0)),"")</f>
        <v/>
      </c>
      <c r="K92" s="20">
        <f>IF(OR($J92="No conforme",$J92="Requiere reemplazo"),"SÍ — verificar destino","")</f>
        <v/>
      </c>
    </row>
    <row r="93" ht="36" customHeight="1">
      <c r="A93" s="20" t="inlineStr">
        <is>
          <t>APMA-370 (CO)</t>
        </is>
      </c>
      <c r="B93" s="26" t="inlineStr">
        <is>
          <t>6.4.1</t>
        </is>
      </c>
      <c r="C93" s="22" t="inlineStr">
        <is>
          <t>Eficiencia del relleno catalítico de CO (CAT-1)</t>
        </is>
      </c>
      <c r="D93" s="24" t="inlineStr">
        <is>
          <t>Bloqueante</t>
        </is>
      </c>
      <c r="E93" s="22" t="inlineStr">
        <is>
          <t>Relleno de óxido metálico agotado o humedecido</t>
        </is>
      </c>
      <c r="F93" s="20" t="n">
        <v>1</v>
      </c>
      <c r="G93" s="26" t="inlineStr">
        <is>
          <t>8.1.3</t>
        </is>
      </c>
      <c r="H93" s="22" t="inlineStr">
        <is>
          <t>Horas acumuladas del catalizador de CO (CAT-1)</t>
        </is>
      </c>
      <c r="I93" s="22" t="inlineStr">
        <is>
          <t>Reemplazar el relleno del CAT-1, reiniciar el horómetro y recalibrar el cero</t>
        </is>
      </c>
      <c r="J93" s="20">
        <f>IFERROR(INDEX('APMA-370 (CO)'!$U$9:$U$88,MATCH($B93,'APMA-370 (CO)'!$A$9:$A$88,0)),"")</f>
        <v/>
      </c>
      <c r="K93" s="20">
        <f>IF(OR($J93="No conforme",$J93="Requiere reemplazo"),"SÍ — verificar destino","")</f>
        <v/>
      </c>
    </row>
    <row r="94" ht="36" customHeight="1">
      <c r="A94" s="20" t="inlineStr">
        <is>
          <t>APMA-370 (CO)</t>
        </is>
      </c>
      <c r="B94" s="26" t="inlineStr">
        <is>
          <t>6.4.1</t>
        </is>
      </c>
      <c r="C94" s="22" t="inlineStr">
        <is>
          <t>Eficiencia del relleno catalítico de CO (CAT-1)</t>
        </is>
      </c>
      <c r="D94" s="24" t="inlineStr">
        <is>
          <t>Bloqueante</t>
        </is>
      </c>
      <c r="E94" s="22" t="inlineStr">
        <is>
          <t>Relleno de óxido metálico agotado o humedecido</t>
        </is>
      </c>
      <c r="F94" s="20" t="n">
        <v>2</v>
      </c>
      <c r="G94" s="26" t="inlineStr">
        <is>
          <t>9.1.2</t>
        </is>
      </c>
      <c r="H94" s="22" t="inlineStr">
        <is>
          <t>Sensor de temperatura del catalizador de CO (CAT)</t>
        </is>
      </c>
      <c r="I94" s="22" t="inlineStr">
        <is>
          <t>Reemplazar el relleno del CAT-1, reiniciar el horómetro y recalibrar el cero</t>
        </is>
      </c>
      <c r="J94" s="20">
        <f>IFERROR(INDEX('APMA-370 (CO)'!$U$9:$U$88,MATCH($B94,'APMA-370 (CO)'!$A$9:$A$88,0)),"")</f>
        <v/>
      </c>
      <c r="K94" s="20">
        <f>IF(OR($J94="No conforme",$J94="Requiere reemplazo"),"SÍ — verificar destino","")</f>
        <v/>
      </c>
    </row>
    <row r="95" ht="36" customHeight="1">
      <c r="A95" s="20" t="inlineStr">
        <is>
          <t>APMA-370 (CO)</t>
        </is>
      </c>
      <c r="B95" s="26" t="inlineStr">
        <is>
          <t>6.4.1</t>
        </is>
      </c>
      <c r="C95" s="22" t="inlineStr">
        <is>
          <t>Eficiencia del relleno catalítico de CO (CAT-1)</t>
        </is>
      </c>
      <c r="D95" s="24" t="inlineStr">
        <is>
          <t>Bloqueante</t>
        </is>
      </c>
      <c r="E95" s="22" t="inlineStr">
        <is>
          <t>Relleno de óxido metálico agotado o humedecido</t>
        </is>
      </c>
      <c r="F95" s="20" t="n">
        <v>3</v>
      </c>
      <c r="G95" s="26" t="inlineStr">
        <is>
          <t>3.1.1</t>
        </is>
      </c>
      <c r="H95" s="22" t="inlineStr">
        <is>
          <t>Coeficiente de calibración de cero</t>
        </is>
      </c>
      <c r="I95" s="22" t="inlineStr">
        <is>
          <t>Reemplazar el relleno del CAT-1, reiniciar el horómetro y recalibrar el cero</t>
        </is>
      </c>
      <c r="J95" s="20">
        <f>IFERROR(INDEX('APMA-370 (CO)'!$U$9:$U$88,MATCH($B95,'APMA-370 (CO)'!$A$9:$A$88,0)),"")</f>
        <v/>
      </c>
      <c r="K95" s="20">
        <f>IF(OR($J95="No conforme",$J95="Requiere reemplazo"),"SÍ — verificar destino","")</f>
        <v/>
      </c>
    </row>
    <row r="96" ht="36" customHeight="1">
      <c r="A96" s="20" t="inlineStr">
        <is>
          <t>APMA-370 (CO)</t>
        </is>
      </c>
      <c r="B96" s="26" t="inlineStr">
        <is>
          <t>6.4.1</t>
        </is>
      </c>
      <c r="C96" s="22" t="inlineStr">
        <is>
          <t>Eficiencia del relleno catalítico de CO (CAT-1)</t>
        </is>
      </c>
      <c r="D96" s="24" t="inlineStr">
        <is>
          <t>Bloqueante</t>
        </is>
      </c>
      <c r="E96" s="22" t="inlineStr">
        <is>
          <t>Relleno de óxido metálico agotado o humedecido</t>
        </is>
      </c>
      <c r="F96" s="20" t="n">
        <v>4</v>
      </c>
      <c r="G96" s="26" t="inlineStr">
        <is>
          <t>6.4.2</t>
        </is>
      </c>
      <c r="H96" s="22" t="inlineStr">
        <is>
          <t>Filtro coalescente interno (DFU9900-05-BK)</t>
        </is>
      </c>
      <c r="I96" s="22" t="inlineStr">
        <is>
          <t>Reemplazar el relleno del CAT-1, reiniciar el horómetro y recalibrar el cero</t>
        </is>
      </c>
      <c r="J96" s="20">
        <f>IFERROR(INDEX('APMA-370 (CO)'!$U$9:$U$88,MATCH($B96,'APMA-370 (CO)'!$A$9:$A$88,0)),"")</f>
        <v/>
      </c>
      <c r="K96" s="20">
        <f>IF(OR($J96="No conforme",$J96="Requiere reemplazo"),"SÍ — verificar destino","")</f>
        <v/>
      </c>
    </row>
    <row r="97" ht="36" customHeight="1">
      <c r="A97" s="20" t="inlineStr">
        <is>
          <t>APMA-370 (CO)</t>
        </is>
      </c>
      <c r="B97" s="26" t="inlineStr">
        <is>
          <t>6.4.2</t>
        </is>
      </c>
      <c r="C97" s="22" t="inlineStr">
        <is>
          <t>Filtro coalescente interno (DFU9900-05-BK)</t>
        </is>
      </c>
      <c r="D97" s="25" t="inlineStr">
        <is>
          <t>Cobrable</t>
        </is>
      </c>
      <c r="E97" s="22" t="inlineStr">
        <is>
          <t>Elemento colmatado o con aceite: restringe la línea de referencia</t>
        </is>
      </c>
      <c r="F97" s="20" t="n">
        <v>1</v>
      </c>
      <c r="G97" s="26" t="inlineStr">
        <is>
          <t>6.4.1</t>
        </is>
      </c>
      <c r="H97" s="22" t="inlineStr">
        <is>
          <t>Eficiencia del relleno catalítico de CO (CAT-1)</t>
        </is>
      </c>
      <c r="I97" s="22" t="inlineStr">
        <is>
          <t>Reemplazar el elemento en línea y recalibrar el cero</t>
        </is>
      </c>
      <c r="J97" s="20">
        <f>IFERROR(INDEX('APMA-370 (CO)'!$U$9:$U$88,MATCH($B97,'APMA-370 (CO)'!$A$9:$A$88,0)),"")</f>
        <v/>
      </c>
      <c r="K97" s="20">
        <f>IF(OR($J97="No conforme",$J97="Requiere reemplazo"),"SÍ — verificar destino","")</f>
        <v/>
      </c>
    </row>
    <row r="98" ht="36" customHeight="1">
      <c r="A98" s="20" t="inlineStr">
        <is>
          <t>APMA-370 (CO)</t>
        </is>
      </c>
      <c r="B98" s="26" t="inlineStr">
        <is>
          <t>6.4.2</t>
        </is>
      </c>
      <c r="C98" s="22" t="inlineStr">
        <is>
          <t>Filtro coalescente interno (DFU9900-05-BK)</t>
        </is>
      </c>
      <c r="D98" s="25" t="inlineStr">
        <is>
          <t>Cobrable</t>
        </is>
      </c>
      <c r="E98" s="22" t="inlineStr">
        <is>
          <t>Elemento colmatado o con aceite: restringe la línea de referencia</t>
        </is>
      </c>
      <c r="F98" s="20" t="n">
        <v>2</v>
      </c>
      <c r="G98" s="26" t="inlineStr">
        <is>
          <t>3.1.1</t>
        </is>
      </c>
      <c r="H98" s="22" t="inlineStr">
        <is>
          <t>Coeficiente de calibración de cero</t>
        </is>
      </c>
      <c r="I98" s="22" t="inlineStr">
        <is>
          <t>Reemplazar el elemento en línea y recalibrar el cero</t>
        </is>
      </c>
      <c r="J98" s="20">
        <f>IFERROR(INDEX('APMA-370 (CO)'!$U$9:$U$88,MATCH($B98,'APMA-370 (CO)'!$A$9:$A$88,0)),"")</f>
        <v/>
      </c>
      <c r="K98" s="20">
        <f>IF(OR($J98="No conforme",$J98="Requiere reemplazo"),"SÍ — verificar destino","")</f>
        <v/>
      </c>
    </row>
    <row r="99" ht="48" customHeight="1">
      <c r="A99" s="20" t="inlineStr">
        <is>
          <t>APMA-370 (CO)</t>
        </is>
      </c>
      <c r="B99" s="26" t="inlineStr">
        <is>
          <t>7.1.1</t>
        </is>
      </c>
      <c r="C99" s="22" t="inlineStr">
        <is>
          <t>Estado de la tarjeta principal CPU (AP-CPU-02)</t>
        </is>
      </c>
      <c r="D99" s="24" t="inlineStr">
        <is>
          <t>Bloqueante</t>
        </is>
      </c>
      <c r="E99" s="22" t="inlineStr">
        <is>
          <t>Polvo conductivo, sulfatación en zócalos o daño térmico</t>
        </is>
      </c>
      <c r="F99" s="20" t="n">
        <v>1</v>
      </c>
      <c r="G99" s="26" t="inlineStr">
        <is>
          <t>7.1.5</t>
        </is>
      </c>
      <c r="H99" s="22" t="inlineStr">
        <is>
          <t>LED de comunicación ST0 y ST1 en tarjeta RPL</t>
        </is>
      </c>
      <c r="I99" s="22" t="inlineStr">
        <is>
          <t>Limpiar y reasentar conectores; si se reemplaza la CPU, inicializarla y recargar la configuración desde CF</t>
        </is>
      </c>
      <c r="J99" s="20">
        <f>IFERROR(INDEX('APMA-370 (CO)'!$U$9:$U$88,MATCH($B99,'APMA-370 (CO)'!$A$9:$A$88,0)),"")</f>
        <v/>
      </c>
      <c r="K99" s="20">
        <f>IF(OR($J99="No conforme",$J99="Requiere reemplazo"),"SÍ — verificar destino","")</f>
        <v/>
      </c>
    </row>
    <row r="100" ht="48" customHeight="1">
      <c r="A100" s="20" t="inlineStr">
        <is>
          <t>APMA-370 (CO)</t>
        </is>
      </c>
      <c r="B100" s="26" t="inlineStr">
        <is>
          <t>7.1.1</t>
        </is>
      </c>
      <c r="C100" s="22" t="inlineStr">
        <is>
          <t>Estado de la tarjeta principal CPU (AP-CPU-02)</t>
        </is>
      </c>
      <c r="D100" s="24" t="inlineStr">
        <is>
          <t>Bloqueante</t>
        </is>
      </c>
      <c r="E100" s="22" t="inlineStr">
        <is>
          <t>Polvo conductivo, sulfatación en zócalos o daño térmico</t>
        </is>
      </c>
      <c r="F100" s="20" t="n">
        <v>2</v>
      </c>
      <c r="G100" s="26" t="inlineStr">
        <is>
          <t>9.3.2</t>
        </is>
      </c>
      <c r="H100" s="22" t="inlineStr">
        <is>
          <t>Tensión interna del riel DC 5 V</t>
        </is>
      </c>
      <c r="I100" s="22" t="inlineStr">
        <is>
          <t>Limpiar y reasentar conectores; si se reemplaza la CPU, inicializarla y recargar la configuración desde CF</t>
        </is>
      </c>
      <c r="J100" s="20">
        <f>IFERROR(INDEX('APMA-370 (CO)'!$U$9:$U$88,MATCH($B100,'APMA-370 (CO)'!$A$9:$A$88,0)),"")</f>
        <v/>
      </c>
      <c r="K100" s="20">
        <f>IF(OR($J100="No conforme",$J100="Requiere reemplazo"),"SÍ — verificar destino","")</f>
        <v/>
      </c>
    </row>
    <row r="101" ht="48" customHeight="1">
      <c r="A101" s="20" t="inlineStr">
        <is>
          <t>APMA-370 (CO)</t>
        </is>
      </c>
      <c r="B101" s="26" t="inlineStr">
        <is>
          <t>7.1.1</t>
        </is>
      </c>
      <c r="C101" s="22" t="inlineStr">
        <is>
          <t>Estado de la tarjeta principal CPU (AP-CPU-02)</t>
        </is>
      </c>
      <c r="D101" s="24" t="inlineStr">
        <is>
          <t>Bloqueante</t>
        </is>
      </c>
      <c r="E101" s="22" t="inlineStr">
        <is>
          <t>Polvo conductivo, sulfatación en zócalos o daño térmico</t>
        </is>
      </c>
      <c r="F101" s="20" t="n">
        <v>3</v>
      </c>
      <c r="G101" s="26" t="inlineStr">
        <is>
          <t>7.3.1</t>
        </is>
      </c>
      <c r="H101" s="22" t="inlineStr">
        <is>
          <t>Cintas flex de la pantalla táctil LCD (Tape Wire)</t>
        </is>
      </c>
      <c r="I101" s="22" t="inlineStr">
        <is>
          <t>Limpiar y reasentar conectores; si se reemplaza la CPU, inicializarla y recargar la configuración desde CF</t>
        </is>
      </c>
      <c r="J101" s="20">
        <f>IFERROR(INDEX('APMA-370 (CO)'!$U$9:$U$88,MATCH($B101,'APMA-370 (CO)'!$A$9:$A$88,0)),"")</f>
        <v/>
      </c>
      <c r="K101" s="20">
        <f>IF(OR($J101="No conforme",$J101="Requiere reemplazo"),"SÍ — verificar destino","")</f>
        <v/>
      </c>
    </row>
    <row r="102" ht="36" customHeight="1">
      <c r="A102" s="20" t="inlineStr">
        <is>
          <t>APMA-370 (CO)</t>
        </is>
      </c>
      <c r="B102" s="26" t="inlineStr">
        <is>
          <t>7.1.2</t>
        </is>
      </c>
      <c r="C102" s="22" t="inlineStr">
        <is>
          <t>Configuración del DIP switch SW2 en AP-ADC-05</t>
        </is>
      </c>
      <c r="D102" s="24" t="inlineStr">
        <is>
          <t>Bloqueante</t>
        </is>
      </c>
      <c r="E102" s="22" t="inlineStr">
        <is>
          <t>Configuración de modelo alterada tras cambiar la tarjeta</t>
        </is>
      </c>
      <c r="F102" s="20" t="n">
        <v>1</v>
      </c>
      <c r="G102" s="26" t="inlineStr">
        <is>
          <t>7.1.3</t>
        </is>
      </c>
      <c r="H102" s="22" t="inlineStr">
        <is>
          <t>Indicadores LED de la tarjeta ADC (+24V, +5V)</t>
        </is>
      </c>
      <c r="I102" s="22" t="inlineStr">
        <is>
          <t>Restituir los bits del modelo y verificar que las lecturas vuelvan a ser coherentes</t>
        </is>
      </c>
      <c r="J102" s="20">
        <f>IFERROR(INDEX('APMA-370 (CO)'!$U$9:$U$88,MATCH($B102,'APMA-370 (CO)'!$A$9:$A$88,0)),"")</f>
        <v/>
      </c>
      <c r="K102" s="20">
        <f>IF(OR($J102="No conforme",$J102="Requiere reemplazo"),"SÍ — verificar destino","")</f>
        <v/>
      </c>
    </row>
    <row r="103" ht="36" customHeight="1">
      <c r="A103" s="20" t="inlineStr">
        <is>
          <t>APMA-370 (CO)</t>
        </is>
      </c>
      <c r="B103" s="26" t="inlineStr">
        <is>
          <t>7.1.2</t>
        </is>
      </c>
      <c r="C103" s="22" t="inlineStr">
        <is>
          <t>Configuración del DIP switch SW2 en AP-ADC-05</t>
        </is>
      </c>
      <c r="D103" s="24" t="inlineStr">
        <is>
          <t>Bloqueante</t>
        </is>
      </c>
      <c r="E103" s="22" t="inlineStr">
        <is>
          <t>Configuración de modelo alterada tras cambiar la tarjeta</t>
        </is>
      </c>
      <c r="F103" s="20" t="n">
        <v>2</v>
      </c>
      <c r="G103" s="26" t="inlineStr">
        <is>
          <t>6.1.1</t>
        </is>
      </c>
      <c r="H103" s="22" t="inlineStr">
        <is>
          <t>Tensión de señal principal (SIGNAL MAIN)</t>
        </is>
      </c>
      <c r="I103" s="22" t="inlineStr">
        <is>
          <t>Restituir los bits del modelo y verificar que las lecturas vuelvan a ser coherentes</t>
        </is>
      </c>
      <c r="J103" s="20">
        <f>IFERROR(INDEX('APMA-370 (CO)'!$U$9:$U$88,MATCH($B103,'APMA-370 (CO)'!$A$9:$A$88,0)),"")</f>
        <v/>
      </c>
      <c r="K103" s="20">
        <f>IF(OR($J103="No conforme",$J103="Requiere reemplazo"),"SÍ — verificar destino","")</f>
        <v/>
      </c>
    </row>
    <row r="104" ht="36" customHeight="1">
      <c r="A104" s="20" t="inlineStr">
        <is>
          <t>APMA-370 (CO)</t>
        </is>
      </c>
      <c r="B104" s="26" t="inlineStr">
        <is>
          <t>7.1.3</t>
        </is>
      </c>
      <c r="C104" s="22" t="inlineStr">
        <is>
          <t>Indicadores LED de la tarjeta ADC (+24V, +5V)</t>
        </is>
      </c>
      <c r="D104" s="24" t="inlineStr">
        <is>
          <t>Bloqueante</t>
        </is>
      </c>
      <c r="E104" s="22" t="inlineStr">
        <is>
          <t>Falta una de las tensiones de alimentación de la tarjeta</t>
        </is>
      </c>
      <c r="F104" s="20" t="n">
        <v>1</v>
      </c>
      <c r="G104" s="26" t="inlineStr">
        <is>
          <t>9.3.1</t>
        </is>
      </c>
      <c r="H104" s="22" t="inlineStr">
        <is>
          <t>Tensión interna del riel DC 24 V</t>
        </is>
      </c>
      <c r="I104" s="22" t="inlineStr">
        <is>
          <t>Seguir la rama de alimentación hasta la fuente antes de sospechar de la tarjeta</t>
        </is>
      </c>
      <c r="J104" s="20">
        <f>IFERROR(INDEX('APMA-370 (CO)'!$U$9:$U$88,MATCH($B104,'APMA-370 (CO)'!$A$9:$A$88,0)),"")</f>
        <v/>
      </c>
      <c r="K104" s="20">
        <f>IF(OR($J104="No conforme",$J104="Requiere reemplazo"),"SÍ — verificar destino","")</f>
        <v/>
      </c>
    </row>
    <row r="105" ht="36" customHeight="1">
      <c r="A105" s="20" t="inlineStr">
        <is>
          <t>APMA-370 (CO)</t>
        </is>
      </c>
      <c r="B105" s="26" t="inlineStr">
        <is>
          <t>7.1.3</t>
        </is>
      </c>
      <c r="C105" s="22" t="inlineStr">
        <is>
          <t>Indicadores LED de la tarjeta ADC (+24V, +5V)</t>
        </is>
      </c>
      <c r="D105" s="24" t="inlineStr">
        <is>
          <t>Bloqueante</t>
        </is>
      </c>
      <c r="E105" s="22" t="inlineStr">
        <is>
          <t>Falta una de las tensiones de alimentación de la tarjeta</t>
        </is>
      </c>
      <c r="F105" s="20" t="n">
        <v>2</v>
      </c>
      <c r="G105" s="26" t="inlineStr">
        <is>
          <t>9.3.2</t>
        </is>
      </c>
      <c r="H105" s="22" t="inlineStr">
        <is>
          <t>Tensión interna del riel DC 5 V</t>
        </is>
      </c>
      <c r="I105" s="22" t="inlineStr">
        <is>
          <t>Seguir la rama de alimentación hasta la fuente antes de sospechar de la tarjeta</t>
        </is>
      </c>
      <c r="J105" s="20">
        <f>IFERROR(INDEX('APMA-370 (CO)'!$U$9:$U$88,MATCH($B105,'APMA-370 (CO)'!$A$9:$A$88,0)),"")</f>
        <v/>
      </c>
      <c r="K105" s="20">
        <f>IF(OR($J105="No conforme",$J105="Requiere reemplazo"),"SÍ — verificar destino","")</f>
        <v/>
      </c>
    </row>
    <row r="106" ht="36" customHeight="1">
      <c r="A106" s="20" t="inlineStr">
        <is>
          <t>APMA-370 (CO)</t>
        </is>
      </c>
      <c r="B106" s="26" t="inlineStr">
        <is>
          <t>7.1.3</t>
        </is>
      </c>
      <c r="C106" s="22" t="inlineStr">
        <is>
          <t>Indicadores LED de la tarjeta ADC (+24V, +5V)</t>
        </is>
      </c>
      <c r="D106" s="24" t="inlineStr">
        <is>
          <t>Bloqueante</t>
        </is>
      </c>
      <c r="E106" s="22" t="inlineStr">
        <is>
          <t>Falta una de las tensiones de alimentación de la tarjeta</t>
        </is>
      </c>
      <c r="F106" s="20" t="n">
        <v>3</v>
      </c>
      <c r="G106" s="26" t="inlineStr">
        <is>
          <t>7.4.1</t>
        </is>
      </c>
      <c r="H106" s="22" t="inlineStr">
        <is>
          <t>Tensiones secundarias de la fuente de poder principal</t>
        </is>
      </c>
      <c r="I106" s="22" t="inlineStr">
        <is>
          <t>Seguir la rama de alimentación hasta la fuente antes de sospechar de la tarjeta</t>
        </is>
      </c>
      <c r="J106" s="20">
        <f>IFERROR(INDEX('APMA-370 (CO)'!$U$9:$U$88,MATCH($B106,'APMA-370 (CO)'!$A$9:$A$88,0)),"")</f>
        <v/>
      </c>
      <c r="K106" s="20">
        <f>IF(OR($J106="No conforme",$J106="Requiere reemplazo"),"SÍ — verificar destino","")</f>
        <v/>
      </c>
    </row>
    <row r="107" ht="36" customHeight="1">
      <c r="A107" s="20" t="inlineStr">
        <is>
          <t>APMA-370 (CO)</t>
        </is>
      </c>
      <c r="B107" s="26" t="inlineStr">
        <is>
          <t>7.1.4</t>
        </is>
      </c>
      <c r="C107" s="22" t="inlineStr">
        <is>
          <t>Estado físico de la tarjeta de relés (AP-RPL-02A)</t>
        </is>
      </c>
      <c r="D107" s="24" t="inlineStr">
        <is>
          <t>Bloqueante</t>
        </is>
      </c>
      <c r="E107" s="22" t="inlineStr">
        <is>
          <t>Relé o transistor quemado por sobrecarga en una salida de contacto</t>
        </is>
      </c>
      <c r="F107" s="20" t="n">
        <v>1</v>
      </c>
      <c r="G107" s="26" t="inlineStr">
        <is>
          <t>7.1.5</t>
        </is>
      </c>
      <c r="H107" s="22" t="inlineStr">
        <is>
          <t>LED de comunicación ST0 y ST1 en tarjeta RPL</t>
        </is>
      </c>
      <c r="I107" s="22" t="inlineStr">
        <is>
          <t>Reemplazar la tarjeta RPL y revisar la carga conectada a los contactos de alarma</t>
        </is>
      </c>
      <c r="J107" s="20">
        <f>IFERROR(INDEX('APMA-370 (CO)'!$U$9:$U$88,MATCH($B107,'APMA-370 (CO)'!$A$9:$A$88,0)),"")</f>
        <v/>
      </c>
      <c r="K107" s="20">
        <f>IF(OR($J107="No conforme",$J107="Requiere reemplazo"),"SÍ — verificar destino","")</f>
        <v/>
      </c>
    </row>
    <row r="108" ht="36" customHeight="1">
      <c r="A108" s="20" t="inlineStr">
        <is>
          <t>APMA-370 (CO)</t>
        </is>
      </c>
      <c r="B108" s="26" t="inlineStr">
        <is>
          <t>7.1.4</t>
        </is>
      </c>
      <c r="C108" s="22" t="inlineStr">
        <is>
          <t>Estado físico de la tarjeta de relés (AP-RPL-02A)</t>
        </is>
      </c>
      <c r="D108" s="24" t="inlineStr">
        <is>
          <t>Bloqueante</t>
        </is>
      </c>
      <c r="E108" s="22" t="inlineStr">
        <is>
          <t>Relé o transistor quemado por sobrecarga en una salida de contacto</t>
        </is>
      </c>
      <c r="F108" s="20" t="n">
        <v>2</v>
      </c>
      <c r="G108" s="26" t="inlineStr">
        <is>
          <t>7.1.6</t>
        </is>
      </c>
      <c r="H108" s="22" t="inlineStr">
        <is>
          <t>LED de tensión +5 V en tarjeta RPL</t>
        </is>
      </c>
      <c r="I108" s="22" t="inlineStr">
        <is>
          <t>Reemplazar la tarjeta RPL y revisar la carga conectada a los contactos de alarma</t>
        </is>
      </c>
      <c r="J108" s="20">
        <f>IFERROR(INDEX('APMA-370 (CO)'!$U$9:$U$88,MATCH($B108,'APMA-370 (CO)'!$A$9:$A$88,0)),"")</f>
        <v/>
      </c>
      <c r="K108" s="20">
        <f>IF(OR($J108="No conforme",$J108="Requiere reemplazo"),"SÍ — verificar destino","")</f>
        <v/>
      </c>
    </row>
    <row r="109" ht="36" customHeight="1">
      <c r="A109" s="20" t="inlineStr">
        <is>
          <t>APMA-370 (CO)</t>
        </is>
      </c>
      <c r="B109" s="26" t="inlineStr">
        <is>
          <t>7.1.5</t>
        </is>
      </c>
      <c r="C109" s="22" t="inlineStr">
        <is>
          <t>LED de comunicación ST0 y ST1 en tarjeta RPL</t>
        </is>
      </c>
      <c r="D109" s="24" t="inlineStr">
        <is>
          <t>Bloqueante</t>
        </is>
      </c>
      <c r="E109" s="22" t="inlineStr">
        <is>
          <t>Cinta plana I2C floja, o microprocesador H8 bloqueado</t>
        </is>
      </c>
      <c r="F109" s="20" t="n">
        <v>1</v>
      </c>
      <c r="G109" s="26" t="inlineStr">
        <is>
          <t>7.3.1</t>
        </is>
      </c>
      <c r="H109" s="22" t="inlineStr">
        <is>
          <t>Cintas flex de la pantalla táctil LCD (Tape Wire)</t>
        </is>
      </c>
      <c r="I109" s="22" t="inlineStr">
        <is>
          <t>Reasentar la cinta I2C; si ST1 sigue fijo, ejecutar el memory scan y considerar cambiar la RPL</t>
        </is>
      </c>
      <c r="J109" s="20">
        <f>IFERROR(INDEX('APMA-370 (CO)'!$U$9:$U$88,MATCH($B109,'APMA-370 (CO)'!$A$9:$A$88,0)),"")</f>
        <v/>
      </c>
      <c r="K109" s="20">
        <f>IF(OR($J109="No conforme",$J109="Requiere reemplazo"),"SÍ — verificar destino","")</f>
        <v/>
      </c>
    </row>
    <row r="110" ht="36" customHeight="1">
      <c r="A110" s="20" t="inlineStr">
        <is>
          <t>APMA-370 (CO)</t>
        </is>
      </c>
      <c r="B110" s="26" t="inlineStr">
        <is>
          <t>7.1.5</t>
        </is>
      </c>
      <c r="C110" s="22" t="inlineStr">
        <is>
          <t>LED de comunicación ST0 y ST1 en tarjeta RPL</t>
        </is>
      </c>
      <c r="D110" s="24" t="inlineStr">
        <is>
          <t>Bloqueante</t>
        </is>
      </c>
      <c r="E110" s="22" t="inlineStr">
        <is>
          <t>Cinta plana I2C floja, o microprocesador H8 bloqueado</t>
        </is>
      </c>
      <c r="F110" s="20" t="n">
        <v>2</v>
      </c>
      <c r="G110" s="26" t="inlineStr">
        <is>
          <t>7.1.1</t>
        </is>
      </c>
      <c r="H110" s="22" t="inlineStr">
        <is>
          <t>Estado de la tarjeta principal CPU (AP-CPU-02)</t>
        </is>
      </c>
      <c r="I110" s="22" t="inlineStr">
        <is>
          <t>Reasentar la cinta I2C; si ST1 sigue fijo, ejecutar el memory scan y considerar cambiar la RPL</t>
        </is>
      </c>
      <c r="J110" s="20">
        <f>IFERROR(INDEX('APMA-370 (CO)'!$U$9:$U$88,MATCH($B110,'APMA-370 (CO)'!$A$9:$A$88,0)),"")</f>
        <v/>
      </c>
      <c r="K110" s="20">
        <f>IF(OR($J110="No conforme",$J110="Requiere reemplazo"),"SÍ — verificar destino","")</f>
        <v/>
      </c>
    </row>
    <row r="111" ht="36" customHeight="1">
      <c r="A111" s="20" t="inlineStr">
        <is>
          <t>APMA-370 (CO)</t>
        </is>
      </c>
      <c r="B111" s="26" t="inlineStr">
        <is>
          <t>7.1.5</t>
        </is>
      </c>
      <c r="C111" s="22" t="inlineStr">
        <is>
          <t>LED de comunicación ST0 y ST1 en tarjeta RPL</t>
        </is>
      </c>
      <c r="D111" s="24" t="inlineStr">
        <is>
          <t>Bloqueante</t>
        </is>
      </c>
      <c r="E111" s="22" t="inlineStr">
        <is>
          <t>Cinta plana I2C floja, o microprocesador H8 bloqueado</t>
        </is>
      </c>
      <c r="F111" s="20" t="n">
        <v>3</v>
      </c>
      <c r="G111" s="26" t="inlineStr">
        <is>
          <t>7.1.4</t>
        </is>
      </c>
      <c r="H111" s="22" t="inlineStr">
        <is>
          <t>Estado físico de la tarjeta de relés (AP-RPL-02A)</t>
        </is>
      </c>
      <c r="I111" s="22" t="inlineStr">
        <is>
          <t>Reasentar la cinta I2C; si ST1 sigue fijo, ejecutar el memory scan y considerar cambiar la RPL</t>
        </is>
      </c>
      <c r="J111" s="20">
        <f>IFERROR(INDEX('APMA-370 (CO)'!$U$9:$U$88,MATCH($B111,'APMA-370 (CO)'!$A$9:$A$88,0)),"")</f>
        <v/>
      </c>
      <c r="K111" s="20">
        <f>IF(OR($J111="No conforme",$J111="Requiere reemplazo"),"SÍ — verificar destino","")</f>
        <v/>
      </c>
    </row>
    <row r="112" ht="36" customHeight="1">
      <c r="A112" s="20" t="inlineStr">
        <is>
          <t>APMA-370 (CO)</t>
        </is>
      </c>
      <c r="B112" s="26" t="inlineStr">
        <is>
          <t>7.1.6</t>
        </is>
      </c>
      <c r="C112" s="22" t="inlineStr">
        <is>
          <t>LED de tensión +5 V en tarjeta RPL</t>
        </is>
      </c>
      <c r="D112" s="24" t="inlineStr">
        <is>
          <t>Bloqueante</t>
        </is>
      </c>
      <c r="E112" s="22" t="inlineStr">
        <is>
          <t>Regulador local sin alimentación o dañado</t>
        </is>
      </c>
      <c r="F112" s="20" t="n">
        <v>1</v>
      </c>
      <c r="G112" s="26" t="inlineStr">
        <is>
          <t>9.3.2</t>
        </is>
      </c>
      <c r="H112" s="22" t="inlineStr">
        <is>
          <t>Tensión interna del riel DC 5 V</t>
        </is>
      </c>
      <c r="I112" s="22" t="inlineStr">
        <is>
          <t>Verificar la llegada de 5 V a la tarjeta antes de reemplazarla</t>
        </is>
      </c>
      <c r="J112" s="20">
        <f>IFERROR(INDEX('APMA-370 (CO)'!$U$9:$U$88,MATCH($B112,'APMA-370 (CO)'!$A$9:$A$88,0)),"")</f>
        <v/>
      </c>
      <c r="K112" s="20">
        <f>IF(OR($J112="No conforme",$J112="Requiere reemplazo"),"SÍ — verificar destino","")</f>
        <v/>
      </c>
    </row>
    <row r="113" ht="36" customHeight="1">
      <c r="A113" s="20" t="inlineStr">
        <is>
          <t>APMA-370 (CO)</t>
        </is>
      </c>
      <c r="B113" s="26" t="inlineStr">
        <is>
          <t>7.1.6</t>
        </is>
      </c>
      <c r="C113" s="22" t="inlineStr">
        <is>
          <t>LED de tensión +5 V en tarjeta RPL</t>
        </is>
      </c>
      <c r="D113" s="24" t="inlineStr">
        <is>
          <t>Bloqueante</t>
        </is>
      </c>
      <c r="E113" s="22" t="inlineStr">
        <is>
          <t>Regulador local sin alimentación o dañado</t>
        </is>
      </c>
      <c r="F113" s="20" t="n">
        <v>2</v>
      </c>
      <c r="G113" s="26" t="inlineStr">
        <is>
          <t>7.4.1</t>
        </is>
      </c>
      <c r="H113" s="22" t="inlineStr">
        <is>
          <t>Tensiones secundarias de la fuente de poder principal</t>
        </is>
      </c>
      <c r="I113" s="22" t="inlineStr">
        <is>
          <t>Verificar la llegada de 5 V a la tarjeta antes de reemplazarla</t>
        </is>
      </c>
      <c r="J113" s="20">
        <f>IFERROR(INDEX('APMA-370 (CO)'!$U$9:$U$88,MATCH($B113,'APMA-370 (CO)'!$A$9:$A$88,0)),"")</f>
        <v/>
      </c>
      <c r="K113" s="20">
        <f>IF(OR($J113="No conforme",$J113="Requiere reemplazo"),"SÍ — verificar destino","")</f>
        <v/>
      </c>
    </row>
    <row r="114" ht="36" customHeight="1">
      <c r="A114" s="20" t="inlineStr">
        <is>
          <t>APMA-370 (CO)</t>
        </is>
      </c>
      <c r="B114" s="26" t="inlineStr">
        <is>
          <t>7.1.7</t>
        </is>
      </c>
      <c r="C114" s="22" t="inlineStr">
        <is>
          <t>Switch de selección de alarma general (SW1/SW2 en RPL)</t>
        </is>
      </c>
      <c r="D114" s="23" t="inlineStr">
        <is>
          <t>Alerta</t>
        </is>
      </c>
      <c r="E114" s="22" t="inlineStr">
        <is>
          <t>Configuración de alarma distinta a la acordada con la estación</t>
        </is>
      </c>
      <c r="F114" s="20" t="n">
        <v>1</v>
      </c>
      <c r="G114" s="26" t="inlineStr">
        <is>
          <t>7.1.4</t>
        </is>
      </c>
      <c r="H114" s="22" t="inlineStr">
        <is>
          <t>Estado físico de la tarjeta de relés (AP-RPL-02A)</t>
        </is>
      </c>
      <c r="I114" s="22" t="inlineStr">
        <is>
          <t>Ajustar los microinterruptores al esquema de telemetría y documentarlo</t>
        </is>
      </c>
      <c r="J114" s="20">
        <f>IFERROR(INDEX('APMA-370 (CO)'!$U$9:$U$88,MATCH($B114,'APMA-370 (CO)'!$A$9:$A$88,0)),"")</f>
        <v/>
      </c>
      <c r="K114" s="20">
        <f>IF(OR($J114="No conforme",$J114="Requiere reemplazo"),"SÍ — verificar destino","")</f>
        <v/>
      </c>
    </row>
    <row r="115" ht="36" customHeight="1">
      <c r="A115" s="20" t="inlineStr">
        <is>
          <t>APMA-370 (CO)</t>
        </is>
      </c>
      <c r="B115" s="26" t="inlineStr">
        <is>
          <t>7.3.1</t>
        </is>
      </c>
      <c r="C115" s="22" t="inlineStr">
        <is>
          <t>Cintas flex de la pantalla táctil LCD (Tape Wire)</t>
        </is>
      </c>
      <c r="D115" s="25" t="inlineStr">
        <is>
          <t>Cobrable</t>
        </is>
      </c>
      <c r="E115" s="22" t="inlineStr">
        <is>
          <t>Cinta agrietada o terminal sulfatado por humedad del shelter</t>
        </is>
      </c>
      <c r="F115" s="20" t="n">
        <v>1</v>
      </c>
      <c r="G115" s="26" t="inlineStr">
        <is>
          <t>1.1.3</t>
        </is>
      </c>
      <c r="H115" s="22" t="inlineStr">
        <is>
          <t>Inicialización del display (TFT LCD)</t>
        </is>
      </c>
      <c r="I115" s="22" t="inlineStr">
        <is>
          <t>Reemplazar la cinta flex y corregir la humedad del shelter</t>
        </is>
      </c>
      <c r="J115" s="20">
        <f>IFERROR(INDEX('APMA-370 (CO)'!$U$9:$U$88,MATCH($B115,'APMA-370 (CO)'!$A$9:$A$88,0)),"")</f>
        <v/>
      </c>
      <c r="K115" s="20">
        <f>IF(OR($J115="No conforme",$J115="Requiere reemplazo"),"SÍ — verificar destino","")</f>
        <v/>
      </c>
    </row>
    <row r="116" ht="36" customHeight="1">
      <c r="A116" s="20" t="inlineStr">
        <is>
          <t>APMA-370 (CO)</t>
        </is>
      </c>
      <c r="B116" s="26" t="inlineStr">
        <is>
          <t>7.3.1</t>
        </is>
      </c>
      <c r="C116" s="22" t="inlineStr">
        <is>
          <t>Cintas flex de la pantalla táctil LCD (Tape Wire)</t>
        </is>
      </c>
      <c r="D116" s="25" t="inlineStr">
        <is>
          <t>Cobrable</t>
        </is>
      </c>
      <c r="E116" s="22" t="inlineStr">
        <is>
          <t>Cinta agrietada o terminal sulfatado por humedad del shelter</t>
        </is>
      </c>
      <c r="F116" s="20" t="n">
        <v>2</v>
      </c>
      <c r="G116" s="26" t="inlineStr">
        <is>
          <t>7.3.2</t>
        </is>
      </c>
      <c r="H116" s="22" t="inlineStr">
        <is>
          <t>Respuesta táctil de la pantalla (Touch Panel)</t>
        </is>
      </c>
      <c r="I116" s="22" t="inlineStr">
        <is>
          <t>Reemplazar la cinta flex y corregir la humedad del shelter</t>
        </is>
      </c>
      <c r="J116" s="20">
        <f>IFERROR(INDEX('APMA-370 (CO)'!$U$9:$U$88,MATCH($B116,'APMA-370 (CO)'!$A$9:$A$88,0)),"")</f>
        <v/>
      </c>
      <c r="K116" s="20">
        <f>IF(OR($J116="No conforme",$J116="Requiere reemplazo"),"SÍ — verificar destino","")</f>
        <v/>
      </c>
    </row>
    <row r="117" ht="36" customHeight="1">
      <c r="A117" s="20" t="inlineStr">
        <is>
          <t>APMA-370 (CO)</t>
        </is>
      </c>
      <c r="B117" s="26" t="inlineStr">
        <is>
          <t>7.3.2</t>
        </is>
      </c>
      <c r="C117" s="22" t="inlineStr">
        <is>
          <t>Respuesta táctil de la pantalla (Touch Panel)</t>
        </is>
      </c>
      <c r="D117" s="25" t="inlineStr">
        <is>
          <t>Cobrable</t>
        </is>
      </c>
      <c r="E117" s="22" t="inlineStr">
        <is>
          <t>Delaminación del panel resistivo por humedad, o desgaste por uso con objetos punzantes</t>
        </is>
      </c>
      <c r="F117" s="20" t="n">
        <v>1</v>
      </c>
      <c r="G117" s="26" t="inlineStr">
        <is>
          <t>7.3.1</t>
        </is>
      </c>
      <c r="H117" s="22" t="inlineStr">
        <is>
          <t>Cintas flex de la pantalla táctil LCD (Tape Wire)</t>
        </is>
      </c>
      <c r="I117" s="22" t="inlineStr">
        <is>
          <t>Recalibrar el panel; si no responde, reemplazarlo y controlar la humedad de la cabina</t>
        </is>
      </c>
      <c r="J117" s="20">
        <f>IFERROR(INDEX('APMA-370 (CO)'!$U$9:$U$88,MATCH($B117,'APMA-370 (CO)'!$A$9:$A$88,0)),"")</f>
        <v/>
      </c>
      <c r="K117" s="20">
        <f>IF(OR($J117="No conforme",$J117="Requiere reemplazo"),"SÍ — verificar destino","")</f>
        <v/>
      </c>
    </row>
    <row r="118" ht="36" customHeight="1">
      <c r="A118" s="20" t="inlineStr">
        <is>
          <t>APMA-370 (CO)</t>
        </is>
      </c>
      <c r="B118" s="26" t="inlineStr">
        <is>
          <t>7.3.2</t>
        </is>
      </c>
      <c r="C118" s="22" t="inlineStr">
        <is>
          <t>Respuesta táctil de la pantalla (Touch Panel)</t>
        </is>
      </c>
      <c r="D118" s="25" t="inlineStr">
        <is>
          <t>Cobrable</t>
        </is>
      </c>
      <c r="E118" s="22" t="inlineStr">
        <is>
          <t>Delaminación del panel resistivo por humedad, o desgaste por uso con objetos punzantes</t>
        </is>
      </c>
      <c r="F118" s="20" t="n">
        <v>2</v>
      </c>
      <c r="G118" s="26" t="inlineStr">
        <is>
          <t>10.4.2</t>
        </is>
      </c>
      <c r="H118" s="22" t="inlineStr">
        <is>
          <t>Humedad relativa con temperatura menor a 31 °C</t>
        </is>
      </c>
      <c r="I118" s="22" t="inlineStr">
        <is>
          <t>Recalibrar el panel; si no responde, reemplazarlo y controlar la humedad de la cabina</t>
        </is>
      </c>
      <c r="J118" s="20">
        <f>IFERROR(INDEX('APMA-370 (CO)'!$U$9:$U$88,MATCH($B118,'APMA-370 (CO)'!$A$9:$A$88,0)),"")</f>
        <v/>
      </c>
      <c r="K118" s="20">
        <f>IF(OR($J118="No conforme",$J118="Requiere reemplazo"),"SÍ — verificar destino","")</f>
        <v/>
      </c>
    </row>
    <row r="119" ht="36" customHeight="1">
      <c r="A119" s="20" t="inlineStr">
        <is>
          <t>APMA-370 (CO)</t>
        </is>
      </c>
      <c r="B119" s="26" t="inlineStr">
        <is>
          <t>7.4.1</t>
        </is>
      </c>
      <c r="C119" s="22" t="inlineStr">
        <is>
          <t>Tensiones secundarias de la fuente de poder principal</t>
        </is>
      </c>
      <c r="D119" s="24" t="inlineStr">
        <is>
          <t>Bloqueante</t>
        </is>
      </c>
      <c r="E119" s="22" t="inlineStr">
        <is>
          <t>Condensadores degradados o fuente al final de su vida útil</t>
        </is>
      </c>
      <c r="F119" s="20" t="n">
        <v>1</v>
      </c>
      <c r="G119" s="26" t="inlineStr">
        <is>
          <t>9.3.1</t>
        </is>
      </c>
      <c r="H119" s="22" t="inlineStr">
        <is>
          <t>Tensión interna del riel DC 24 V</t>
        </is>
      </c>
      <c r="I119" s="22" t="inlineStr">
        <is>
          <t>Reemplazar la fuente y verificar la calidad de la red que alimenta el equipo</t>
        </is>
      </c>
      <c r="J119" s="20">
        <f>IFERROR(INDEX('APMA-370 (CO)'!$U$9:$U$88,MATCH($B119,'APMA-370 (CO)'!$A$9:$A$88,0)),"")</f>
        <v/>
      </c>
      <c r="K119" s="20">
        <f>IF(OR($J119="No conforme",$J119="Requiere reemplazo"),"SÍ — verificar destino","")</f>
        <v/>
      </c>
    </row>
    <row r="120" ht="36" customHeight="1">
      <c r="A120" s="20" t="inlineStr">
        <is>
          <t>APMA-370 (CO)</t>
        </is>
      </c>
      <c r="B120" s="26" t="inlineStr">
        <is>
          <t>7.4.1</t>
        </is>
      </c>
      <c r="C120" s="22" t="inlineStr">
        <is>
          <t>Tensiones secundarias de la fuente de poder principal</t>
        </is>
      </c>
      <c r="D120" s="24" t="inlineStr">
        <is>
          <t>Bloqueante</t>
        </is>
      </c>
      <c r="E120" s="22" t="inlineStr">
        <is>
          <t>Condensadores degradados o fuente al final de su vida útil</t>
        </is>
      </c>
      <c r="F120" s="20" t="n">
        <v>2</v>
      </c>
      <c r="G120" s="26" t="inlineStr">
        <is>
          <t>9.3.2</t>
        </is>
      </c>
      <c r="H120" s="22" t="inlineStr">
        <is>
          <t>Tensión interna del riel DC 5 V</t>
        </is>
      </c>
      <c r="I120" s="22" t="inlineStr">
        <is>
          <t>Reemplazar la fuente y verificar la calidad de la red que alimenta el equipo</t>
        </is>
      </c>
      <c r="J120" s="20">
        <f>IFERROR(INDEX('APMA-370 (CO)'!$U$9:$U$88,MATCH($B120,'APMA-370 (CO)'!$A$9:$A$88,0)),"")</f>
        <v/>
      </c>
      <c r="K120" s="20">
        <f>IF(OR($J120="No conforme",$J120="Requiere reemplazo"),"SÍ — verificar destino","")</f>
        <v/>
      </c>
    </row>
    <row r="121" ht="36" customHeight="1">
      <c r="A121" s="20" t="inlineStr">
        <is>
          <t>APMA-370 (CO)</t>
        </is>
      </c>
      <c r="B121" s="26" t="inlineStr">
        <is>
          <t>7.4.1</t>
        </is>
      </c>
      <c r="C121" s="22" t="inlineStr">
        <is>
          <t>Tensiones secundarias de la fuente de poder principal</t>
        </is>
      </c>
      <c r="D121" s="24" t="inlineStr">
        <is>
          <t>Bloqueante</t>
        </is>
      </c>
      <c r="E121" s="22" t="inlineStr">
        <is>
          <t>Condensadores degradados o fuente al final de su vida útil</t>
        </is>
      </c>
      <c r="F121" s="20" t="n">
        <v>3</v>
      </c>
      <c r="G121" s="26" t="inlineStr">
        <is>
          <t>10.5.1</t>
        </is>
      </c>
      <c r="H121" s="22" t="inlineStr">
        <is>
          <t>Variación de tensión nominal AC</t>
        </is>
      </c>
      <c r="I121" s="22" t="inlineStr">
        <is>
          <t>Reemplazar la fuente y verificar la calidad de la red que alimenta el equipo</t>
        </is>
      </c>
      <c r="J121" s="20">
        <f>IFERROR(INDEX('APMA-370 (CO)'!$U$9:$U$88,MATCH($B121,'APMA-370 (CO)'!$A$9:$A$88,0)),"")</f>
        <v/>
      </c>
      <c r="K121" s="20">
        <f>IF(OR($J121="No conforme",$J121="Requiere reemplazo"),"SÍ — verificar destino","")</f>
        <v/>
      </c>
    </row>
    <row r="122" ht="24" customHeight="1">
      <c r="A122" s="20" t="inlineStr">
        <is>
          <t>APMA-370 (CO)</t>
        </is>
      </c>
      <c r="B122" s="26" t="inlineStr">
        <is>
          <t>7.4.2</t>
        </is>
      </c>
      <c r="C122" s="22" t="inlineStr">
        <is>
          <t>Transformador de la bomba de muestreo</t>
        </is>
      </c>
      <c r="D122" s="24" t="inlineStr">
        <is>
          <t>Bloqueante</t>
        </is>
      </c>
      <c r="E122" s="22" t="inlineStr">
        <is>
          <t>Devanado abierto, o transformador no original instalado</t>
        </is>
      </c>
      <c r="F122" s="20" t="n">
        <v>1</v>
      </c>
      <c r="G122" s="26" t="inlineStr">
        <is>
          <t>5.2.1</t>
        </is>
      </c>
      <c r="H122" s="22" t="inlineStr">
        <is>
          <t>Vibración y ruido mecánico de la bomba (P-1-B)</t>
        </is>
      </c>
      <c r="I122" s="22" t="inlineStr">
        <is>
          <t>Reponer el transformador original de 42 VA</t>
        </is>
      </c>
      <c r="J122" s="20">
        <f>IFERROR(INDEX('APMA-370 (CO)'!$U$9:$U$88,MATCH($B122,'APMA-370 (CO)'!$A$9:$A$88,0)),"")</f>
        <v/>
      </c>
      <c r="K122" s="20">
        <f>IF(OR($J122="No conforme",$J122="Requiere reemplazo"),"SÍ — verificar destino","")</f>
        <v/>
      </c>
    </row>
    <row r="123" ht="24" customHeight="1">
      <c r="A123" s="20" t="inlineStr">
        <is>
          <t>APMA-370 (CO)</t>
        </is>
      </c>
      <c r="B123" s="26" t="inlineStr">
        <is>
          <t>7.4.2</t>
        </is>
      </c>
      <c r="C123" s="22" t="inlineStr">
        <is>
          <t>Transformador de la bomba de muestreo</t>
        </is>
      </c>
      <c r="D123" s="24" t="inlineStr">
        <is>
          <t>Bloqueante</t>
        </is>
      </c>
      <c r="E123" s="22" t="inlineStr">
        <is>
          <t>Devanado abierto, o transformador no original instalado</t>
        </is>
      </c>
      <c r="F123" s="20" t="n">
        <v>2</v>
      </c>
      <c r="G123" s="26" t="inlineStr">
        <is>
          <t>10.5.1</t>
        </is>
      </c>
      <c r="H123" s="22" t="inlineStr">
        <is>
          <t>Variación de tensión nominal AC</t>
        </is>
      </c>
      <c r="I123" s="22" t="inlineStr">
        <is>
          <t>Reponer el transformador original de 42 VA</t>
        </is>
      </c>
      <c r="J123" s="20">
        <f>IFERROR(INDEX('APMA-370 (CO)'!$U$9:$U$88,MATCH($B123,'APMA-370 (CO)'!$A$9:$A$88,0)),"")</f>
        <v/>
      </c>
      <c r="K123" s="20">
        <f>IF(OR($J123="No conforme",$J123="Requiere reemplazo"),"SÍ — verificar destino","")</f>
        <v/>
      </c>
    </row>
    <row r="124" ht="36" customHeight="1">
      <c r="A124" s="20" t="inlineStr">
        <is>
          <t>APMA-370 (CO)</t>
        </is>
      </c>
      <c r="B124" s="26" t="inlineStr">
        <is>
          <t>7.5.1</t>
        </is>
      </c>
      <c r="C124" s="22" t="inlineStr">
        <is>
          <t>Conector del cable serial RS-232C</t>
        </is>
      </c>
      <c r="D124" s="23" t="inlineStr">
        <is>
          <t>Alerta</t>
        </is>
      </c>
      <c r="E124" s="22" t="inlineStr">
        <is>
          <t>Cable recto en lugar de cruzado, o pines sin el puente 7-8</t>
        </is>
      </c>
      <c r="F124" s="20" t="n">
        <v>1</v>
      </c>
      <c r="G124" s="26" t="inlineStr">
        <is>
          <t>7.5.2</t>
        </is>
      </c>
      <c r="H124" s="22" t="inlineStr">
        <is>
          <t>Tarjeta serial opcional (AP-SIO-04)</t>
        </is>
      </c>
      <c r="I124" s="22" t="inlineStr">
        <is>
          <t>Usar cable cruzado con puente local 7-8 y verificar la descarga de datos</t>
        </is>
      </c>
      <c r="J124" s="20">
        <f>IFERROR(INDEX('APMA-370 (CO)'!$U$9:$U$88,MATCH($B124,'APMA-370 (CO)'!$A$9:$A$88,0)),"")</f>
        <v/>
      </c>
      <c r="K124" s="20">
        <f>IF(OR($J124="No conforme",$J124="Requiere reemplazo"),"SÍ — verificar destino","")</f>
        <v/>
      </c>
    </row>
    <row r="125" ht="36" customHeight="1">
      <c r="A125" s="20" t="inlineStr">
        <is>
          <t>APMA-370 (CO)</t>
        </is>
      </c>
      <c r="B125" s="26" t="inlineStr">
        <is>
          <t>7.5.1</t>
        </is>
      </c>
      <c r="C125" s="22" t="inlineStr">
        <is>
          <t>Conector del cable serial RS-232C</t>
        </is>
      </c>
      <c r="D125" s="23" t="inlineStr">
        <is>
          <t>Alerta</t>
        </is>
      </c>
      <c r="E125" s="22" t="inlineStr">
        <is>
          <t>Cable recto en lugar de cruzado, o pines sin el puente 7-8</t>
        </is>
      </c>
      <c r="F125" s="20" t="n">
        <v>2</v>
      </c>
      <c r="G125" s="26" t="inlineStr">
        <is>
          <t>2.2.1</t>
        </is>
      </c>
      <c r="H125" s="22" t="inlineStr">
        <is>
          <t>ID del equipo (Machine ID)</t>
        </is>
      </c>
      <c r="I125" s="22" t="inlineStr">
        <is>
          <t>Usar cable cruzado con puente local 7-8 y verificar la descarga de datos</t>
        </is>
      </c>
      <c r="J125" s="20">
        <f>IFERROR(INDEX('APMA-370 (CO)'!$U$9:$U$88,MATCH($B125,'APMA-370 (CO)'!$A$9:$A$88,0)),"")</f>
        <v/>
      </c>
      <c r="K125" s="20">
        <f>IF(OR($J125="No conforme",$J125="Requiere reemplazo"),"SÍ — verificar destino","")</f>
        <v/>
      </c>
    </row>
    <row r="126" ht="36" customHeight="1">
      <c r="A126" s="20" t="inlineStr">
        <is>
          <t>APMA-370 (CO)</t>
        </is>
      </c>
      <c r="B126" s="26" t="inlineStr">
        <is>
          <t>7.5.2</t>
        </is>
      </c>
      <c r="C126" s="22" t="inlineStr">
        <is>
          <t>Tarjeta serial opcional (AP-SIO-04)</t>
        </is>
      </c>
      <c r="D126" s="23" t="inlineStr">
        <is>
          <t>Alerta</t>
        </is>
      </c>
      <c r="E126" s="22" t="inlineStr">
        <is>
          <t>Tarjeta ausente o cable CN2 desconectado</t>
        </is>
      </c>
      <c r="F126" s="20" t="n">
        <v>1</v>
      </c>
      <c r="G126" s="26" t="inlineStr">
        <is>
          <t>7.5.1</t>
        </is>
      </c>
      <c r="H126" s="22" t="inlineStr">
        <is>
          <t>Conector del cable serial RS-232C</t>
        </is>
      </c>
      <c r="I126" s="22" t="inlineStr">
        <is>
          <t>Instalar o reasentar la tarjeta SIO y verificar el enlace a 19200 bps</t>
        </is>
      </c>
      <c r="J126" s="20">
        <f>IFERROR(INDEX('APMA-370 (CO)'!$U$9:$U$88,MATCH($B126,'APMA-370 (CO)'!$A$9:$A$88,0)),"")</f>
        <v/>
      </c>
      <c r="K126" s="20">
        <f>IF(OR($J126="No conforme",$J126="Requiere reemplazo"),"SÍ — verificar destino","")</f>
        <v/>
      </c>
    </row>
    <row r="127" ht="24" customHeight="1">
      <c r="A127" s="20" t="inlineStr">
        <is>
          <t>APMA-370 (CO)</t>
        </is>
      </c>
      <c r="B127" s="26" t="inlineStr">
        <is>
          <t>8.1.1</t>
        </is>
      </c>
      <c r="C127" s="22" t="inlineStr">
        <is>
          <t>Horas acumuladas del filtro de partículas PA-10L</t>
        </is>
      </c>
      <c r="D127" s="25" t="inlineStr">
        <is>
          <t>Cobrable</t>
        </is>
      </c>
      <c r="E127" s="22" t="inlineStr">
        <is>
          <t>Horómetro por encima del intervalo de dos semanas</t>
        </is>
      </c>
      <c r="F127" s="20" t="n">
        <v>1</v>
      </c>
      <c r="G127" s="26" t="inlineStr">
        <is>
          <t>4.2.1</t>
        </is>
      </c>
      <c r="H127" s="22" t="inlineStr">
        <is>
          <t>Colmatación del filtro de partículas PA-10L</t>
        </is>
      </c>
      <c r="I127" s="22" t="inlineStr">
        <is>
          <t>Reemplazar el elemento y reiniciar el contador</t>
        </is>
      </c>
      <c r="J127" s="20">
        <f>IFERROR(INDEX('APMA-370 (CO)'!$U$9:$U$88,MATCH($B127,'APMA-370 (CO)'!$A$9:$A$88,0)),"")</f>
        <v/>
      </c>
      <c r="K127" s="20">
        <f>IF(OR($J127="No conforme",$J127="Requiere reemplazo"),"SÍ — verificar destino","")</f>
        <v/>
      </c>
    </row>
    <row r="128" ht="24" customHeight="1">
      <c r="A128" s="20" t="inlineStr">
        <is>
          <t>APMA-370 (CO)</t>
        </is>
      </c>
      <c r="B128" s="26" t="inlineStr">
        <is>
          <t>8.1.2</t>
        </is>
      </c>
      <c r="C128" s="22" t="inlineStr">
        <is>
          <t>Horas acumuladas de diafragmas de la bomba (P-1-D)</t>
        </is>
      </c>
      <c r="D128" s="25" t="inlineStr">
        <is>
          <t>Cobrable</t>
        </is>
      </c>
      <c r="E128" s="22" t="inlineStr">
        <is>
          <t>Horómetro por encima del intervalo anual</t>
        </is>
      </c>
      <c r="F128" s="20" t="n">
        <v>1</v>
      </c>
      <c r="G128" s="26" t="inlineStr">
        <is>
          <t>5.2.2</t>
        </is>
      </c>
      <c r="H128" s="22" t="inlineStr">
        <is>
          <t>Desgaste de diafragmas de la bomba (P-1-D)</t>
        </is>
      </c>
      <c r="I128" s="22" t="inlineStr">
        <is>
          <t>Reemplazar los diafragmas y reiniciar el contador</t>
        </is>
      </c>
      <c r="J128" s="20">
        <f>IFERROR(INDEX('APMA-370 (CO)'!$U$9:$U$88,MATCH($B128,'APMA-370 (CO)'!$A$9:$A$88,0)),"")</f>
        <v/>
      </c>
      <c r="K128" s="20">
        <f>IF(OR($J128="No conforme",$J128="Requiere reemplazo"),"SÍ — verificar destino","")</f>
        <v/>
      </c>
    </row>
    <row r="129" ht="24" customHeight="1">
      <c r="A129" s="20" t="inlineStr">
        <is>
          <t>APMA-370 (CO)</t>
        </is>
      </c>
      <c r="B129" s="26" t="inlineStr">
        <is>
          <t>8.1.3</t>
        </is>
      </c>
      <c r="C129" s="22" t="inlineStr">
        <is>
          <t>Horas acumuladas del catalizador de CO (CAT-1)</t>
        </is>
      </c>
      <c r="D129" s="25" t="inlineStr">
        <is>
          <t>Cobrable</t>
        </is>
      </c>
      <c r="E129" s="22" t="inlineStr">
        <is>
          <t>Horómetro por encima del intervalo de dos años</t>
        </is>
      </c>
      <c r="F129" s="20" t="n">
        <v>1</v>
      </c>
      <c r="G129" s="26" t="inlineStr">
        <is>
          <t>6.4.1</t>
        </is>
      </c>
      <c r="H129" s="22" t="inlineStr">
        <is>
          <t>Eficiencia del relleno catalítico de CO (CAT-1)</t>
        </is>
      </c>
      <c r="I129" s="22" t="inlineStr">
        <is>
          <t>Reemplazar el relleno y reiniciar el contador</t>
        </is>
      </c>
      <c r="J129" s="20">
        <f>IFERROR(INDEX('APMA-370 (CO)'!$U$9:$U$88,MATCH($B129,'APMA-370 (CO)'!$A$9:$A$88,0)),"")</f>
        <v/>
      </c>
      <c r="K129" s="20">
        <f>IF(OR($J129="No conforme",$J129="Requiere reemplazo"),"SÍ — verificar destino","")</f>
        <v/>
      </c>
    </row>
    <row r="130" ht="24" customHeight="1">
      <c r="A130" s="20" t="inlineStr">
        <is>
          <t>APMA-370 (CO)</t>
        </is>
      </c>
      <c r="B130" s="26" t="inlineStr">
        <is>
          <t>8.1.4</t>
        </is>
      </c>
      <c r="C130" s="22" t="inlineStr">
        <is>
          <t>Horas acumuladas de la trampa Mist Catcher (MC-1)</t>
        </is>
      </c>
      <c r="D130" s="25" t="inlineStr">
        <is>
          <t>Cobrable</t>
        </is>
      </c>
      <c r="E130" s="22" t="inlineStr">
        <is>
          <t>Horómetro por encima del intervalo anual</t>
        </is>
      </c>
      <c r="F130" s="20" t="n">
        <v>1</v>
      </c>
      <c r="G130" s="26" t="inlineStr">
        <is>
          <t>4.3.1</t>
        </is>
      </c>
      <c r="H130" s="22" t="inlineStr">
        <is>
          <t>Trampa de humedad (Mist Catcher BAA)</t>
        </is>
      </c>
      <c r="I130" s="22" t="inlineStr">
        <is>
          <t>Reemplazar la trampa y reiniciar el contador</t>
        </is>
      </c>
      <c r="J130" s="20">
        <f>IFERROR(INDEX('APMA-370 (CO)'!$U$9:$U$88,MATCH($B130,'APMA-370 (CO)'!$A$9:$A$88,0)),"")</f>
        <v/>
      </c>
      <c r="K130" s="20">
        <f>IF(OR($J130="No conforme",$J130="Requiere reemplazo"),"SÍ — verificar destino","")</f>
        <v/>
      </c>
    </row>
    <row r="131" ht="36" customHeight="1">
      <c r="A131" s="20" t="inlineStr">
        <is>
          <t>APMA-370 (CO)</t>
        </is>
      </c>
      <c r="B131" s="26" t="inlineStr">
        <is>
          <t>8.1.5</t>
        </is>
      </c>
      <c r="C131" s="22" t="inlineStr">
        <is>
          <t>Horas acumuladas de la bomba completa (P-1-B)</t>
        </is>
      </c>
      <c r="D131" s="25" t="inlineStr">
        <is>
          <t>Cobrable</t>
        </is>
      </c>
      <c r="E131" s="22" t="inlineStr">
        <is>
          <t>Horómetro por encima del intervalo de dos años</t>
        </is>
      </c>
      <c r="F131" s="20" t="n">
        <v>1</v>
      </c>
      <c r="G131" s="26" t="inlineStr">
        <is>
          <t>5.2.1</t>
        </is>
      </c>
      <c r="H131" s="22" t="inlineStr">
        <is>
          <t>Vibración y ruido mecánico de la bomba (P-1-B)</t>
        </is>
      </c>
      <c r="I131" s="22" t="inlineStr">
        <is>
          <t>Programar el reemplazo de la unidad de bomba y reiniciar el contador</t>
        </is>
      </c>
      <c r="J131" s="20">
        <f>IFERROR(INDEX('APMA-370 (CO)'!$U$9:$U$88,MATCH($B131,'APMA-370 (CO)'!$A$9:$A$88,0)),"")</f>
        <v/>
      </c>
      <c r="K131" s="20">
        <f>IF(OR($J131="No conforme",$J131="Requiere reemplazo"),"SÍ — verificar destino","")</f>
        <v/>
      </c>
    </row>
    <row r="132" ht="36" customHeight="1">
      <c r="A132" s="20" t="inlineStr">
        <is>
          <t>APMA-370 (CO)</t>
        </is>
      </c>
      <c r="B132" s="26" t="inlineStr">
        <is>
          <t>8.2.1</t>
        </is>
      </c>
      <c r="C132" s="22" t="inlineStr">
        <is>
          <t>Obstrucción de esponjas disipadoras (Filter Sponge)</t>
        </is>
      </c>
      <c r="D132" s="25" t="inlineStr">
        <is>
          <t>Cobrable</t>
        </is>
      </c>
      <c r="E132" s="22" t="inlineStr">
        <is>
          <t>Polvo del shelter acumulado: reduce el aire de enfriamiento</t>
        </is>
      </c>
      <c r="F132" s="20" t="n">
        <v>1</v>
      </c>
      <c r="G132" s="26" t="inlineStr">
        <is>
          <t>10.2.1</t>
        </is>
      </c>
      <c r="H132" s="22" t="inlineStr">
        <is>
          <t>Extractor de calor (Cooling Fan) posterior</t>
        </is>
      </c>
      <c r="I132" s="22" t="inlineStr">
        <is>
          <t>Lavar o reemplazar las esponjas y revisar el nivel de polvo de la cabina</t>
        </is>
      </c>
      <c r="J132" s="20">
        <f>IFERROR(INDEX('APMA-370 (CO)'!$U$9:$U$88,MATCH($B132,'APMA-370 (CO)'!$A$9:$A$88,0)),"")</f>
        <v/>
      </c>
      <c r="K132" s="20">
        <f>IF(OR($J132="No conforme",$J132="Requiere reemplazo"),"SÍ — verificar destino","")</f>
        <v/>
      </c>
    </row>
    <row r="133" ht="36" customHeight="1">
      <c r="A133" s="20" t="inlineStr">
        <is>
          <t>APMA-370 (CO)</t>
        </is>
      </c>
      <c r="B133" s="26" t="inlineStr">
        <is>
          <t>8.2.1</t>
        </is>
      </c>
      <c r="C133" s="22" t="inlineStr">
        <is>
          <t>Obstrucción de esponjas disipadoras (Filter Sponge)</t>
        </is>
      </c>
      <c r="D133" s="25" t="inlineStr">
        <is>
          <t>Cobrable</t>
        </is>
      </c>
      <c r="E133" s="22" t="inlineStr">
        <is>
          <t>Polvo del shelter acumulado: reduce el aire de enfriamiento</t>
        </is>
      </c>
      <c r="F133" s="20" t="n">
        <v>2</v>
      </c>
      <c r="G133" s="26" t="inlineStr">
        <is>
          <t>9.1.1</t>
        </is>
      </c>
      <c r="H133" s="22" t="inlineStr">
        <is>
          <t>Temperatura de la celda de medida (CELL)</t>
        </is>
      </c>
      <c r="I133" s="22" t="inlineStr">
        <is>
          <t>Lavar o reemplazar las esponjas y revisar el nivel de polvo de la cabina</t>
        </is>
      </c>
      <c r="J133" s="20">
        <f>IFERROR(INDEX('APMA-370 (CO)'!$U$9:$U$88,MATCH($B133,'APMA-370 (CO)'!$A$9:$A$88,0)),"")</f>
        <v/>
      </c>
      <c r="K133" s="20">
        <f>IF(OR($J133="No conforme",$J133="Requiere reemplazo"),"SÍ — verificar destino","")</f>
        <v/>
      </c>
    </row>
    <row r="134" ht="36" customHeight="1">
      <c r="A134" s="20" t="inlineStr">
        <is>
          <t>APMA-370 (CO)</t>
        </is>
      </c>
      <c r="B134" s="26" t="inlineStr">
        <is>
          <t>9.1.1</t>
        </is>
      </c>
      <c r="C134" s="22" t="inlineStr">
        <is>
          <t>Temperatura de la celda de medida (CELL)</t>
        </is>
      </c>
      <c r="D134" s="24" t="inlineStr">
        <is>
          <t>Bloqueante</t>
        </is>
      </c>
      <c r="E134" s="22" t="inlineStr">
        <is>
          <t>Temperatura de sala fuera de rango, termistor dañado, o lazo de calentamiento inoperante</t>
        </is>
      </c>
      <c r="F134" s="20" t="n">
        <v>1</v>
      </c>
      <c r="G134" s="26" t="inlineStr">
        <is>
          <t>10.4.1</t>
        </is>
      </c>
      <c r="H134" s="22" t="inlineStr">
        <is>
          <t>Temperatura ambiental de operación de la sala</t>
        </is>
      </c>
      <c r="I134" s="22" t="inlineStr">
        <is>
          <t>Descartar primero la sala; una lectura absurda (muy alta o negativa) apunta al termistor</t>
        </is>
      </c>
      <c r="J134" s="20">
        <f>IFERROR(INDEX('APMA-370 (CO)'!$U$9:$U$88,MATCH($B134,'APMA-370 (CO)'!$A$9:$A$88,0)),"")</f>
        <v/>
      </c>
      <c r="K134" s="20">
        <f>IF(OR($J134="No conforme",$J134="Requiere reemplazo"),"SÍ — verificar destino","")</f>
        <v/>
      </c>
    </row>
    <row r="135" ht="36" customHeight="1">
      <c r="A135" s="20" t="inlineStr">
        <is>
          <t>APMA-370 (CO)</t>
        </is>
      </c>
      <c r="B135" s="26" t="inlineStr">
        <is>
          <t>9.1.1</t>
        </is>
      </c>
      <c r="C135" s="22" t="inlineStr">
        <is>
          <t>Temperatura de la celda de medida (CELL)</t>
        </is>
      </c>
      <c r="D135" s="24" t="inlineStr">
        <is>
          <t>Bloqueante</t>
        </is>
      </c>
      <c r="E135" s="22" t="inlineStr">
        <is>
          <t>Temperatura de sala fuera de rango, termistor dañado, o lazo de calentamiento inoperante</t>
        </is>
      </c>
      <c r="F135" s="20" t="n">
        <v>2</v>
      </c>
      <c r="G135" s="26" t="inlineStr">
        <is>
          <t>7.1.3</t>
        </is>
      </c>
      <c r="H135" s="22" t="inlineStr">
        <is>
          <t>Indicadores LED de la tarjeta ADC (+24V, +5V)</t>
        </is>
      </c>
      <c r="I135" s="22" t="inlineStr">
        <is>
          <t>Descartar primero la sala; una lectura absurda (muy alta o negativa) apunta al termistor</t>
        </is>
      </c>
      <c r="J135" s="20">
        <f>IFERROR(INDEX('APMA-370 (CO)'!$U$9:$U$88,MATCH($B135,'APMA-370 (CO)'!$A$9:$A$88,0)),"")</f>
        <v/>
      </c>
      <c r="K135" s="20">
        <f>IF(OR($J135="No conforme",$J135="Requiere reemplazo"),"SÍ — verificar destino","")</f>
        <v/>
      </c>
    </row>
    <row r="136" ht="36" customHeight="1">
      <c r="A136" s="20" t="inlineStr">
        <is>
          <t>APMA-370 (CO)</t>
        </is>
      </c>
      <c r="B136" s="26" t="inlineStr">
        <is>
          <t>9.1.1</t>
        </is>
      </c>
      <c r="C136" s="22" t="inlineStr">
        <is>
          <t>Temperatura de la celda de medida (CELL)</t>
        </is>
      </c>
      <c r="D136" s="24" t="inlineStr">
        <is>
          <t>Bloqueante</t>
        </is>
      </c>
      <c r="E136" s="22" t="inlineStr">
        <is>
          <t>Temperatura de sala fuera de rango, termistor dañado, o lazo de calentamiento inoperante</t>
        </is>
      </c>
      <c r="F136" s="20" t="n">
        <v>3</v>
      </c>
      <c r="G136" s="26" t="inlineStr">
        <is>
          <t>8.2.1</t>
        </is>
      </c>
      <c r="H136" s="22" t="inlineStr">
        <is>
          <t>Obstrucción de esponjas disipadoras (Filter Sponge)</t>
        </is>
      </c>
      <c r="I136" s="22" t="inlineStr">
        <is>
          <t>Descartar primero la sala; una lectura absurda (muy alta o negativa) apunta al termistor</t>
        </is>
      </c>
      <c r="J136" s="20">
        <f>IFERROR(INDEX('APMA-370 (CO)'!$U$9:$U$88,MATCH($B136,'APMA-370 (CO)'!$A$9:$A$88,0)),"")</f>
        <v/>
      </c>
      <c r="K136" s="20">
        <f>IF(OR($J136="No conforme",$J136="Requiere reemplazo"),"SÍ — verificar destino","")</f>
        <v/>
      </c>
    </row>
    <row r="137" ht="48" customHeight="1">
      <c r="A137" s="20" t="inlineStr">
        <is>
          <t>APMA-370 (CO)</t>
        </is>
      </c>
      <c r="B137" s="26" t="inlineStr">
        <is>
          <t>9.1.2</t>
        </is>
      </c>
      <c r="C137" s="22" t="inlineStr">
        <is>
          <t>Sensor de temperatura del catalizador de CO (CAT)</t>
        </is>
      </c>
      <c r="D137" s="24" t="inlineStr">
        <is>
          <t>Bloqueante</t>
        </is>
      </c>
      <c r="E137" s="22" t="inlineStr">
        <is>
          <t>Calentamiento incompleto, resistencia abierta o termocupla dañada</t>
        </is>
      </c>
      <c r="F137" s="20" t="n">
        <v>1</v>
      </c>
      <c r="G137" s="26" t="inlineStr">
        <is>
          <t>1.3.1</t>
        </is>
      </c>
      <c r="H137" s="22" t="inlineStr">
        <is>
          <t>Tiempo de calentamiento inicial (warm-up)</t>
        </is>
      </c>
      <c r="I137" s="22" t="inlineStr">
        <is>
          <t>Esperar 1 h de calentamiento; si la alarma persiste, medir continuidad de resistencia y termocupla</t>
        </is>
      </c>
      <c r="J137" s="20">
        <f>IFERROR(INDEX('APMA-370 (CO)'!$U$9:$U$88,MATCH($B137,'APMA-370 (CO)'!$A$9:$A$88,0)),"")</f>
        <v/>
      </c>
      <c r="K137" s="20">
        <f>IF(OR($J137="No conforme",$J137="Requiere reemplazo"),"SÍ — verificar destino","")</f>
        <v/>
      </c>
    </row>
    <row r="138" ht="48" customHeight="1">
      <c r="A138" s="20" t="inlineStr">
        <is>
          <t>APMA-370 (CO)</t>
        </is>
      </c>
      <c r="B138" s="26" t="inlineStr">
        <is>
          <t>9.1.2</t>
        </is>
      </c>
      <c r="C138" s="22" t="inlineStr">
        <is>
          <t>Sensor de temperatura del catalizador de CO (CAT)</t>
        </is>
      </c>
      <c r="D138" s="24" t="inlineStr">
        <is>
          <t>Bloqueante</t>
        </is>
      </c>
      <c r="E138" s="22" t="inlineStr">
        <is>
          <t>Calentamiento incompleto, resistencia abierta o termocupla dañada</t>
        </is>
      </c>
      <c r="F138" s="20" t="n">
        <v>2</v>
      </c>
      <c r="G138" s="26" t="inlineStr">
        <is>
          <t>6.4.1</t>
        </is>
      </c>
      <c r="H138" s="22" t="inlineStr">
        <is>
          <t>Eficiencia del relleno catalítico de CO (CAT-1)</t>
        </is>
      </c>
      <c r="I138" s="22" t="inlineStr">
        <is>
          <t>Esperar 1 h de calentamiento; si la alarma persiste, medir continuidad de resistencia y termocupla</t>
        </is>
      </c>
      <c r="J138" s="20">
        <f>IFERROR(INDEX('APMA-370 (CO)'!$U$9:$U$88,MATCH($B138,'APMA-370 (CO)'!$A$9:$A$88,0)),"")</f>
        <v/>
      </c>
      <c r="K138" s="20">
        <f>IF(OR($J138="No conforme",$J138="Requiere reemplazo"),"SÍ — verificar destino","")</f>
        <v/>
      </c>
    </row>
    <row r="139" ht="48" customHeight="1">
      <c r="A139" s="20" t="inlineStr">
        <is>
          <t>APMA-370 (CO)</t>
        </is>
      </c>
      <c r="B139" s="26" t="inlineStr">
        <is>
          <t>9.1.2</t>
        </is>
      </c>
      <c r="C139" s="22" t="inlineStr">
        <is>
          <t>Sensor de temperatura del catalizador de CO (CAT)</t>
        </is>
      </c>
      <c r="D139" s="24" t="inlineStr">
        <is>
          <t>Bloqueante</t>
        </is>
      </c>
      <c r="E139" s="22" t="inlineStr">
        <is>
          <t>Calentamiento incompleto, resistencia abierta o termocupla dañada</t>
        </is>
      </c>
      <c r="F139" s="20" t="n">
        <v>3</v>
      </c>
      <c r="G139" s="26" t="inlineStr">
        <is>
          <t>7.1.4</t>
        </is>
      </c>
      <c r="H139" s="22" t="inlineStr">
        <is>
          <t>Estado físico de la tarjeta de relés (AP-RPL-02A)</t>
        </is>
      </c>
      <c r="I139" s="22" t="inlineStr">
        <is>
          <t>Esperar 1 h de calentamiento; si la alarma persiste, medir continuidad de resistencia y termocupla</t>
        </is>
      </c>
      <c r="J139" s="20">
        <f>IFERROR(INDEX('APMA-370 (CO)'!$U$9:$U$88,MATCH($B139,'APMA-370 (CO)'!$A$9:$A$88,0)),"")</f>
        <v/>
      </c>
      <c r="K139" s="20">
        <f>IF(OR($J139="No conforme",$J139="Requiere reemplazo"),"SÍ — verificar destino","")</f>
        <v/>
      </c>
    </row>
    <row r="140" ht="48" customHeight="1">
      <c r="A140" s="20" t="inlineStr">
        <is>
          <t>APMA-370 (CO)</t>
        </is>
      </c>
      <c r="B140" s="26" t="inlineStr">
        <is>
          <t>9.2.1</t>
        </is>
      </c>
      <c r="C140" s="22" t="inlineStr">
        <is>
          <t>Presión barométrica ambiental (AMBIENT)</t>
        </is>
      </c>
      <c r="D140" s="24" t="inlineStr">
        <is>
          <t>Bloqueante</t>
        </is>
      </c>
      <c r="E140" s="22" t="inlineStr">
        <is>
          <t>Sensor descalibrado por la altitud del sitio, o transductor dañado</t>
        </is>
      </c>
      <c r="F140" s="20" t="n">
        <v>1</v>
      </c>
      <c r="G140" s="26" t="inlineStr">
        <is>
          <t>9.2.2</t>
        </is>
      </c>
      <c r="H140" s="22" t="inlineStr">
        <is>
          <t>Desviación de los sensores de presión</t>
        </is>
      </c>
      <c r="I140" s="22" t="inlineStr">
        <is>
          <t>Compensar el intercepto con PRESS ADJUSTMENT; si no responde, reemplazar la tarjeta que integra el sensor</t>
        </is>
      </c>
      <c r="J140" s="20">
        <f>IFERROR(INDEX('APMA-370 (CO)'!$U$9:$U$88,MATCH($B140,'APMA-370 (CO)'!$A$9:$A$88,0)),"")</f>
        <v/>
      </c>
      <c r="K140" s="20">
        <f>IF(OR($J140="No conforme",$J140="Requiere reemplazo"),"SÍ — verificar destino","")</f>
        <v/>
      </c>
    </row>
    <row r="141" ht="36" customHeight="1">
      <c r="A141" s="20" t="inlineStr">
        <is>
          <t>APMA-370 (CO)</t>
        </is>
      </c>
      <c r="B141" s="26" t="inlineStr">
        <is>
          <t>9.2.2</t>
        </is>
      </c>
      <c r="C141" s="22" t="inlineStr">
        <is>
          <t>Desviación de los sensores de presión</t>
        </is>
      </c>
      <c r="D141" s="24" t="inlineStr">
        <is>
          <t>Bloqueante</t>
        </is>
      </c>
      <c r="E141" s="22" t="inlineStr">
        <is>
          <t>Corrimiento de offset del transductor respecto al barómetro patrón</t>
        </is>
      </c>
      <c r="F141" s="20" t="n">
        <v>1</v>
      </c>
      <c r="G141" s="26" t="inlineStr">
        <is>
          <t>9.2.1</t>
        </is>
      </c>
      <c r="H141" s="22" t="inlineStr">
        <is>
          <t>Presión barométrica ambiental (AMBIENT)</t>
        </is>
      </c>
      <c r="I141" s="22" t="inlineStr">
        <is>
          <t>Ajustar el offset por software y volver a comparar contra el patrón</t>
        </is>
      </c>
      <c r="J141" s="20">
        <f>IFERROR(INDEX('APMA-370 (CO)'!$U$9:$U$88,MATCH($B141,'APMA-370 (CO)'!$A$9:$A$88,0)),"")</f>
        <v/>
      </c>
      <c r="K141" s="20">
        <f>IF(OR($J141="No conforme",$J141="Requiere reemplazo"),"SÍ — verificar destino","")</f>
        <v/>
      </c>
    </row>
    <row r="142" ht="36" customHeight="1">
      <c r="A142" s="20" t="inlineStr">
        <is>
          <t>APMA-370 (CO)</t>
        </is>
      </c>
      <c r="B142" s="26" t="inlineStr">
        <is>
          <t>9.2.2</t>
        </is>
      </c>
      <c r="C142" s="22" t="inlineStr">
        <is>
          <t>Desviación de los sensores de presión</t>
        </is>
      </c>
      <c r="D142" s="24" t="inlineStr">
        <is>
          <t>Bloqueante</t>
        </is>
      </c>
      <c r="E142" s="22" t="inlineStr">
        <is>
          <t>Corrimiento de offset del transductor respecto al barómetro patrón</t>
        </is>
      </c>
      <c r="F142" s="20" t="n">
        <v>2</v>
      </c>
      <c r="G142" s="26" t="inlineStr">
        <is>
          <t>5.1.2</t>
        </is>
      </c>
      <c r="H142" s="22" t="inlineStr">
        <is>
          <t>Presión de succión de la bomba (PUMP)</t>
        </is>
      </c>
      <c r="I142" s="22" t="inlineStr">
        <is>
          <t>Ajustar el offset por software y volver a comparar contra el patrón</t>
        </is>
      </c>
      <c r="J142" s="20">
        <f>IFERROR(INDEX('APMA-370 (CO)'!$U$9:$U$88,MATCH($B142,'APMA-370 (CO)'!$A$9:$A$88,0)),"")</f>
        <v/>
      </c>
      <c r="K142" s="20">
        <f>IF(OR($J142="No conforme",$J142="Requiere reemplazo"),"SÍ — verificar destino","")</f>
        <v/>
      </c>
    </row>
    <row r="143" ht="36" customHeight="1">
      <c r="A143" s="20" t="inlineStr">
        <is>
          <t>APMA-370 (CO)</t>
        </is>
      </c>
      <c r="B143" s="26" t="inlineStr">
        <is>
          <t>9.3.1</t>
        </is>
      </c>
      <c r="C143" s="22" t="inlineStr">
        <is>
          <t>Tensión interna del riel DC 24 V</t>
        </is>
      </c>
      <c r="D143" s="24" t="inlineStr">
        <is>
          <t>Bloqueante</t>
        </is>
      </c>
      <c r="E143" s="22" t="inlineStr">
        <is>
          <t>Fuente degradada o carga excesiva sobre el riel</t>
        </is>
      </c>
      <c r="F143" s="20" t="n">
        <v>1</v>
      </c>
      <c r="G143" s="26" t="inlineStr">
        <is>
          <t>7.4.1</t>
        </is>
      </c>
      <c r="H143" s="22" t="inlineStr">
        <is>
          <t>Tensiones secundarias de la fuente de poder principal</t>
        </is>
      </c>
      <c r="I143" s="22" t="inlineStr">
        <is>
          <t>Medir en el punto de prueba de la tarjeta; si la fuente no regula, reemplazarla</t>
        </is>
      </c>
      <c r="J143" s="20">
        <f>IFERROR(INDEX('APMA-370 (CO)'!$U$9:$U$88,MATCH($B143,'APMA-370 (CO)'!$A$9:$A$88,0)),"")</f>
        <v/>
      </c>
      <c r="K143" s="20">
        <f>IF(OR($J143="No conforme",$J143="Requiere reemplazo"),"SÍ — verificar destino","")</f>
        <v/>
      </c>
    </row>
    <row r="144" ht="36" customHeight="1">
      <c r="A144" s="20" t="inlineStr">
        <is>
          <t>APMA-370 (CO)</t>
        </is>
      </c>
      <c r="B144" s="26" t="inlineStr">
        <is>
          <t>9.3.1</t>
        </is>
      </c>
      <c r="C144" s="22" t="inlineStr">
        <is>
          <t>Tensión interna del riel DC 24 V</t>
        </is>
      </c>
      <c r="D144" s="24" t="inlineStr">
        <is>
          <t>Bloqueante</t>
        </is>
      </c>
      <c r="E144" s="22" t="inlineStr">
        <is>
          <t>Fuente degradada o carga excesiva sobre el riel</t>
        </is>
      </c>
      <c r="F144" s="20" t="n">
        <v>2</v>
      </c>
      <c r="G144" s="26" t="inlineStr">
        <is>
          <t>10.5.1</t>
        </is>
      </c>
      <c r="H144" s="22" t="inlineStr">
        <is>
          <t>Variación de tensión nominal AC</t>
        </is>
      </c>
      <c r="I144" s="22" t="inlineStr">
        <is>
          <t>Medir en el punto de prueba de la tarjeta; si la fuente no regula, reemplazarla</t>
        </is>
      </c>
      <c r="J144" s="20">
        <f>IFERROR(INDEX('APMA-370 (CO)'!$U$9:$U$88,MATCH($B144,'APMA-370 (CO)'!$A$9:$A$88,0)),"")</f>
        <v/>
      </c>
      <c r="K144" s="20">
        <f>IF(OR($J144="No conforme",$J144="Requiere reemplazo"),"SÍ — verificar destino","")</f>
        <v/>
      </c>
    </row>
    <row r="145" ht="36" customHeight="1">
      <c r="A145" s="20" t="inlineStr">
        <is>
          <t>APMA-370 (CO)</t>
        </is>
      </c>
      <c r="B145" s="26" t="inlineStr">
        <is>
          <t>9.3.2</t>
        </is>
      </c>
      <c r="C145" s="22" t="inlineStr">
        <is>
          <t>Tensión interna del riel DC 5 V</t>
        </is>
      </c>
      <c r="D145" s="24" t="inlineStr">
        <is>
          <t>Bloqueante</t>
        </is>
      </c>
      <c r="E145" s="22" t="inlineStr">
        <is>
          <t>Regulador de la fuente fuera de tolerancia</t>
        </is>
      </c>
      <c r="F145" s="20" t="n">
        <v>1</v>
      </c>
      <c r="G145" s="26" t="inlineStr">
        <is>
          <t>7.4.1</t>
        </is>
      </c>
      <c r="H145" s="22" t="inlineStr">
        <is>
          <t>Tensiones secundarias de la fuente de poder principal</t>
        </is>
      </c>
      <c r="I145" s="22" t="inlineStr">
        <is>
          <t>Medir en el punto de prueba; si está fuera de ±0,5 V, reemplazar la fuente</t>
        </is>
      </c>
      <c r="J145" s="20">
        <f>IFERROR(INDEX('APMA-370 (CO)'!$U$9:$U$88,MATCH($B145,'APMA-370 (CO)'!$A$9:$A$88,0)),"")</f>
        <v/>
      </c>
      <c r="K145" s="20">
        <f>IF(OR($J145="No conforme",$J145="Requiere reemplazo"),"SÍ — verificar destino","")</f>
        <v/>
      </c>
    </row>
    <row r="146" ht="36" customHeight="1">
      <c r="A146" s="20" t="inlineStr">
        <is>
          <t>APMA-370 (CO)</t>
        </is>
      </c>
      <c r="B146" s="26" t="inlineStr">
        <is>
          <t>9.3.2</t>
        </is>
      </c>
      <c r="C146" s="22" t="inlineStr">
        <is>
          <t>Tensión interna del riel DC 5 V</t>
        </is>
      </c>
      <c r="D146" s="24" t="inlineStr">
        <is>
          <t>Bloqueante</t>
        </is>
      </c>
      <c r="E146" s="22" t="inlineStr">
        <is>
          <t>Regulador de la fuente fuera de tolerancia</t>
        </is>
      </c>
      <c r="F146" s="20" t="n">
        <v>2</v>
      </c>
      <c r="G146" s="26" t="inlineStr">
        <is>
          <t>10.5.1</t>
        </is>
      </c>
      <c r="H146" s="22" t="inlineStr">
        <is>
          <t>Variación de tensión nominal AC</t>
        </is>
      </c>
      <c r="I146" s="22" t="inlineStr">
        <is>
          <t>Medir en el punto de prueba; si está fuera de ±0,5 V, reemplazar la fuente</t>
        </is>
      </c>
      <c r="J146" s="20">
        <f>IFERROR(INDEX('APMA-370 (CO)'!$U$9:$U$88,MATCH($B146,'APMA-370 (CO)'!$A$9:$A$88,0)),"")</f>
        <v/>
      </c>
      <c r="K146" s="20">
        <f>IF(OR($J146="No conforme",$J146="Requiere reemplazo"),"SÍ — verificar destino","")</f>
        <v/>
      </c>
    </row>
    <row r="147" ht="24" customHeight="1">
      <c r="A147" s="20" t="inlineStr">
        <is>
          <t>APMA-370 (CO)</t>
        </is>
      </c>
      <c r="B147" s="26" t="inlineStr">
        <is>
          <t>10.1.1</t>
        </is>
      </c>
      <c r="C147" s="22" t="inlineStr">
        <is>
          <t>Ajuste y fijación de la puerta frontal</t>
        </is>
      </c>
      <c r="D147" s="25" t="inlineStr">
        <is>
          <t>Cobrable</t>
        </is>
      </c>
      <c r="E147" s="22" t="inlineStr">
        <is>
          <t>Bisagra descolgada o casquillo desgastado</t>
        </is>
      </c>
      <c r="F147" s="20" t="n">
        <v>1</v>
      </c>
      <c r="G147" s="26" t="inlineStr">
        <is>
          <t>10.1.2</t>
        </is>
      </c>
      <c r="H147" s="22" t="inlineStr">
        <is>
          <t>Casquillos de bisagra de la puerta frontal</t>
        </is>
      </c>
      <c r="I147" s="22" t="inlineStr">
        <is>
          <t>Reponer casquillos y eje, y realinear la puerta</t>
        </is>
      </c>
      <c r="J147" s="20">
        <f>IFERROR(INDEX('APMA-370 (CO)'!$U$9:$U$88,MATCH($B147,'APMA-370 (CO)'!$A$9:$A$88,0)),"")</f>
        <v/>
      </c>
      <c r="K147" s="20">
        <f>IF(OR($J147="No conforme",$J147="Requiere reemplazo"),"SÍ — verificar destino","")</f>
        <v/>
      </c>
    </row>
    <row r="148" ht="24" customHeight="1">
      <c r="A148" s="20" t="inlineStr">
        <is>
          <t>APMA-370 (CO)</t>
        </is>
      </c>
      <c r="B148" s="26" t="inlineStr">
        <is>
          <t>10.1.1</t>
        </is>
      </c>
      <c r="C148" s="22" t="inlineStr">
        <is>
          <t>Ajuste y fijación de la puerta frontal</t>
        </is>
      </c>
      <c r="D148" s="25" t="inlineStr">
        <is>
          <t>Cobrable</t>
        </is>
      </c>
      <c r="E148" s="22" t="inlineStr">
        <is>
          <t>Bisagra descolgada o casquillo desgastado</t>
        </is>
      </c>
      <c r="F148" s="20" t="n">
        <v>2</v>
      </c>
      <c r="G148" s="26" t="inlineStr">
        <is>
          <t>10.1.3</t>
        </is>
      </c>
      <c r="H148" s="22" t="inlineStr">
        <is>
          <t>Eje de bisagra de la puerta frontal</t>
        </is>
      </c>
      <c r="I148" s="22" t="inlineStr">
        <is>
          <t>Reponer casquillos y eje, y realinear la puerta</t>
        </is>
      </c>
      <c r="J148" s="20">
        <f>IFERROR(INDEX('APMA-370 (CO)'!$U$9:$U$88,MATCH($B148,'APMA-370 (CO)'!$A$9:$A$88,0)),"")</f>
        <v/>
      </c>
      <c r="K148" s="20">
        <f>IF(OR($J148="No conforme",$J148="Requiere reemplazo"),"SÍ — verificar destino","")</f>
        <v/>
      </c>
    </row>
    <row r="149" ht="24" customHeight="1">
      <c r="A149" s="20" t="inlineStr">
        <is>
          <t>APMA-370 (CO)</t>
        </is>
      </c>
      <c r="B149" s="26" t="inlineStr">
        <is>
          <t>10.1.2</t>
        </is>
      </c>
      <c r="C149" s="22" t="inlineStr">
        <is>
          <t>Casquillos de bisagra de la puerta frontal</t>
        </is>
      </c>
      <c r="D149" s="25" t="inlineStr">
        <is>
          <t>Cobrable</t>
        </is>
      </c>
      <c r="E149" s="22" t="inlineStr">
        <is>
          <t>Casquillo de nylon desgastado o ausente</t>
        </is>
      </c>
      <c r="F149" s="20" t="n">
        <v>1</v>
      </c>
      <c r="G149" s="26" t="inlineStr">
        <is>
          <t>10.1.1</t>
        </is>
      </c>
      <c r="H149" s="22" t="inlineStr">
        <is>
          <t>Ajuste y fijación de la puerta frontal</t>
        </is>
      </c>
      <c r="I149" s="22" t="inlineStr">
        <is>
          <t>Reemplazar los casquillos de bisagra</t>
        </is>
      </c>
      <c r="J149" s="20">
        <f>IFERROR(INDEX('APMA-370 (CO)'!$U$9:$U$88,MATCH($B149,'APMA-370 (CO)'!$A$9:$A$88,0)),"")</f>
        <v/>
      </c>
      <c r="K149" s="20">
        <f>IF(OR($J149="No conforme",$J149="Requiere reemplazo"),"SÍ — verificar destino","")</f>
        <v/>
      </c>
    </row>
    <row r="150" ht="24" customHeight="1">
      <c r="A150" s="20" t="inlineStr">
        <is>
          <t>APMA-370 (CO)</t>
        </is>
      </c>
      <c r="B150" s="26" t="inlineStr">
        <is>
          <t>10.1.3</t>
        </is>
      </c>
      <c r="C150" s="22" t="inlineStr">
        <is>
          <t>Eje de bisagra de la puerta frontal</t>
        </is>
      </c>
      <c r="D150" s="25" t="inlineStr">
        <is>
          <t>Cobrable</t>
        </is>
      </c>
      <c r="E150" s="22" t="inlineStr">
        <is>
          <t>Pasador desplazado o ausente</t>
        </is>
      </c>
      <c r="F150" s="20" t="n">
        <v>1</v>
      </c>
      <c r="G150" s="26" t="inlineStr">
        <is>
          <t>10.1.1</t>
        </is>
      </c>
      <c r="H150" s="22" t="inlineStr">
        <is>
          <t>Ajuste y fijación de la puerta frontal</t>
        </is>
      </c>
      <c r="I150" s="22" t="inlineStr">
        <is>
          <t>Reponer el pasador a tope</t>
        </is>
      </c>
      <c r="J150" s="20">
        <f>IFERROR(INDEX('APMA-370 (CO)'!$U$9:$U$88,MATCH($B150,'APMA-370 (CO)'!$A$9:$A$88,0)),"")</f>
        <v/>
      </c>
      <c r="K150" s="20">
        <f>IF(OR($J150="No conforme",$J150="Requiere reemplazo"),"SÍ — verificar destino","")</f>
        <v/>
      </c>
    </row>
    <row r="151" ht="36" customHeight="1">
      <c r="A151" s="20" t="inlineStr">
        <is>
          <t>APMA-370 (CO)</t>
        </is>
      </c>
      <c r="B151" s="26" t="inlineStr">
        <is>
          <t>10.2.1</t>
        </is>
      </c>
      <c r="C151" s="22" t="inlineStr">
        <is>
          <t>Extractor de calor (Cooling Fan) posterior</t>
        </is>
      </c>
      <c r="D151" s="24" t="inlineStr">
        <is>
          <t>Bloqueante</t>
        </is>
      </c>
      <c r="E151" s="22" t="inlineStr">
        <is>
          <t>Rodamiento desgastado o ventilador obstruido por polvo</t>
        </is>
      </c>
      <c r="F151" s="20" t="n">
        <v>1</v>
      </c>
      <c r="G151" s="26" t="inlineStr">
        <is>
          <t>8.2.1</t>
        </is>
      </c>
      <c r="H151" s="22" t="inlineStr">
        <is>
          <t>Obstrucción de esponjas disipadoras (Filter Sponge)</t>
        </is>
      </c>
      <c r="I151" s="22" t="inlineStr">
        <is>
          <t>Reemplazar el ventilador; el equipo no se libera con la refrigeración comprometida</t>
        </is>
      </c>
      <c r="J151" s="20">
        <f>IFERROR(INDEX('APMA-370 (CO)'!$U$9:$U$88,MATCH($B151,'APMA-370 (CO)'!$A$9:$A$88,0)),"")</f>
        <v/>
      </c>
      <c r="K151" s="20">
        <f>IF(OR($J151="No conforme",$J151="Requiere reemplazo"),"SÍ — verificar destino","")</f>
        <v/>
      </c>
    </row>
    <row r="152" ht="36" customHeight="1">
      <c r="A152" s="20" t="inlineStr">
        <is>
          <t>APMA-370 (CO)</t>
        </is>
      </c>
      <c r="B152" s="26" t="inlineStr">
        <is>
          <t>10.2.1</t>
        </is>
      </c>
      <c r="C152" s="22" t="inlineStr">
        <is>
          <t>Extractor de calor (Cooling Fan) posterior</t>
        </is>
      </c>
      <c r="D152" s="24" t="inlineStr">
        <is>
          <t>Bloqueante</t>
        </is>
      </c>
      <c r="E152" s="22" t="inlineStr">
        <is>
          <t>Rodamiento desgastado o ventilador obstruido por polvo</t>
        </is>
      </c>
      <c r="F152" s="20" t="n">
        <v>2</v>
      </c>
      <c r="G152" s="26" t="inlineStr">
        <is>
          <t>9.1.1</t>
        </is>
      </c>
      <c r="H152" s="22" t="inlineStr">
        <is>
          <t>Temperatura de la celda de medida (CELL)</t>
        </is>
      </c>
      <c r="I152" s="22" t="inlineStr">
        <is>
          <t>Reemplazar el ventilador; el equipo no se libera con la refrigeración comprometida</t>
        </is>
      </c>
      <c r="J152" s="20">
        <f>IFERROR(INDEX('APMA-370 (CO)'!$U$9:$U$88,MATCH($B152,'APMA-370 (CO)'!$A$9:$A$88,0)),"")</f>
        <v/>
      </c>
      <c r="K152" s="20">
        <f>IF(OR($J152="No conforme",$J152="Requiere reemplazo"),"SÍ — verificar destino","")</f>
        <v/>
      </c>
    </row>
    <row r="153" ht="36" customHeight="1">
      <c r="A153" s="20" t="inlineStr">
        <is>
          <t>APMA-370 (CO)</t>
        </is>
      </c>
      <c r="B153" s="26" t="inlineStr">
        <is>
          <t>10.3.2</t>
        </is>
      </c>
      <c r="C153" s="22" t="inlineStr">
        <is>
          <t>Holgura con el fondo del rack</t>
        </is>
      </c>
      <c r="D153" s="23" t="inlineStr">
        <is>
          <t>Alerta</t>
        </is>
      </c>
      <c r="E153" s="22" t="inlineStr">
        <is>
          <t>Espacio insuficiente: mangueras dobladas y ventilación restringida</t>
        </is>
      </c>
      <c r="F153" s="20" t="n">
        <v>1</v>
      </c>
      <c r="G153" s="26" t="inlineStr">
        <is>
          <t>4.3.2</t>
        </is>
      </c>
      <c r="H153" s="22" t="inlineStr">
        <is>
          <t>Líneas de teflón internas</t>
        </is>
      </c>
      <c r="I153" s="22" t="inlineStr">
        <is>
          <t>Reubicar el equipo para dejar al menos 150 mm libres detrás</t>
        </is>
      </c>
      <c r="J153" s="20">
        <f>IFERROR(INDEX('APMA-370 (CO)'!$U$9:$U$88,MATCH($B153,'APMA-370 (CO)'!$A$9:$A$88,0)),"")</f>
        <v/>
      </c>
      <c r="K153" s="20">
        <f>IF(OR($J153="No conforme",$J153="Requiere reemplazo"),"SÍ — verificar destino","")</f>
        <v/>
      </c>
    </row>
    <row r="154" ht="36" customHeight="1">
      <c r="A154" s="20" t="inlineStr">
        <is>
          <t>APMA-370 (CO)</t>
        </is>
      </c>
      <c r="B154" s="26" t="inlineStr">
        <is>
          <t>10.3.2</t>
        </is>
      </c>
      <c r="C154" s="22" t="inlineStr">
        <is>
          <t>Holgura con el fondo del rack</t>
        </is>
      </c>
      <c r="D154" s="23" t="inlineStr">
        <is>
          <t>Alerta</t>
        </is>
      </c>
      <c r="E154" s="22" t="inlineStr">
        <is>
          <t>Espacio insuficiente: mangueras dobladas y ventilación restringida</t>
        </is>
      </c>
      <c r="F154" s="20" t="n">
        <v>2</v>
      </c>
      <c r="G154" s="26" t="inlineStr">
        <is>
          <t>10.2.1</t>
        </is>
      </c>
      <c r="H154" s="22" t="inlineStr">
        <is>
          <t>Extractor de calor (Cooling Fan) posterior</t>
        </is>
      </c>
      <c r="I154" s="22" t="inlineStr">
        <is>
          <t>Reubicar el equipo para dejar al menos 150 mm libres detrás</t>
        </is>
      </c>
      <c r="J154" s="20">
        <f>IFERROR(INDEX('APMA-370 (CO)'!$U$9:$U$88,MATCH($B154,'APMA-370 (CO)'!$A$9:$A$88,0)),"")</f>
        <v/>
      </c>
      <c r="K154" s="20">
        <f>IF(OR($J154="No conforme",$J154="Requiere reemplazo"),"SÍ — verificar destino","")</f>
        <v/>
      </c>
    </row>
    <row r="155" ht="36" customHeight="1">
      <c r="A155" s="20" t="inlineStr">
        <is>
          <t>APMA-370 (CO)</t>
        </is>
      </c>
      <c r="B155" s="26" t="inlineStr">
        <is>
          <t>10.4.1</t>
        </is>
      </c>
      <c r="C155" s="22" t="inlineStr">
        <is>
          <t>Temperatura ambiental de operación de la sala</t>
        </is>
      </c>
      <c r="D155" s="23" t="inlineStr">
        <is>
          <t>Alerta</t>
        </is>
      </c>
      <c r="E155" s="22" t="inlineStr">
        <is>
          <t>Aire acondicionado insuficiente o en falla</t>
        </is>
      </c>
      <c r="F155" s="20" t="n">
        <v>1</v>
      </c>
      <c r="G155" s="26" t="inlineStr">
        <is>
          <t>9.1.1</t>
        </is>
      </c>
      <c r="H155" s="22" t="inlineStr">
        <is>
          <t>Temperatura de la celda de medida (CELL)</t>
        </is>
      </c>
      <c r="I155" s="22" t="inlineStr">
        <is>
          <t>Corregir la climatización del shelter; la deriva no se juzga hasta estabilizar la sala</t>
        </is>
      </c>
      <c r="J155" s="20">
        <f>IFERROR(INDEX('APMA-370 (CO)'!$U$9:$U$88,MATCH($B155,'APMA-370 (CO)'!$A$9:$A$88,0)),"")</f>
        <v/>
      </c>
      <c r="K155" s="20">
        <f>IF(OR($J155="No conforme",$J155="Requiere reemplazo"),"SÍ — verificar destino","")</f>
        <v/>
      </c>
    </row>
    <row r="156" ht="36" customHeight="1">
      <c r="A156" s="20" t="inlineStr">
        <is>
          <t>APMA-370 (CO)</t>
        </is>
      </c>
      <c r="B156" s="26" t="inlineStr">
        <is>
          <t>10.4.1</t>
        </is>
      </c>
      <c r="C156" s="22" t="inlineStr">
        <is>
          <t>Temperatura ambiental de operación de la sala</t>
        </is>
      </c>
      <c r="D156" s="23" t="inlineStr">
        <is>
          <t>Alerta</t>
        </is>
      </c>
      <c r="E156" s="22" t="inlineStr">
        <is>
          <t>Aire acondicionado insuficiente o en falla</t>
        </is>
      </c>
      <c r="F156" s="20" t="n">
        <v>2</v>
      </c>
      <c r="G156" s="26" t="inlineStr">
        <is>
          <t>10.4.2</t>
        </is>
      </c>
      <c r="H156" s="22" t="inlineStr">
        <is>
          <t>Humedad relativa con temperatura menor a 31 °C</t>
        </is>
      </c>
      <c r="I156" s="22" t="inlineStr">
        <is>
          <t>Corregir la climatización del shelter; la deriva no se juzga hasta estabilizar la sala</t>
        </is>
      </c>
      <c r="J156" s="20">
        <f>IFERROR(INDEX('APMA-370 (CO)'!$U$9:$U$88,MATCH($B156,'APMA-370 (CO)'!$A$9:$A$88,0)),"")</f>
        <v/>
      </c>
      <c r="K156" s="20">
        <f>IF(OR($J156="No conforme",$J156="Requiere reemplazo"),"SÍ — verificar destino","")</f>
        <v/>
      </c>
    </row>
    <row r="157" ht="36" customHeight="1">
      <c r="A157" s="20" t="inlineStr">
        <is>
          <t>APMA-370 (CO)</t>
        </is>
      </c>
      <c r="B157" s="26" t="inlineStr">
        <is>
          <t>10.4.2</t>
        </is>
      </c>
      <c r="C157" s="22" t="inlineStr">
        <is>
          <t>Humedad relativa con temperatura menor a 31 °C</t>
        </is>
      </c>
      <c r="D157" s="23" t="inlineStr">
        <is>
          <t>Alerta</t>
        </is>
      </c>
      <c r="E157" s="22" t="inlineStr">
        <is>
          <t>Humedad alta: riesgo de condensación óptica y de sulfatación del panel</t>
        </is>
      </c>
      <c r="F157" s="20" t="n">
        <v>1</v>
      </c>
      <c r="G157" s="26" t="inlineStr">
        <is>
          <t>4.3.1</t>
        </is>
      </c>
      <c r="H157" s="22" t="inlineStr">
        <is>
          <t>Trampa de humedad (Mist Catcher BAA)</t>
        </is>
      </c>
      <c r="I157" s="22" t="inlineStr">
        <is>
          <t>Deshumidificar la cabina y revisar la línea de muestreo</t>
        </is>
      </c>
      <c r="J157" s="20">
        <f>IFERROR(INDEX('APMA-370 (CO)'!$U$9:$U$88,MATCH($B157,'APMA-370 (CO)'!$A$9:$A$88,0)),"")</f>
        <v/>
      </c>
      <c r="K157" s="20">
        <f>IF(OR($J157="No conforme",$J157="Requiere reemplazo"),"SÍ — verificar destino","")</f>
        <v/>
      </c>
    </row>
    <row r="158" ht="36" customHeight="1">
      <c r="A158" s="20" t="inlineStr">
        <is>
          <t>APMA-370 (CO)</t>
        </is>
      </c>
      <c r="B158" s="26" t="inlineStr">
        <is>
          <t>10.4.2</t>
        </is>
      </c>
      <c r="C158" s="22" t="inlineStr">
        <is>
          <t>Humedad relativa con temperatura menor a 31 °C</t>
        </is>
      </c>
      <c r="D158" s="23" t="inlineStr">
        <is>
          <t>Alerta</t>
        </is>
      </c>
      <c r="E158" s="22" t="inlineStr">
        <is>
          <t>Humedad alta: riesgo de condensación óptica y de sulfatación del panel</t>
        </is>
      </c>
      <c r="F158" s="20" t="n">
        <v>2</v>
      </c>
      <c r="G158" s="26" t="inlineStr">
        <is>
          <t>7.3.2</t>
        </is>
      </c>
      <c r="H158" s="22" t="inlineStr">
        <is>
          <t>Respuesta táctil de la pantalla (Touch Panel)</t>
        </is>
      </c>
      <c r="I158" s="22" t="inlineStr">
        <is>
          <t>Deshumidificar la cabina y revisar la línea de muestreo</t>
        </is>
      </c>
      <c r="J158" s="20">
        <f>IFERROR(INDEX('APMA-370 (CO)'!$U$9:$U$88,MATCH($B158,'APMA-370 (CO)'!$A$9:$A$88,0)),"")</f>
        <v/>
      </c>
      <c r="K158" s="20">
        <f>IF(OR($J158="No conforme",$J158="Requiere reemplazo"),"SÍ — verificar destino","")</f>
        <v/>
      </c>
    </row>
    <row r="159" ht="36" customHeight="1">
      <c r="A159" s="20" t="inlineStr">
        <is>
          <t>APMA-370 (CO)</t>
        </is>
      </c>
      <c r="B159" s="26" t="inlineStr">
        <is>
          <t>10.4.3</t>
        </is>
      </c>
      <c r="C159" s="22" t="inlineStr">
        <is>
          <t>Humedad relativa con temperatura entre 31 y 40 °C</t>
        </is>
      </c>
      <c r="D159" s="23" t="inlineStr">
        <is>
          <t>Alerta</t>
        </is>
      </c>
      <c r="E159" s="22" t="inlineStr">
        <is>
          <t>Humedad por encima del límite interpolado para esa temperatura</t>
        </is>
      </c>
      <c r="F159" s="20" t="n">
        <v>1</v>
      </c>
      <c r="G159" s="26" t="inlineStr">
        <is>
          <t>10.4.1</t>
        </is>
      </c>
      <c r="H159" s="22" t="inlineStr">
        <is>
          <t>Temperatura ambiental de operación de la sala</t>
        </is>
      </c>
      <c r="I159" s="22" t="inlineStr">
        <is>
          <t>Bajar temperatura o humedad hasta entrar en la curva admisible</t>
        </is>
      </c>
      <c r="J159" s="20">
        <f>IFERROR(INDEX('APMA-370 (CO)'!$U$9:$U$88,MATCH($B159,'APMA-370 (CO)'!$A$9:$A$88,0)),"")</f>
        <v/>
      </c>
      <c r="K159" s="20">
        <f>IF(OR($J159="No conforme",$J159="Requiere reemplazo"),"SÍ — verificar destino","")</f>
        <v/>
      </c>
    </row>
    <row r="160" ht="36" customHeight="1">
      <c r="A160" s="20" t="inlineStr">
        <is>
          <t>APMA-370 (CO)</t>
        </is>
      </c>
      <c r="B160" s="26" t="inlineStr">
        <is>
          <t>10.4.3</t>
        </is>
      </c>
      <c r="C160" s="22" t="inlineStr">
        <is>
          <t>Humedad relativa con temperatura entre 31 y 40 °C</t>
        </is>
      </c>
      <c r="D160" s="23" t="inlineStr">
        <is>
          <t>Alerta</t>
        </is>
      </c>
      <c r="E160" s="22" t="inlineStr">
        <is>
          <t>Humedad por encima del límite interpolado para esa temperatura</t>
        </is>
      </c>
      <c r="F160" s="20" t="n">
        <v>2</v>
      </c>
      <c r="G160" s="26" t="inlineStr">
        <is>
          <t>10.4.2</t>
        </is>
      </c>
      <c r="H160" s="22" t="inlineStr">
        <is>
          <t>Humedad relativa con temperatura menor a 31 °C</t>
        </is>
      </c>
      <c r="I160" s="22" t="inlineStr">
        <is>
          <t>Bajar temperatura o humedad hasta entrar en la curva admisible</t>
        </is>
      </c>
      <c r="J160" s="20">
        <f>IFERROR(INDEX('APMA-370 (CO)'!$U$9:$U$88,MATCH($B160,'APMA-370 (CO)'!$A$9:$A$88,0)),"")</f>
        <v/>
      </c>
      <c r="K160" s="20">
        <f>IF(OR($J160="No conforme",$J160="Requiere reemplazo"),"SÍ — verificar destino","")</f>
        <v/>
      </c>
    </row>
    <row r="161" ht="36" customHeight="1">
      <c r="A161" s="20" t="inlineStr">
        <is>
          <t>APMA-370 (CO)</t>
        </is>
      </c>
      <c r="B161" s="26" t="inlineStr">
        <is>
          <t>10.5.1</t>
        </is>
      </c>
      <c r="C161" s="22" t="inlineStr">
        <is>
          <t>Variación de tensión nominal AC</t>
        </is>
      </c>
      <c r="D161" s="24" t="inlineStr">
        <is>
          <t>Bloqueante</t>
        </is>
      </c>
      <c r="E161" s="22" t="inlineStr">
        <is>
          <t>Red inestable, o planta y UPS conmutando fuera de rango</t>
        </is>
      </c>
      <c r="F161" s="20" t="n">
        <v>1</v>
      </c>
      <c r="G161" s="26" t="inlineStr">
        <is>
          <t>7.4.1</t>
        </is>
      </c>
      <c r="H161" s="22" t="inlineStr">
        <is>
          <t>Tensiones secundarias de la fuente de poder principal</t>
        </is>
      </c>
      <c r="I161" s="22" t="inlineStr">
        <is>
          <t>Estabilizar la alimentación antes de juzgar cualquier lectura eléctrica del equipo</t>
        </is>
      </c>
      <c r="J161" s="20">
        <f>IFERROR(INDEX('APMA-370 (CO)'!$U$9:$U$88,MATCH($B161,'APMA-370 (CO)'!$A$9:$A$88,0)),"")</f>
        <v/>
      </c>
      <c r="K161" s="20">
        <f>IF(OR($J161="No conforme",$J161="Requiere reemplazo"),"SÍ — verificar destino","")</f>
        <v/>
      </c>
    </row>
    <row r="162" ht="36" customHeight="1">
      <c r="A162" s="20" t="inlineStr">
        <is>
          <t>APSA-370 (SO2)</t>
        </is>
      </c>
      <c r="B162" s="26" t="inlineStr">
        <is>
          <t>1.1.1</t>
        </is>
      </c>
      <c r="C162" s="22" t="inlineStr">
        <is>
          <t>LED de encendido del panel frontal</t>
        </is>
      </c>
      <c r="D162" s="23" t="inlineStr">
        <is>
          <t>Alerta</t>
        </is>
      </c>
      <c r="E162" s="22" t="inlineStr">
        <is>
          <t>LED en rojo: hay al menos una alarma activa en el equipo</t>
        </is>
      </c>
      <c r="F162" s="20" t="n">
        <v>1</v>
      </c>
      <c r="G162" s="26" t="inlineStr">
        <is>
          <t>1.2.2</t>
        </is>
      </c>
      <c r="H162" s="22" t="inlineStr">
        <is>
          <t>Indicador de alarmas activas en pantalla</t>
        </is>
      </c>
      <c r="I162" s="22" t="inlineStr">
        <is>
          <t>Registrar el color y pasar al listado de alarmas antes de continuar</t>
        </is>
      </c>
      <c r="J162" s="20">
        <f>IFERROR(INDEX('APSA-370 (SO2)'!$U$9:$U$104,MATCH($B162,'APSA-370 (SO2)'!$A$9:$A$104,0)),"")</f>
        <v/>
      </c>
      <c r="K162" s="20">
        <f>IF(OR($J162="No conforme",$J162="Requiere reemplazo"),"SÍ — verificar destino","")</f>
        <v/>
      </c>
    </row>
    <row r="163" ht="48" customHeight="1">
      <c r="A163" s="20" t="inlineStr">
        <is>
          <t>APSA-370 (SO2)</t>
        </is>
      </c>
      <c r="B163" s="26" t="inlineStr">
        <is>
          <t>1.2.1</t>
        </is>
      </c>
      <c r="C163" s="22" t="inlineStr">
        <is>
          <t>Inicialización de parámetros en SRAM</t>
        </is>
      </c>
      <c r="D163" s="24" t="inlineStr">
        <is>
          <t>Bloqueante</t>
        </is>
      </c>
      <c r="E163" s="22" t="inlineStr">
        <is>
          <t>Batería de respaldo agotada o memoria corrompida por picos de tensión</t>
        </is>
      </c>
      <c r="F163" s="20" t="n">
        <v>1</v>
      </c>
      <c r="G163" s="26" t="inlineStr">
        <is>
          <t>7.2.1</t>
        </is>
      </c>
      <c r="H163" s="22" t="inlineStr">
        <is>
          <t>Voltaje de la batería de respaldo de SRAM y reloj</t>
        </is>
      </c>
      <c r="I163" s="22" t="inlineStr">
        <is>
          <t>Reemplazar la batería y reconfigurar; si persiste, inicializar la CPU y recargar la configuración desde CF</t>
        </is>
      </c>
      <c r="J163" s="20">
        <f>IFERROR(INDEX('APSA-370 (SO2)'!$U$9:$U$104,MATCH($B163,'APSA-370 (SO2)'!$A$9:$A$104,0)),"")</f>
        <v/>
      </c>
      <c r="K163" s="20">
        <f>IF(OR($J163="No conforme",$J163="Requiere reemplazo"),"SÍ — verificar destino","")</f>
        <v/>
      </c>
    </row>
    <row r="164" ht="48" customHeight="1">
      <c r="A164" s="20" t="inlineStr">
        <is>
          <t>APSA-370 (SO2)</t>
        </is>
      </c>
      <c r="B164" s="26" t="inlineStr">
        <is>
          <t>1.2.1</t>
        </is>
      </c>
      <c r="C164" s="22" t="inlineStr">
        <is>
          <t>Inicialización de parámetros en SRAM</t>
        </is>
      </c>
      <c r="D164" s="24" t="inlineStr">
        <is>
          <t>Bloqueante</t>
        </is>
      </c>
      <c r="E164" s="22" t="inlineStr">
        <is>
          <t>Batería de respaldo agotada o memoria corrompida por picos de tensión</t>
        </is>
      </c>
      <c r="F164" s="20" t="n">
        <v>2</v>
      </c>
      <c r="G164" s="26" t="inlineStr">
        <is>
          <t>7.1.9</t>
        </is>
      </c>
      <c r="H164" s="22" t="inlineStr">
        <is>
          <t>LED de operación de la CPU (heartbeat)</t>
        </is>
      </c>
      <c r="I164" s="22" t="inlineStr">
        <is>
          <t>Reemplazar la batería y reconfigurar; si persiste, inicializar la CPU y recargar la configuración desde CF</t>
        </is>
      </c>
      <c r="J164" s="20">
        <f>IFERROR(INDEX('APSA-370 (SO2)'!$U$9:$U$104,MATCH($B164,'APSA-370 (SO2)'!$A$9:$A$104,0)),"")</f>
        <v/>
      </c>
      <c r="K164" s="20">
        <f>IF(OR($J164="No conforme",$J164="Requiere reemplazo"),"SÍ — verificar destino","")</f>
        <v/>
      </c>
    </row>
    <row r="165" ht="36" customHeight="1">
      <c r="A165" s="20" t="inlineStr">
        <is>
          <t>APSA-370 (SO2)</t>
        </is>
      </c>
      <c r="B165" s="26" t="inlineStr">
        <is>
          <t>1.2.2</t>
        </is>
      </c>
      <c r="C165" s="22" t="inlineStr">
        <is>
          <t>Indicador de alarmas activas en pantalla</t>
        </is>
      </c>
      <c r="D165" s="24" t="inlineStr">
        <is>
          <t>Bloqueante</t>
        </is>
      </c>
      <c r="E165" s="22" t="inlineStr">
        <is>
          <t>Alarma activa de proceso, de calibración o de tarjeta</t>
        </is>
      </c>
      <c r="F165" s="20" t="n">
        <v>1</v>
      </c>
      <c r="G165" s="26" t="inlineStr">
        <is>
          <t>6.1.1</t>
        </is>
      </c>
      <c r="H165" s="22" t="inlineStr">
        <is>
          <t>Voltaje de intensidad de la lámpara de xenón (LAMP)</t>
        </is>
      </c>
      <c r="I165" s="22" t="inlineStr">
        <is>
          <t>Anotar el código en MENU/ALARM y entrar por la rama que corresponda</t>
        </is>
      </c>
      <c r="J165" s="20">
        <f>IFERROR(INDEX('APSA-370 (SO2)'!$U$9:$U$104,MATCH($B165,'APSA-370 (SO2)'!$A$9:$A$104,0)),"")</f>
        <v/>
      </c>
      <c r="K165" s="20">
        <f>IF(OR($J165="No conforme",$J165="Requiere reemplazo"),"SÍ — verificar destino","")</f>
        <v/>
      </c>
    </row>
    <row r="166" ht="36" customHeight="1">
      <c r="A166" s="20" t="inlineStr">
        <is>
          <t>APSA-370 (SO2)</t>
        </is>
      </c>
      <c r="B166" s="26" t="inlineStr">
        <is>
          <t>1.2.2</t>
        </is>
      </c>
      <c r="C166" s="22" t="inlineStr">
        <is>
          <t>Indicador de alarmas activas en pantalla</t>
        </is>
      </c>
      <c r="D166" s="24" t="inlineStr">
        <is>
          <t>Bloqueante</t>
        </is>
      </c>
      <c r="E166" s="22" t="inlineStr">
        <is>
          <t>Alarma activa de proceso, de calibración o de tarjeta</t>
        </is>
      </c>
      <c r="F166" s="20" t="n">
        <v>2</v>
      </c>
      <c r="G166" s="26" t="inlineStr">
        <is>
          <t>5.1.1</t>
        </is>
      </c>
      <c r="H166" s="22" t="inlineStr">
        <is>
          <t>Caudal de gas de muestra (SAMPLE)</t>
        </is>
      </c>
      <c r="I166" s="22" t="inlineStr">
        <is>
          <t>Anotar el código en MENU/ALARM y entrar por la rama que corresponda</t>
        </is>
      </c>
      <c r="J166" s="20">
        <f>IFERROR(INDEX('APSA-370 (SO2)'!$U$9:$U$104,MATCH($B166,'APSA-370 (SO2)'!$A$9:$A$104,0)),"")</f>
        <v/>
      </c>
      <c r="K166" s="20">
        <f>IF(OR($J166="No conforme",$J166="Requiere reemplazo"),"SÍ — verificar destino","")</f>
        <v/>
      </c>
    </row>
    <row r="167" ht="36" customHeight="1">
      <c r="A167" s="20" t="inlineStr">
        <is>
          <t>APSA-370 (SO2)</t>
        </is>
      </c>
      <c r="B167" s="26" t="inlineStr">
        <is>
          <t>1.2.2</t>
        </is>
      </c>
      <c r="C167" s="22" t="inlineStr">
        <is>
          <t>Indicador de alarmas activas en pantalla</t>
        </is>
      </c>
      <c r="D167" s="24" t="inlineStr">
        <is>
          <t>Bloqueante</t>
        </is>
      </c>
      <c r="E167" s="22" t="inlineStr">
        <is>
          <t>Alarma activa de proceso, de calibración o de tarjeta</t>
        </is>
      </c>
      <c r="F167" s="20" t="n">
        <v>3</v>
      </c>
      <c r="G167" s="26" t="inlineStr">
        <is>
          <t>5.1.2</t>
        </is>
      </c>
      <c r="H167" s="22" t="inlineStr">
        <is>
          <t>Presión de succión de la bomba (PUMP)</t>
        </is>
      </c>
      <c r="I167" s="22" t="inlineStr">
        <is>
          <t>Anotar el código en MENU/ALARM y entrar por la rama que corresponda</t>
        </is>
      </c>
      <c r="J167" s="20">
        <f>IFERROR(INDEX('APSA-370 (SO2)'!$U$9:$U$104,MATCH($B167,'APSA-370 (SO2)'!$A$9:$A$104,0)),"")</f>
        <v/>
      </c>
      <c r="K167" s="20">
        <f>IF(OR($J167="No conforme",$J167="Requiere reemplazo"),"SÍ — verificar destino","")</f>
        <v/>
      </c>
    </row>
    <row r="168" ht="36" customHeight="1">
      <c r="A168" s="20" t="inlineStr">
        <is>
          <t>APSA-370 (SO2)</t>
        </is>
      </c>
      <c r="B168" s="26" t="inlineStr">
        <is>
          <t>1.2.2</t>
        </is>
      </c>
      <c r="C168" s="22" t="inlineStr">
        <is>
          <t>Indicador de alarmas activas en pantalla</t>
        </is>
      </c>
      <c r="D168" s="24" t="inlineStr">
        <is>
          <t>Bloqueante</t>
        </is>
      </c>
      <c r="E168" s="22" t="inlineStr">
        <is>
          <t>Alarma activa de proceso, de calibración o de tarjeta</t>
        </is>
      </c>
      <c r="F168" s="20" t="n">
        <v>4</v>
      </c>
      <c r="G168" s="26" t="inlineStr">
        <is>
          <t>9.1.1</t>
        </is>
      </c>
      <c r="H168" s="22" t="inlineStr">
        <is>
          <t>Temperatura de la celda (CELL)</t>
        </is>
      </c>
      <c r="I168" s="22" t="inlineStr">
        <is>
          <t>Anotar el código en MENU/ALARM y entrar por la rama que corresponda</t>
        </is>
      </c>
      <c r="J168" s="20">
        <f>IFERROR(INDEX('APSA-370 (SO2)'!$U$9:$U$104,MATCH($B168,'APSA-370 (SO2)'!$A$9:$A$104,0)),"")</f>
        <v/>
      </c>
      <c r="K168" s="20">
        <f>IF(OR($J168="No conforme",$J168="Requiere reemplazo"),"SÍ — verificar destino","")</f>
        <v/>
      </c>
    </row>
    <row r="169" ht="36" customHeight="1">
      <c r="A169" s="20" t="inlineStr">
        <is>
          <t>APSA-370 (SO2)</t>
        </is>
      </c>
      <c r="B169" s="26" t="inlineStr">
        <is>
          <t>1.2.3</t>
        </is>
      </c>
      <c r="C169" s="22" t="inlineStr">
        <is>
          <t>Identificación del programa en menú</t>
        </is>
      </c>
      <c r="D169" s="23" t="inlineStr">
        <is>
          <t>Alerta</t>
        </is>
      </c>
      <c r="E169" s="22" t="inlineStr">
        <is>
          <t>Programa no homologado, o CPU sustituida sin recargar la configuración de fábrica</t>
        </is>
      </c>
      <c r="F169" s="20" t="n">
        <v>1</v>
      </c>
      <c r="G169" s="26" t="inlineStr">
        <is>
          <t>7.1.9</t>
        </is>
      </c>
      <c r="H169" s="22" t="inlineStr">
        <is>
          <t>LED de operación de la CPU (heartbeat)</t>
        </is>
      </c>
      <c r="I169" s="22" t="inlineStr">
        <is>
          <t>Confirmar el HGS con fábrica y recargar la configuración desde la CF antes de calibrar</t>
        </is>
      </c>
      <c r="J169" s="20">
        <f>IFERROR(INDEX('APSA-370 (SO2)'!$U$9:$U$104,MATCH($B169,'APSA-370 (SO2)'!$A$9:$A$104,0)),"")</f>
        <v/>
      </c>
      <c r="K169" s="20">
        <f>IF(OR($J169="No conforme",$J169="Requiere reemplazo"),"SÍ — verificar destino","")</f>
        <v/>
      </c>
    </row>
    <row r="170" ht="36" customHeight="1">
      <c r="A170" s="20" t="inlineStr">
        <is>
          <t>APSA-370 (SO2)</t>
        </is>
      </c>
      <c r="B170" s="26" t="inlineStr">
        <is>
          <t>1.3.1</t>
        </is>
      </c>
      <c r="C170" s="22" t="inlineStr">
        <is>
          <t>Tiempo de calentamiento y estabilización</t>
        </is>
      </c>
      <c r="D170" s="23" t="inlineStr">
        <is>
          <t>Alerta</t>
        </is>
      </c>
      <c r="E170" s="22" t="inlineStr">
        <is>
          <t>Equipo encendido hace menos de 3 h: lámpara y HC Cutter aún inestables</t>
        </is>
      </c>
      <c r="F170" s="20" t="n">
        <v>1</v>
      </c>
      <c r="G170" s="26" t="inlineStr">
        <is>
          <t>6.1.1</t>
        </is>
      </c>
      <c r="H170" s="22" t="inlineStr">
        <is>
          <t>Voltaje de intensidad de la lámpara de xenón (LAMP)</t>
        </is>
      </c>
      <c r="I170" s="22" t="inlineStr">
        <is>
          <t>Esperar el calentamiento completo (24 h tras un arranque en frío) antes de calibrar</t>
        </is>
      </c>
      <c r="J170" s="20">
        <f>IFERROR(INDEX('APSA-370 (SO2)'!$U$9:$U$104,MATCH($B170,'APSA-370 (SO2)'!$A$9:$A$104,0)),"")</f>
        <v/>
      </c>
      <c r="K170" s="20">
        <f>IF(OR($J170="No conforme",$J170="Requiere reemplazo"),"SÍ — verificar destino","")</f>
        <v/>
      </c>
    </row>
    <row r="171" ht="36" customHeight="1">
      <c r="A171" s="20" t="inlineStr">
        <is>
          <t>APSA-370 (SO2)</t>
        </is>
      </c>
      <c r="B171" s="26" t="inlineStr">
        <is>
          <t>1.3.1</t>
        </is>
      </c>
      <c r="C171" s="22" t="inlineStr">
        <is>
          <t>Tiempo de calentamiento y estabilización</t>
        </is>
      </c>
      <c r="D171" s="23" t="inlineStr">
        <is>
          <t>Alerta</t>
        </is>
      </c>
      <c r="E171" s="22" t="inlineStr">
        <is>
          <t>Equipo encendido hace menos de 3 h: lámpara y HC Cutter aún inestables</t>
        </is>
      </c>
      <c r="F171" s="20" t="n">
        <v>2</v>
      </c>
      <c r="G171" s="26" t="inlineStr">
        <is>
          <t>9.1.1</t>
        </is>
      </c>
      <c r="H171" s="22" t="inlineStr">
        <is>
          <t>Temperatura de la celda (CELL)</t>
        </is>
      </c>
      <c r="I171" s="22" t="inlineStr">
        <is>
          <t>Esperar el calentamiento completo (24 h tras un arranque en frío) antes de calibrar</t>
        </is>
      </c>
      <c r="J171" s="20">
        <f>IFERROR(INDEX('APSA-370 (SO2)'!$U$9:$U$104,MATCH($B171,'APSA-370 (SO2)'!$A$9:$A$104,0)),"")</f>
        <v/>
      </c>
      <c r="K171" s="20">
        <f>IF(OR($J171="No conforme",$J171="Requiere reemplazo"),"SÍ — verificar destino","")</f>
        <v/>
      </c>
    </row>
    <row r="172" ht="36" customHeight="1">
      <c r="A172" s="20" t="inlineStr">
        <is>
          <t>APSA-370 (SO2)</t>
        </is>
      </c>
      <c r="B172" s="26" t="inlineStr">
        <is>
          <t>1.3.1</t>
        </is>
      </c>
      <c r="C172" s="22" t="inlineStr">
        <is>
          <t>Tiempo de calentamiento y estabilización</t>
        </is>
      </c>
      <c r="D172" s="23" t="inlineStr">
        <is>
          <t>Alerta</t>
        </is>
      </c>
      <c r="E172" s="22" t="inlineStr">
        <is>
          <t>Equipo encendido hace menos de 3 h: lámpara y HC Cutter aún inestables</t>
        </is>
      </c>
      <c r="F172" s="20" t="n">
        <v>3</v>
      </c>
      <c r="G172" s="26" t="inlineStr">
        <is>
          <t>6.3.1</t>
        </is>
      </c>
      <c r="H172" s="22" t="inlineStr">
        <is>
          <t>Estado del eliminador de hidrocarburos (HC Cutter)</t>
        </is>
      </c>
      <c r="I172" s="22" t="inlineStr">
        <is>
          <t>Esperar el calentamiento completo (24 h tras un arranque en frío) antes de calibrar</t>
        </is>
      </c>
      <c r="J172" s="20">
        <f>IFERROR(INDEX('APSA-370 (SO2)'!$U$9:$U$104,MATCH($B172,'APSA-370 (SO2)'!$A$9:$A$104,0)),"")</f>
        <v/>
      </c>
      <c r="K172" s="20">
        <f>IF(OR($J172="No conforme",$J172="Requiere reemplazo"),"SÍ — verificar destino","")</f>
        <v/>
      </c>
    </row>
    <row r="173" ht="36" customHeight="1">
      <c r="A173" s="20" t="inlineStr">
        <is>
          <t>APSA-370 (SO2)</t>
        </is>
      </c>
      <c r="B173" s="26" t="inlineStr">
        <is>
          <t>2.1.1</t>
        </is>
      </c>
      <c r="C173" s="22" t="inlineStr">
        <is>
          <t>Número de serie del analizador</t>
        </is>
      </c>
      <c r="D173" s="23" t="inlineStr">
        <is>
          <t>Alerta</t>
        </is>
      </c>
      <c r="E173" s="22" t="inlineStr">
        <is>
          <t>Placa ilegible, o equipo distinto al de la orden de servicio</t>
        </is>
      </c>
      <c r="F173" s="20" t="n">
        <v>1</v>
      </c>
      <c r="G173" s="26" t="inlineStr">
        <is>
          <t>2.1.2</t>
        </is>
      </c>
      <c r="H173" s="22" t="inlineStr">
        <is>
          <t>Número HGS del analizador</t>
        </is>
      </c>
      <c r="I173" s="22" t="inlineStr">
        <is>
          <t>Registrar el serial real, fotografiarlo y corregir la hoja de vida</t>
        </is>
      </c>
      <c r="J173" s="20">
        <f>IFERROR(INDEX('APSA-370 (SO2)'!$U$9:$U$104,MATCH($B173,'APSA-370 (SO2)'!$A$9:$A$104,0)),"")</f>
        <v/>
      </c>
      <c r="K173" s="20">
        <f>IF(OR($J173="No conforme",$J173="Requiere reemplazo"),"SÍ — verificar destino","")</f>
        <v/>
      </c>
    </row>
    <row r="174" ht="36" customHeight="1">
      <c r="A174" s="20" t="inlineStr">
        <is>
          <t>APSA-370 (SO2)</t>
        </is>
      </c>
      <c r="B174" s="26" t="inlineStr">
        <is>
          <t>2.1.2</t>
        </is>
      </c>
      <c r="C174" s="22" t="inlineStr">
        <is>
          <t>Número HGS del analizador</t>
        </is>
      </c>
      <c r="D174" s="23" t="inlineStr">
        <is>
          <t>Alerta</t>
        </is>
      </c>
      <c r="E174" s="22" t="inlineStr">
        <is>
          <t>HGS no documentado: impide pedir repuestos con la configuración correcta</t>
        </is>
      </c>
      <c r="F174" s="20" t="n">
        <v>1</v>
      </c>
      <c r="G174" s="26" t="inlineStr">
        <is>
          <t>2.1.1</t>
        </is>
      </c>
      <c r="H174" s="22" t="inlineStr">
        <is>
          <t>Número de serie del analizador</t>
        </is>
      </c>
      <c r="I174" s="22" t="inlineStr">
        <is>
          <t>Solicitar el HGS a fábrica y registrarlo en la hoja de vida</t>
        </is>
      </c>
      <c r="J174" s="20">
        <f>IFERROR(INDEX('APSA-370 (SO2)'!$U$9:$U$104,MATCH($B174,'APSA-370 (SO2)'!$A$9:$A$104,0)),"")</f>
        <v/>
      </c>
      <c r="K174" s="20">
        <f>IF(OR($J174="No conforme",$J174="Requiere reemplazo"),"SÍ — verificar destino","")</f>
        <v/>
      </c>
    </row>
    <row r="175" ht="48" customHeight="1">
      <c r="A175" s="20" t="inlineStr">
        <is>
          <t>APSA-370 (SO2)</t>
        </is>
      </c>
      <c r="B175" s="26" t="inlineStr">
        <is>
          <t>3.1.1</t>
        </is>
      </c>
      <c r="C175" s="22" t="inlineStr">
        <is>
          <t>Coeficiente de calibración de cero (ZERO ADJUST)</t>
        </is>
      </c>
      <c r="D175" s="24" t="inlineStr">
        <is>
          <t>Bloqueante</t>
        </is>
      </c>
      <c r="E175" s="22" t="inlineStr">
        <is>
          <t>Aire cero contaminado, calentamiento insuficiente, scrubber agotado o fuga neumática</t>
        </is>
      </c>
      <c r="F175" s="20" t="n">
        <v>1</v>
      </c>
      <c r="G175" s="26" t="inlineStr">
        <is>
          <t>1.3.1</t>
        </is>
      </c>
      <c r="H175" s="22" t="inlineStr">
        <is>
          <t>Tiempo de calentamiento y estabilización</t>
        </is>
      </c>
      <c r="I175" s="22" t="inlineStr">
        <is>
          <t>Inyectar aire cero de cilindro certificado para descartar el generador; si persiste, seguir la rama de scrubber y fugas</t>
        </is>
      </c>
      <c r="J175" s="20">
        <f>IFERROR(INDEX('APSA-370 (SO2)'!$U$9:$U$104,MATCH($B175,'APSA-370 (SO2)'!$A$9:$A$104,0)),"")</f>
        <v/>
      </c>
      <c r="K175" s="20">
        <f>IF(OR($J175="No conforme",$J175="Requiere reemplazo"),"SÍ — verificar destino","")</f>
        <v/>
      </c>
    </row>
    <row r="176" ht="48" customHeight="1">
      <c r="A176" s="20" t="inlineStr">
        <is>
          <t>APSA-370 (SO2)</t>
        </is>
      </c>
      <c r="B176" s="26" t="inlineStr">
        <is>
          <t>3.1.1</t>
        </is>
      </c>
      <c r="C176" s="22" t="inlineStr">
        <is>
          <t>Coeficiente de calibración de cero (ZERO ADJUST)</t>
        </is>
      </c>
      <c r="D176" s="24" t="inlineStr">
        <is>
          <t>Bloqueante</t>
        </is>
      </c>
      <c r="E176" s="22" t="inlineStr">
        <is>
          <t>Aire cero contaminado, calentamiento insuficiente, scrubber agotado o fuga neumática</t>
        </is>
      </c>
      <c r="F176" s="20" t="n">
        <v>2</v>
      </c>
      <c r="G176" s="26" t="inlineStr">
        <is>
          <t>6.3.2</t>
        </is>
      </c>
      <c r="H176" s="22" t="inlineStr">
        <is>
          <t>Filtro depurador scrubber de entrada (ESU-050A)</t>
        </is>
      </c>
      <c r="I176" s="22" t="inlineStr">
        <is>
          <t>Inyectar aire cero de cilindro certificado para descartar el generador; si persiste, seguir la rama de scrubber y fugas</t>
        </is>
      </c>
      <c r="J176" s="20">
        <f>IFERROR(INDEX('APSA-370 (SO2)'!$U$9:$U$104,MATCH($B176,'APSA-370 (SO2)'!$A$9:$A$104,0)),"")</f>
        <v/>
      </c>
      <c r="K176" s="20">
        <f>IF(OR($J176="No conforme",$J176="Requiere reemplazo"),"SÍ — verificar destino","")</f>
        <v/>
      </c>
    </row>
    <row r="177" ht="48" customHeight="1">
      <c r="A177" s="20" t="inlineStr">
        <is>
          <t>APSA-370 (SO2)</t>
        </is>
      </c>
      <c r="B177" s="26" t="inlineStr">
        <is>
          <t>3.1.1</t>
        </is>
      </c>
      <c r="C177" s="22" t="inlineStr">
        <is>
          <t>Coeficiente de calibración de cero (ZERO ADJUST)</t>
        </is>
      </c>
      <c r="D177" s="24" t="inlineStr">
        <is>
          <t>Bloqueante</t>
        </is>
      </c>
      <c r="E177" s="22" t="inlineStr">
        <is>
          <t>Aire cero contaminado, calentamiento insuficiente, scrubber agotado o fuga neumática</t>
        </is>
      </c>
      <c r="F177" s="20" t="n">
        <v>3</v>
      </c>
      <c r="G177" s="26" t="inlineStr">
        <is>
          <t>5.1.5</t>
        </is>
      </c>
      <c r="H177" s="22" t="inlineStr">
        <is>
          <t>Sellado de las juntas de conexión de la bomba</t>
        </is>
      </c>
      <c r="I177" s="22" t="inlineStr">
        <is>
          <t>Inyectar aire cero de cilindro certificado para descartar el generador; si persiste, seguir la rama de scrubber y fugas</t>
        </is>
      </c>
      <c r="J177" s="20">
        <f>IFERROR(INDEX('APSA-370 (SO2)'!$U$9:$U$104,MATCH($B177,'APSA-370 (SO2)'!$A$9:$A$104,0)),"")</f>
        <v/>
      </c>
      <c r="K177" s="20">
        <f>IF(OR($J177="No conforme",$J177="Requiere reemplazo"),"SÍ — verificar destino","")</f>
        <v/>
      </c>
    </row>
    <row r="178" ht="48" customHeight="1">
      <c r="A178" s="20" t="inlineStr">
        <is>
          <t>APSA-370 (SO2)</t>
        </is>
      </c>
      <c r="B178" s="26" t="inlineStr">
        <is>
          <t>3.1.1</t>
        </is>
      </c>
      <c r="C178" s="22" t="inlineStr">
        <is>
          <t>Coeficiente de calibración de cero (ZERO ADJUST)</t>
        </is>
      </c>
      <c r="D178" s="24" t="inlineStr">
        <is>
          <t>Bloqueante</t>
        </is>
      </c>
      <c r="E178" s="22" t="inlineStr">
        <is>
          <t>Aire cero contaminado, calentamiento insuficiente, scrubber agotado o fuga neumática</t>
        </is>
      </c>
      <c r="F178" s="20" t="n">
        <v>4</v>
      </c>
      <c r="G178" s="26" t="inlineStr">
        <is>
          <t>4.1.3</t>
        </is>
      </c>
      <c r="H178" s="22" t="inlineStr">
        <is>
          <t>Humedad en el portafiltros</t>
        </is>
      </c>
      <c r="I178" s="22" t="inlineStr">
        <is>
          <t>Inyectar aire cero de cilindro certificado para descartar el generador; si persiste, seguir la rama de scrubber y fugas</t>
        </is>
      </c>
      <c r="J178" s="20">
        <f>IFERROR(INDEX('APSA-370 (SO2)'!$U$9:$U$104,MATCH($B178,'APSA-370 (SO2)'!$A$9:$A$104,0)),"")</f>
        <v/>
      </c>
      <c r="K178" s="20">
        <f>IF(OR($J178="No conforme",$J178="Requiere reemplazo"),"SÍ — verificar destino","")</f>
        <v/>
      </c>
    </row>
    <row r="179" ht="48" customHeight="1">
      <c r="A179" s="20" t="inlineStr">
        <is>
          <t>APSA-370 (SO2)</t>
        </is>
      </c>
      <c r="B179" s="26" t="inlineStr">
        <is>
          <t>3.1.1</t>
        </is>
      </c>
      <c r="C179" s="22" t="inlineStr">
        <is>
          <t>Coeficiente de calibración de cero (ZERO ADJUST)</t>
        </is>
      </c>
      <c r="D179" s="24" t="inlineStr">
        <is>
          <t>Bloqueante</t>
        </is>
      </c>
      <c r="E179" s="22" t="inlineStr">
        <is>
          <t>Aire cero contaminado, calentamiento insuficiente, scrubber agotado o fuga neumática</t>
        </is>
      </c>
      <c r="F179" s="20" t="n">
        <v>5</v>
      </c>
      <c r="G179" s="26" t="inlineStr">
        <is>
          <t>5.3.1</t>
        </is>
      </c>
      <c r="H179" s="22" t="inlineStr">
        <is>
          <t>Operación de la solenoide de cero (SV3)</t>
        </is>
      </c>
      <c r="I179" s="22" t="inlineStr">
        <is>
          <t>Inyectar aire cero de cilindro certificado para descartar el generador; si persiste, seguir la rama de scrubber y fugas</t>
        </is>
      </c>
      <c r="J179" s="20">
        <f>IFERROR(INDEX('APSA-370 (SO2)'!$U$9:$U$104,MATCH($B179,'APSA-370 (SO2)'!$A$9:$A$104,0)),"")</f>
        <v/>
      </c>
      <c r="K179" s="20">
        <f>IF(OR($J179="No conforme",$J179="Requiere reemplazo"),"SÍ — verificar destino","")</f>
        <v/>
      </c>
    </row>
    <row r="180" ht="36" customHeight="1">
      <c r="A180" s="20" t="inlineStr">
        <is>
          <t>APSA-370 (SO2)</t>
        </is>
      </c>
      <c r="B180" s="26" t="inlineStr">
        <is>
          <t>3.1.2</t>
        </is>
      </c>
      <c r="C180" s="22" t="inlineStr">
        <is>
          <t>Coeficiente de calibración de span (SPAN ADJUST)</t>
        </is>
      </c>
      <c r="D180" s="24" t="inlineStr">
        <is>
          <t>Bloqueante</t>
        </is>
      </c>
      <c r="E180" s="22" t="inlineStr">
        <is>
          <t>Concentración del patrón mal configurada, lámpara degradada, o electroválvula con fuga</t>
        </is>
      </c>
      <c r="F180" s="20" t="n">
        <v>1</v>
      </c>
      <c r="G180" s="26" t="inlineStr">
        <is>
          <t>3.1.3</t>
        </is>
      </c>
      <c r="H180" s="22" t="inlineStr">
        <is>
          <t>Concentración de gas de span configurada (SPAN CONC)</t>
        </is>
      </c>
      <c r="I180" s="22" t="inlineStr">
        <is>
          <t>Confirmar SPAN CONC. contra el certificado del cilindro y volver a calibrar</t>
        </is>
      </c>
      <c r="J180" s="20">
        <f>IFERROR(INDEX('APSA-370 (SO2)'!$U$9:$U$104,MATCH($B180,'APSA-370 (SO2)'!$A$9:$A$104,0)),"")</f>
        <v/>
      </c>
      <c r="K180" s="20">
        <f>IF(OR($J180="No conforme",$J180="Requiere reemplazo"),"SÍ — verificar destino","")</f>
        <v/>
      </c>
    </row>
    <row r="181" ht="36" customHeight="1">
      <c r="A181" s="20" t="inlineStr">
        <is>
          <t>APSA-370 (SO2)</t>
        </is>
      </c>
      <c r="B181" s="26" t="inlineStr">
        <is>
          <t>3.1.2</t>
        </is>
      </c>
      <c r="C181" s="22" t="inlineStr">
        <is>
          <t>Coeficiente de calibración de span (SPAN ADJUST)</t>
        </is>
      </c>
      <c r="D181" s="24" t="inlineStr">
        <is>
          <t>Bloqueante</t>
        </is>
      </c>
      <c r="E181" s="22" t="inlineStr">
        <is>
          <t>Concentración del patrón mal configurada, lámpara degradada, o electroválvula con fuga</t>
        </is>
      </c>
      <c r="F181" s="20" t="n">
        <v>2</v>
      </c>
      <c r="G181" s="26" t="inlineStr">
        <is>
          <t>6.1.1</t>
        </is>
      </c>
      <c r="H181" s="22" t="inlineStr">
        <is>
          <t>Voltaje de intensidad de la lámpara de xenón (LAMP)</t>
        </is>
      </c>
      <c r="I181" s="22" t="inlineStr">
        <is>
          <t>Confirmar SPAN CONC. contra el certificado del cilindro y volver a calibrar</t>
        </is>
      </c>
      <c r="J181" s="20">
        <f>IFERROR(INDEX('APSA-370 (SO2)'!$U$9:$U$104,MATCH($B181,'APSA-370 (SO2)'!$A$9:$A$104,0)),"")</f>
        <v/>
      </c>
      <c r="K181" s="20">
        <f>IF(OR($J181="No conforme",$J181="Requiere reemplazo"),"SÍ — verificar destino","")</f>
        <v/>
      </c>
    </row>
    <row r="182" ht="36" customHeight="1">
      <c r="A182" s="20" t="inlineStr">
        <is>
          <t>APSA-370 (SO2)</t>
        </is>
      </c>
      <c r="B182" s="26" t="inlineStr">
        <is>
          <t>3.1.2</t>
        </is>
      </c>
      <c r="C182" s="22" t="inlineStr">
        <is>
          <t>Coeficiente de calibración de span (SPAN ADJUST)</t>
        </is>
      </c>
      <c r="D182" s="24" t="inlineStr">
        <is>
          <t>Bloqueante</t>
        </is>
      </c>
      <c r="E182" s="22" t="inlineStr">
        <is>
          <t>Concentración del patrón mal configurada, lámpara degradada, o electroválvula con fuga</t>
        </is>
      </c>
      <c r="F182" s="20" t="n">
        <v>3</v>
      </c>
      <c r="G182" s="26" t="inlineStr">
        <is>
          <t>5.3.2</t>
        </is>
      </c>
      <c r="H182" s="22" t="inlineStr">
        <is>
          <t>Operación de la solenoide de span (SV7)</t>
        </is>
      </c>
      <c r="I182" s="22" t="inlineStr">
        <is>
          <t>Confirmar SPAN CONC. contra el certificado del cilindro y volver a calibrar</t>
        </is>
      </c>
      <c r="J182" s="20">
        <f>IFERROR(INDEX('APSA-370 (SO2)'!$U$9:$U$104,MATCH($B182,'APSA-370 (SO2)'!$A$9:$A$104,0)),"")</f>
        <v/>
      </c>
      <c r="K182" s="20">
        <f>IF(OR($J182="No conforme",$J182="Requiere reemplazo"),"SÍ — verificar destino","")</f>
        <v/>
      </c>
    </row>
    <row r="183" ht="36" customHeight="1">
      <c r="A183" s="20" t="inlineStr">
        <is>
          <t>APSA-370 (SO2)</t>
        </is>
      </c>
      <c r="B183" s="26" t="inlineStr">
        <is>
          <t>3.1.2</t>
        </is>
      </c>
      <c r="C183" s="22" t="inlineStr">
        <is>
          <t>Coeficiente de calibración de span (SPAN ADJUST)</t>
        </is>
      </c>
      <c r="D183" s="24" t="inlineStr">
        <is>
          <t>Bloqueante</t>
        </is>
      </c>
      <c r="E183" s="22" t="inlineStr">
        <is>
          <t>Concentración del patrón mal configurada, lámpara degradada, o electroválvula con fuga</t>
        </is>
      </c>
      <c r="F183" s="20" t="n">
        <v>4</v>
      </c>
      <c r="G183" s="26" t="inlineStr">
        <is>
          <t>3.2.1</t>
        </is>
      </c>
      <c r="H183" s="22" t="inlineStr">
        <is>
          <t>Presión del gas en el puerto posterior de calibración</t>
        </is>
      </c>
      <c r="I183" s="22" t="inlineStr">
        <is>
          <t>Confirmar SPAN CONC. contra el certificado del cilindro y volver a calibrar</t>
        </is>
      </c>
      <c r="J183" s="20">
        <f>IFERROR(INDEX('APSA-370 (SO2)'!$U$9:$U$104,MATCH($B183,'APSA-370 (SO2)'!$A$9:$A$104,0)),"")</f>
        <v/>
      </c>
      <c r="K183" s="20">
        <f>IF(OR($J183="No conforme",$J183="Requiere reemplazo"),"SÍ — verificar destino","")</f>
        <v/>
      </c>
    </row>
    <row r="184" ht="36" customHeight="1">
      <c r="A184" s="20" t="inlineStr">
        <is>
          <t>APSA-370 (SO2)</t>
        </is>
      </c>
      <c r="B184" s="26" t="inlineStr">
        <is>
          <t>3.1.3</t>
        </is>
      </c>
      <c r="C184" s="22" t="inlineStr">
        <is>
          <t>Concentración de gas de span configurada (SPAN CONC)</t>
        </is>
      </c>
      <c r="D184" s="24" t="inlineStr">
        <is>
          <t>Bloqueante</t>
        </is>
      </c>
      <c r="E184" s="22" t="inlineStr">
        <is>
          <t>Valor no coincide con el certificado del cilindro en uso</t>
        </is>
      </c>
      <c r="F184" s="20" t="n">
        <v>1</v>
      </c>
      <c r="G184" s="26" t="inlineStr">
        <is>
          <t>3.1.2</t>
        </is>
      </c>
      <c r="H184" s="22" t="inlineStr">
        <is>
          <t>Coeficiente de calibración de span (SPAN ADJUST)</t>
        </is>
      </c>
      <c r="I184" s="22" t="inlineStr">
        <is>
          <t>Corregir el valor en el menú y repetir la calibración de span</t>
        </is>
      </c>
      <c r="J184" s="20">
        <f>IFERROR(INDEX('APSA-370 (SO2)'!$U$9:$U$104,MATCH($B184,'APSA-370 (SO2)'!$A$9:$A$104,0)),"")</f>
        <v/>
      </c>
      <c r="K184" s="20">
        <f>IF(OR($J184="No conforme",$J184="Requiere reemplazo"),"SÍ — verificar destino","")</f>
        <v/>
      </c>
    </row>
    <row r="185" ht="36" customHeight="1">
      <c r="A185" s="20" t="inlineStr">
        <is>
          <t>APSA-370 (SO2)</t>
        </is>
      </c>
      <c r="B185" s="26" t="inlineStr">
        <is>
          <t>3.2.1</t>
        </is>
      </c>
      <c r="C185" s="22" t="inlineStr">
        <is>
          <t>Presión del gas en el puerto posterior de calibración</t>
        </is>
      </c>
      <c r="D185" s="24" t="inlineStr">
        <is>
          <t>Bloqueante</t>
        </is>
      </c>
      <c r="E185" s="22" t="inlineStr">
        <is>
          <t>Regulador del cilindro mal ajustado o cilindro despresurizado</t>
        </is>
      </c>
      <c r="F185" s="20" t="n">
        <v>1</v>
      </c>
      <c r="G185" s="26" t="inlineStr">
        <is>
          <t>3.1.2</t>
        </is>
      </c>
      <c r="H185" s="22" t="inlineStr">
        <is>
          <t>Coeficiente de calibración de span (SPAN ADJUST)</t>
        </is>
      </c>
      <c r="I185" s="22" t="inlineStr">
        <is>
          <t>Reajustar el regulador de doble etapa y repetir la calibración</t>
        </is>
      </c>
      <c r="J185" s="20">
        <f>IFERROR(INDEX('APSA-370 (SO2)'!$U$9:$U$104,MATCH($B185,'APSA-370 (SO2)'!$A$9:$A$104,0)),"")</f>
        <v/>
      </c>
      <c r="K185" s="20">
        <f>IF(OR($J185="No conforme",$J185="Requiere reemplazo"),"SÍ — verificar destino","")</f>
        <v/>
      </c>
    </row>
    <row r="186" ht="36" customHeight="1">
      <c r="A186" s="20" t="inlineStr">
        <is>
          <t>APSA-370 (SO2)</t>
        </is>
      </c>
      <c r="B186" s="26" t="inlineStr">
        <is>
          <t>3.4.1</t>
        </is>
      </c>
      <c r="C186" s="22" t="inlineStr">
        <is>
          <t>Deriva diaria de cero en rangos bajos (rango menor o igual a 0,2 ppm)</t>
        </is>
      </c>
      <c r="D186" s="24" t="inlineStr">
        <is>
          <t>Bloqueante</t>
        </is>
      </c>
      <c r="E186" s="22" t="inlineStr">
        <is>
          <t>Scrubber de referencia agotado, microfuga, o inestabilidad térmica de la sala</t>
        </is>
      </c>
      <c r="F186" s="20" t="n">
        <v>1</v>
      </c>
      <c r="G186" s="26" t="inlineStr">
        <is>
          <t>6.3.2</t>
        </is>
      </c>
      <c r="H186" s="22" t="inlineStr">
        <is>
          <t>Filtro depurador scrubber de entrada (ESU-050A)</t>
        </is>
      </c>
      <c r="I186" s="22" t="inlineStr">
        <is>
          <t>Corregir la causa antes de recalibrar; recalibrar sin corregir solo enmascara la deriva</t>
        </is>
      </c>
      <c r="J186" s="20">
        <f>IFERROR(INDEX('APSA-370 (SO2)'!$U$9:$U$104,MATCH($B186,'APSA-370 (SO2)'!$A$9:$A$104,0)),"")</f>
        <v/>
      </c>
      <c r="K186" s="20">
        <f>IF(OR($J186="No conforme",$J186="Requiere reemplazo"),"SÍ — verificar destino","")</f>
        <v/>
      </c>
    </row>
    <row r="187" ht="36" customHeight="1">
      <c r="A187" s="20" t="inlineStr">
        <is>
          <t>APSA-370 (SO2)</t>
        </is>
      </c>
      <c r="B187" s="26" t="inlineStr">
        <is>
          <t>3.4.1</t>
        </is>
      </c>
      <c r="C187" s="22" t="inlineStr">
        <is>
          <t>Deriva diaria de cero en rangos bajos (rango menor o igual a 0,2 ppm)</t>
        </is>
      </c>
      <c r="D187" s="24" t="inlineStr">
        <is>
          <t>Bloqueante</t>
        </is>
      </c>
      <c r="E187" s="22" t="inlineStr">
        <is>
          <t>Scrubber de referencia agotado, microfuga, o inestabilidad térmica de la sala</t>
        </is>
      </c>
      <c r="F187" s="20" t="n">
        <v>2</v>
      </c>
      <c r="G187" s="26" t="inlineStr">
        <is>
          <t>5.1.5</t>
        </is>
      </c>
      <c r="H187" s="22" t="inlineStr">
        <is>
          <t>Sellado de las juntas de conexión de la bomba</t>
        </is>
      </c>
      <c r="I187" s="22" t="inlineStr">
        <is>
          <t>Corregir la causa antes de recalibrar; recalibrar sin corregir solo enmascara la deriva</t>
        </is>
      </c>
      <c r="J187" s="20">
        <f>IFERROR(INDEX('APSA-370 (SO2)'!$U$9:$U$104,MATCH($B187,'APSA-370 (SO2)'!$A$9:$A$104,0)),"")</f>
        <v/>
      </c>
      <c r="K187" s="20">
        <f>IF(OR($J187="No conforme",$J187="Requiere reemplazo"),"SÍ — verificar destino","")</f>
        <v/>
      </c>
    </row>
    <row r="188" ht="36" customHeight="1">
      <c r="A188" s="20" t="inlineStr">
        <is>
          <t>APSA-370 (SO2)</t>
        </is>
      </c>
      <c r="B188" s="26" t="inlineStr">
        <is>
          <t>3.4.1</t>
        </is>
      </c>
      <c r="C188" s="22" t="inlineStr">
        <is>
          <t>Deriva diaria de cero en rangos bajos (rango menor o igual a 0,2 ppm)</t>
        </is>
      </c>
      <c r="D188" s="24" t="inlineStr">
        <is>
          <t>Bloqueante</t>
        </is>
      </c>
      <c r="E188" s="22" t="inlineStr">
        <is>
          <t>Scrubber de referencia agotado, microfuga, o inestabilidad térmica de la sala</t>
        </is>
      </c>
      <c r="F188" s="20" t="n">
        <v>3</v>
      </c>
      <c r="G188" s="26" t="inlineStr">
        <is>
          <t>10.1.1</t>
        </is>
      </c>
      <c r="H188" s="22" t="inlineStr">
        <is>
          <t>Temperatura ambiente de la cabina</t>
        </is>
      </c>
      <c r="I188" s="22" t="inlineStr">
        <is>
          <t>Corregir la causa antes de recalibrar; recalibrar sin corregir solo enmascara la deriva</t>
        </is>
      </c>
      <c r="J188" s="20">
        <f>IFERROR(INDEX('APSA-370 (SO2)'!$U$9:$U$104,MATCH($B188,'APSA-370 (SO2)'!$A$9:$A$104,0)),"")</f>
        <v/>
      </c>
      <c r="K188" s="20">
        <f>IF(OR($J188="No conforme",$J188="Requiere reemplazo"),"SÍ — verificar destino","")</f>
        <v/>
      </c>
    </row>
    <row r="189" ht="36" customHeight="1">
      <c r="A189" s="20" t="inlineStr">
        <is>
          <t>APSA-370 (SO2)</t>
        </is>
      </c>
      <c r="B189" s="26" t="inlineStr">
        <is>
          <t>3.4.2</t>
        </is>
      </c>
      <c r="C189" s="22" t="inlineStr">
        <is>
          <t>Deriva semanal de cero en rangos bajos (rango menor o igual a 0,2 ppm)</t>
        </is>
      </c>
      <c r="D189" s="24" t="inlineStr">
        <is>
          <t>Bloqueante</t>
        </is>
      </c>
      <c r="E189" s="22" t="inlineStr">
        <is>
          <t>Degradación progresiva del scrubber o del HC Cutter</t>
        </is>
      </c>
      <c r="F189" s="20" t="n">
        <v>1</v>
      </c>
      <c r="G189" s="26" t="inlineStr">
        <is>
          <t>6.3.2</t>
        </is>
      </c>
      <c r="H189" s="22" t="inlineStr">
        <is>
          <t>Filtro depurador scrubber de entrada (ESU-050A)</t>
        </is>
      </c>
      <c r="I189" s="22" t="inlineStr">
        <is>
          <t>Reemplazar el consumible agotado y repetir el seguimiento semanal</t>
        </is>
      </c>
      <c r="J189" s="20">
        <f>IFERROR(INDEX('APSA-370 (SO2)'!$U$9:$U$104,MATCH($B189,'APSA-370 (SO2)'!$A$9:$A$104,0)),"")</f>
        <v/>
      </c>
      <c r="K189" s="20">
        <f>IF(OR($J189="No conforme",$J189="Requiere reemplazo"),"SÍ — verificar destino","")</f>
        <v/>
      </c>
    </row>
    <row r="190" ht="36" customHeight="1">
      <c r="A190" s="20" t="inlineStr">
        <is>
          <t>APSA-370 (SO2)</t>
        </is>
      </c>
      <c r="B190" s="26" t="inlineStr">
        <is>
          <t>3.4.2</t>
        </is>
      </c>
      <c r="C190" s="22" t="inlineStr">
        <is>
          <t>Deriva semanal de cero en rangos bajos (rango menor o igual a 0,2 ppm)</t>
        </is>
      </c>
      <c r="D190" s="24" t="inlineStr">
        <is>
          <t>Bloqueante</t>
        </is>
      </c>
      <c r="E190" s="22" t="inlineStr">
        <is>
          <t>Degradación progresiva del scrubber o del HC Cutter</t>
        </is>
      </c>
      <c r="F190" s="20" t="n">
        <v>2</v>
      </c>
      <c r="G190" s="26" t="inlineStr">
        <is>
          <t>6.3.1</t>
        </is>
      </c>
      <c r="H190" s="22" t="inlineStr">
        <is>
          <t>Estado del eliminador de hidrocarburos (HC Cutter)</t>
        </is>
      </c>
      <c r="I190" s="22" t="inlineStr">
        <is>
          <t>Reemplazar el consumible agotado y repetir el seguimiento semanal</t>
        </is>
      </c>
      <c r="J190" s="20">
        <f>IFERROR(INDEX('APSA-370 (SO2)'!$U$9:$U$104,MATCH($B190,'APSA-370 (SO2)'!$A$9:$A$104,0)),"")</f>
        <v/>
      </c>
      <c r="K190" s="20">
        <f>IF(OR($J190="No conforme",$J190="Requiere reemplazo"),"SÍ — verificar destino","")</f>
        <v/>
      </c>
    </row>
    <row r="191" ht="36" customHeight="1">
      <c r="A191" s="20" t="inlineStr">
        <is>
          <t>APSA-370 (SO2)</t>
        </is>
      </c>
      <c r="B191" s="26" t="inlineStr">
        <is>
          <t>3.4.2</t>
        </is>
      </c>
      <c r="C191" s="22" t="inlineStr">
        <is>
          <t>Deriva semanal de cero en rangos bajos (rango menor o igual a 0,2 ppm)</t>
        </is>
      </c>
      <c r="D191" s="24" t="inlineStr">
        <is>
          <t>Bloqueante</t>
        </is>
      </c>
      <c r="E191" s="22" t="inlineStr">
        <is>
          <t>Degradación progresiva del scrubber o del HC Cutter</t>
        </is>
      </c>
      <c r="F191" s="20" t="n">
        <v>3</v>
      </c>
      <c r="G191" s="26" t="inlineStr">
        <is>
          <t>8.1.2</t>
        </is>
      </c>
      <c r="H191" s="22" t="inlineStr">
        <is>
          <t>Horas de uso del depurador (Scrubber ESU-050A)</t>
        </is>
      </c>
      <c r="I191" s="22" t="inlineStr">
        <is>
          <t>Reemplazar el consumible agotado y repetir el seguimiento semanal</t>
        </is>
      </c>
      <c r="J191" s="20">
        <f>IFERROR(INDEX('APSA-370 (SO2)'!$U$9:$U$104,MATCH($B191,'APSA-370 (SO2)'!$A$9:$A$104,0)),"")</f>
        <v/>
      </c>
      <c r="K191" s="20">
        <f>IF(OR($J191="No conforme",$J191="Requiere reemplazo"),"SÍ — verificar destino","")</f>
        <v/>
      </c>
    </row>
    <row r="192" ht="36" customHeight="1">
      <c r="A192" s="20" t="inlineStr">
        <is>
          <t>APSA-370 (SO2)</t>
        </is>
      </c>
      <c r="B192" s="26" t="inlineStr">
        <is>
          <t>3.4.3</t>
        </is>
      </c>
      <c r="C192" s="22" t="inlineStr">
        <is>
          <t>Deriva diaria de cero en rangos altos (rango mayor a 0,2 ppm)</t>
        </is>
      </c>
      <c r="D192" s="24" t="inlineStr">
        <is>
          <t>Bloqueante</t>
        </is>
      </c>
      <c r="E192" s="22" t="inlineStr">
        <is>
          <t>Fuga neumática o contaminación del aire cero</t>
        </is>
      </c>
      <c r="F192" s="20" t="n">
        <v>1</v>
      </c>
      <c r="G192" s="26" t="inlineStr">
        <is>
          <t>5.1.5</t>
        </is>
      </c>
      <c r="H192" s="22" t="inlineStr">
        <is>
          <t>Sellado de las juntas de conexión de la bomba</t>
        </is>
      </c>
      <c r="I192" s="22" t="inlineStr">
        <is>
          <t>Ubicar la fuga o cambiar el aire cero y repetir la medición a 24 h</t>
        </is>
      </c>
      <c r="J192" s="20">
        <f>IFERROR(INDEX('APSA-370 (SO2)'!$U$9:$U$104,MATCH($B192,'APSA-370 (SO2)'!$A$9:$A$104,0)),"")</f>
        <v/>
      </c>
      <c r="K192" s="20">
        <f>IF(OR($J192="No conforme",$J192="Requiere reemplazo"),"SÍ — verificar destino","")</f>
        <v/>
      </c>
    </row>
    <row r="193" ht="36" customHeight="1">
      <c r="A193" s="20" t="inlineStr">
        <is>
          <t>APSA-370 (SO2)</t>
        </is>
      </c>
      <c r="B193" s="26" t="inlineStr">
        <is>
          <t>3.4.3</t>
        </is>
      </c>
      <c r="C193" s="22" t="inlineStr">
        <is>
          <t>Deriva diaria de cero en rangos altos (rango mayor a 0,2 ppm)</t>
        </is>
      </c>
      <c r="D193" s="24" t="inlineStr">
        <is>
          <t>Bloqueante</t>
        </is>
      </c>
      <c r="E193" s="22" t="inlineStr">
        <is>
          <t>Fuga neumática o contaminación del aire cero</t>
        </is>
      </c>
      <c r="F193" s="20" t="n">
        <v>2</v>
      </c>
      <c r="G193" s="26" t="inlineStr">
        <is>
          <t>4.3.1</t>
        </is>
      </c>
      <c r="H193" s="22" t="inlineStr">
        <is>
          <t>Férulas (Sleeve) en puertos de entrada y salida</t>
        </is>
      </c>
      <c r="I193" s="22" t="inlineStr">
        <is>
          <t>Ubicar la fuga o cambiar el aire cero y repetir la medición a 24 h</t>
        </is>
      </c>
      <c r="J193" s="20">
        <f>IFERROR(INDEX('APSA-370 (SO2)'!$U$9:$U$104,MATCH($B193,'APSA-370 (SO2)'!$A$9:$A$104,0)),"")</f>
        <v/>
      </c>
      <c r="K193" s="20">
        <f>IF(OR($J193="No conforme",$J193="Requiere reemplazo"),"SÍ — verificar destino","")</f>
        <v/>
      </c>
    </row>
    <row r="194" ht="36" customHeight="1">
      <c r="A194" s="20" t="inlineStr">
        <is>
          <t>APSA-370 (SO2)</t>
        </is>
      </c>
      <c r="B194" s="26" t="inlineStr">
        <is>
          <t>3.4.3</t>
        </is>
      </c>
      <c r="C194" s="22" t="inlineStr">
        <is>
          <t>Deriva diaria de cero en rangos altos (rango mayor a 0,2 ppm)</t>
        </is>
      </c>
      <c r="D194" s="24" t="inlineStr">
        <is>
          <t>Bloqueante</t>
        </is>
      </c>
      <c r="E194" s="22" t="inlineStr">
        <is>
          <t>Fuga neumática o contaminación del aire cero</t>
        </is>
      </c>
      <c r="F194" s="20" t="n">
        <v>3</v>
      </c>
      <c r="G194" s="26" t="inlineStr">
        <is>
          <t>6.3.2</t>
        </is>
      </c>
      <c r="H194" s="22" t="inlineStr">
        <is>
          <t>Filtro depurador scrubber de entrada (ESU-050A)</t>
        </is>
      </c>
      <c r="I194" s="22" t="inlineStr">
        <is>
          <t>Ubicar la fuga o cambiar el aire cero y repetir la medición a 24 h</t>
        </is>
      </c>
      <c r="J194" s="20">
        <f>IFERROR(INDEX('APSA-370 (SO2)'!$U$9:$U$104,MATCH($B194,'APSA-370 (SO2)'!$A$9:$A$104,0)),"")</f>
        <v/>
      </c>
      <c r="K194" s="20">
        <f>IF(OR($J194="No conforme",$J194="Requiere reemplazo"),"SÍ — verificar destino","")</f>
        <v/>
      </c>
    </row>
    <row r="195" ht="36" customHeight="1">
      <c r="A195" s="20" t="inlineStr">
        <is>
          <t>APSA-370 (SO2)</t>
        </is>
      </c>
      <c r="B195" s="26" t="inlineStr">
        <is>
          <t>3.4.4</t>
        </is>
      </c>
      <c r="C195" s="22" t="inlineStr">
        <is>
          <t>Deriva semanal de cero en rangos altos (rango mayor a 0,2 ppm)</t>
        </is>
      </c>
      <c r="D195" s="24" t="inlineStr">
        <is>
          <t>Bloqueante</t>
        </is>
      </c>
      <c r="E195" s="22" t="inlineStr">
        <is>
          <t>Degradación de consumibles de referencia o del sellado neumático</t>
        </is>
      </c>
      <c r="F195" s="20" t="n">
        <v>1</v>
      </c>
      <c r="G195" s="26" t="inlineStr">
        <is>
          <t>6.3.2</t>
        </is>
      </c>
      <c r="H195" s="22" t="inlineStr">
        <is>
          <t>Filtro depurador scrubber de entrada (ESU-050A)</t>
        </is>
      </c>
      <c r="I195" s="22" t="inlineStr">
        <is>
          <t>Reemplazar los consumibles vencidos y repetir el seguimiento semanal</t>
        </is>
      </c>
      <c r="J195" s="20">
        <f>IFERROR(INDEX('APSA-370 (SO2)'!$U$9:$U$104,MATCH($B195,'APSA-370 (SO2)'!$A$9:$A$104,0)),"")</f>
        <v/>
      </c>
      <c r="K195" s="20">
        <f>IF(OR($J195="No conforme",$J195="Requiere reemplazo"),"SÍ — verificar destino","")</f>
        <v/>
      </c>
    </row>
    <row r="196" ht="36" customHeight="1">
      <c r="A196" s="20" t="inlineStr">
        <is>
          <t>APSA-370 (SO2)</t>
        </is>
      </c>
      <c r="B196" s="26" t="inlineStr">
        <is>
          <t>3.4.4</t>
        </is>
      </c>
      <c r="C196" s="22" t="inlineStr">
        <is>
          <t>Deriva semanal de cero en rangos altos (rango mayor a 0,2 ppm)</t>
        </is>
      </c>
      <c r="D196" s="24" t="inlineStr">
        <is>
          <t>Bloqueante</t>
        </is>
      </c>
      <c r="E196" s="22" t="inlineStr">
        <is>
          <t>Degradación de consumibles de referencia o del sellado neumático</t>
        </is>
      </c>
      <c r="F196" s="20" t="n">
        <v>2</v>
      </c>
      <c r="G196" s="26" t="inlineStr">
        <is>
          <t>5.1.5</t>
        </is>
      </c>
      <c r="H196" s="22" t="inlineStr">
        <is>
          <t>Sellado de las juntas de conexión de la bomba</t>
        </is>
      </c>
      <c r="I196" s="22" t="inlineStr">
        <is>
          <t>Reemplazar los consumibles vencidos y repetir el seguimiento semanal</t>
        </is>
      </c>
      <c r="J196" s="20">
        <f>IFERROR(INDEX('APSA-370 (SO2)'!$U$9:$U$104,MATCH($B196,'APSA-370 (SO2)'!$A$9:$A$104,0)),"")</f>
        <v/>
      </c>
      <c r="K196" s="20">
        <f>IF(OR($J196="No conforme",$J196="Requiere reemplazo"),"SÍ — verificar destino","")</f>
        <v/>
      </c>
    </row>
    <row r="197" ht="36" customHeight="1">
      <c r="A197" s="20" t="inlineStr">
        <is>
          <t>APSA-370 (SO2)</t>
        </is>
      </c>
      <c r="B197" s="26" t="inlineStr">
        <is>
          <t>3.5.1</t>
        </is>
      </c>
      <c r="C197" s="22" t="inlineStr">
        <is>
          <t>Deriva diaria de span (todos los rangos)</t>
        </is>
      </c>
      <c r="D197" s="24" t="inlineStr">
        <is>
          <t>Bloqueante</t>
        </is>
      </c>
      <c r="E197" s="22" t="inlineStr">
        <is>
          <t>Pérdida de intensidad de la lámpara, óptica sucia, o caudal inestable</t>
        </is>
      </c>
      <c r="F197" s="20" t="n">
        <v>1</v>
      </c>
      <c r="G197" s="26" t="inlineStr">
        <is>
          <t>6.1.1</t>
        </is>
      </c>
      <c r="H197" s="22" t="inlineStr">
        <is>
          <t>Voltaje de intensidad de la lámpara de xenón (LAMP)</t>
        </is>
      </c>
      <c r="I197" s="22" t="inlineStr">
        <is>
          <t>Recorrer la rama óptica y neumática antes de reajustar el span</t>
        </is>
      </c>
      <c r="J197" s="20">
        <f>IFERROR(INDEX('APSA-370 (SO2)'!$U$9:$U$104,MATCH($B197,'APSA-370 (SO2)'!$A$9:$A$104,0)),"")</f>
        <v/>
      </c>
      <c r="K197" s="20">
        <f>IF(OR($J197="No conforme",$J197="Requiere reemplazo"),"SÍ — verificar destino","")</f>
        <v/>
      </c>
    </row>
    <row r="198" ht="36" customHeight="1">
      <c r="A198" s="20" t="inlineStr">
        <is>
          <t>APSA-370 (SO2)</t>
        </is>
      </c>
      <c r="B198" s="26" t="inlineStr">
        <is>
          <t>3.5.1</t>
        </is>
      </c>
      <c r="C198" s="22" t="inlineStr">
        <is>
          <t>Deriva diaria de span (todos los rangos)</t>
        </is>
      </c>
      <c r="D198" s="24" t="inlineStr">
        <is>
          <t>Bloqueante</t>
        </is>
      </c>
      <c r="E198" s="22" t="inlineStr">
        <is>
          <t>Pérdida de intensidad de la lámpara, óptica sucia, o caudal inestable</t>
        </is>
      </c>
      <c r="F198" s="20" t="n">
        <v>2</v>
      </c>
      <c r="G198" s="26" t="inlineStr">
        <is>
          <t>6.2.4</t>
        </is>
      </c>
      <c r="H198" s="22" t="inlineStr">
        <is>
          <t>Estado de los lentes de la cámara de medición</t>
        </is>
      </c>
      <c r="I198" s="22" t="inlineStr">
        <is>
          <t>Recorrer la rama óptica y neumática antes de reajustar el span</t>
        </is>
      </c>
      <c r="J198" s="20">
        <f>IFERROR(INDEX('APSA-370 (SO2)'!$U$9:$U$104,MATCH($B198,'APSA-370 (SO2)'!$A$9:$A$104,0)),"")</f>
        <v/>
      </c>
      <c r="K198" s="20">
        <f>IF(OR($J198="No conforme",$J198="Requiere reemplazo"),"SÍ — verificar destino","")</f>
        <v/>
      </c>
    </row>
    <row r="199" ht="36" customHeight="1">
      <c r="A199" s="20" t="inlineStr">
        <is>
          <t>APSA-370 (SO2)</t>
        </is>
      </c>
      <c r="B199" s="26" t="inlineStr">
        <is>
          <t>3.5.1</t>
        </is>
      </c>
      <c r="C199" s="22" t="inlineStr">
        <is>
          <t>Deriva diaria de span (todos los rangos)</t>
        </is>
      </c>
      <c r="D199" s="24" t="inlineStr">
        <is>
          <t>Bloqueante</t>
        </is>
      </c>
      <c r="E199" s="22" t="inlineStr">
        <is>
          <t>Pérdida de intensidad de la lámpara, óptica sucia, o caudal inestable</t>
        </is>
      </c>
      <c r="F199" s="20" t="n">
        <v>3</v>
      </c>
      <c r="G199" s="26" t="inlineStr">
        <is>
          <t>5.1.1</t>
        </is>
      </c>
      <c r="H199" s="22" t="inlineStr">
        <is>
          <t>Caudal de gas de muestra (SAMPLE)</t>
        </is>
      </c>
      <c r="I199" s="22" t="inlineStr">
        <is>
          <t>Recorrer la rama óptica y neumática antes de reajustar el span</t>
        </is>
      </c>
      <c r="J199" s="20">
        <f>IFERROR(INDEX('APSA-370 (SO2)'!$U$9:$U$104,MATCH($B199,'APSA-370 (SO2)'!$A$9:$A$104,0)),"")</f>
        <v/>
      </c>
      <c r="K199" s="20">
        <f>IF(OR($J199="No conforme",$J199="Requiere reemplazo"),"SÍ — verificar destino","")</f>
        <v/>
      </c>
    </row>
    <row r="200" ht="36" customHeight="1">
      <c r="A200" s="20" t="inlineStr">
        <is>
          <t>APSA-370 (SO2)</t>
        </is>
      </c>
      <c r="B200" s="26" t="inlineStr">
        <is>
          <t>3.5.2</t>
        </is>
      </c>
      <c r="C200" s="22" t="inlineStr">
        <is>
          <t>Deriva semanal de span (todos los rangos)</t>
        </is>
      </c>
      <c r="D200" s="24" t="inlineStr">
        <is>
          <t>Bloqueante</t>
        </is>
      </c>
      <c r="E200" s="22" t="inlineStr">
        <is>
          <t>Envejecimiento de la lámpara de xenón o ensuciamiento progresivo de la óptica</t>
        </is>
      </c>
      <c r="F200" s="20" t="n">
        <v>1</v>
      </c>
      <c r="G200" s="26" t="inlineStr">
        <is>
          <t>8.1.5</t>
        </is>
      </c>
      <c r="H200" s="22" t="inlineStr">
        <is>
          <t>Horas de uso de la lámpara de xenón (LAMP)</t>
        </is>
      </c>
      <c r="I200" s="22" t="inlineStr">
        <is>
          <t>Programar el cambio de lámpara y la limpieza óptica</t>
        </is>
      </c>
      <c r="J200" s="20">
        <f>IFERROR(INDEX('APSA-370 (SO2)'!$U$9:$U$104,MATCH($B200,'APSA-370 (SO2)'!$A$9:$A$104,0)),"")</f>
        <v/>
      </c>
      <c r="K200" s="20">
        <f>IF(OR($J200="No conforme",$J200="Requiere reemplazo"),"SÍ — verificar destino","")</f>
        <v/>
      </c>
    </row>
    <row r="201" ht="36" customHeight="1">
      <c r="A201" s="20" t="inlineStr">
        <is>
          <t>APSA-370 (SO2)</t>
        </is>
      </c>
      <c r="B201" s="26" t="inlineStr">
        <is>
          <t>3.5.2</t>
        </is>
      </c>
      <c r="C201" s="22" t="inlineStr">
        <is>
          <t>Deriva semanal de span (todos los rangos)</t>
        </is>
      </c>
      <c r="D201" s="24" t="inlineStr">
        <is>
          <t>Bloqueante</t>
        </is>
      </c>
      <c r="E201" s="22" t="inlineStr">
        <is>
          <t>Envejecimiento de la lámpara de xenón o ensuciamiento progresivo de la óptica</t>
        </is>
      </c>
      <c r="F201" s="20" t="n">
        <v>2</v>
      </c>
      <c r="G201" s="26" t="inlineStr">
        <is>
          <t>6.1.1</t>
        </is>
      </c>
      <c r="H201" s="22" t="inlineStr">
        <is>
          <t>Voltaje de intensidad de la lámpara de xenón (LAMP)</t>
        </is>
      </c>
      <c r="I201" s="22" t="inlineStr">
        <is>
          <t>Programar el cambio de lámpara y la limpieza óptica</t>
        </is>
      </c>
      <c r="J201" s="20">
        <f>IFERROR(INDEX('APSA-370 (SO2)'!$U$9:$U$104,MATCH($B201,'APSA-370 (SO2)'!$A$9:$A$104,0)),"")</f>
        <v/>
      </c>
      <c r="K201" s="20">
        <f>IF(OR($J201="No conforme",$J201="Requiere reemplazo"),"SÍ — verificar destino","")</f>
        <v/>
      </c>
    </row>
    <row r="202" ht="36" customHeight="1">
      <c r="A202" s="20" t="inlineStr">
        <is>
          <t>APSA-370 (SO2)</t>
        </is>
      </c>
      <c r="B202" s="26" t="inlineStr">
        <is>
          <t>3.5.2</t>
        </is>
      </c>
      <c r="C202" s="22" t="inlineStr">
        <is>
          <t>Deriva semanal de span (todos los rangos)</t>
        </is>
      </c>
      <c r="D202" s="24" t="inlineStr">
        <is>
          <t>Bloqueante</t>
        </is>
      </c>
      <c r="E202" s="22" t="inlineStr">
        <is>
          <t>Envejecimiento de la lámpara de xenón o ensuciamiento progresivo de la óptica</t>
        </is>
      </c>
      <c r="F202" s="20" t="n">
        <v>3</v>
      </c>
      <c r="G202" s="26" t="inlineStr">
        <is>
          <t>6.2.5</t>
        </is>
      </c>
      <c r="H202" s="22" t="inlineStr">
        <is>
          <t>Acumulación de polvo en la cámara de reacción</t>
        </is>
      </c>
      <c r="I202" s="22" t="inlineStr">
        <is>
          <t>Programar el cambio de lámpara y la limpieza óptica</t>
        </is>
      </c>
      <c r="J202" s="20">
        <f>IFERROR(INDEX('APSA-370 (SO2)'!$U$9:$U$104,MATCH($B202,'APSA-370 (SO2)'!$A$9:$A$104,0)),"")</f>
        <v/>
      </c>
      <c r="K202" s="20">
        <f>IF(OR($J202="No conforme",$J202="Requiere reemplazo"),"SÍ — verificar destino","")</f>
        <v/>
      </c>
    </row>
    <row r="203" ht="36" customHeight="1">
      <c r="A203" s="20" t="inlineStr">
        <is>
          <t>APSA-370 (SO2)</t>
        </is>
      </c>
      <c r="B203" s="26" t="inlineStr">
        <is>
          <t>3.6.1</t>
        </is>
      </c>
      <c r="C203" s="22" t="inlineStr">
        <is>
          <t>Criterio de linealidad de calibración (diferencia de mejor ajuste)</t>
        </is>
      </c>
      <c r="D203" s="24" t="inlineStr">
        <is>
          <t>Bloqueante</t>
        </is>
      </c>
      <c r="E203" s="22" t="inlineStr">
        <is>
          <t>Dilutor descalibrado, fuga en la línea de calibración, o no linealidad del detector</t>
        </is>
      </c>
      <c r="F203" s="20" t="n">
        <v>1</v>
      </c>
      <c r="G203" s="26" t="inlineStr">
        <is>
          <t>3.2.1</t>
        </is>
      </c>
      <c r="H203" s="22" t="inlineStr">
        <is>
          <t>Presión del gas en el puerto posterior de calibración</t>
        </is>
      </c>
      <c r="I203" s="22" t="inlineStr">
        <is>
          <t>Verificar el dilutor con patrón externo antes de atribuir la no linealidad al equipo</t>
        </is>
      </c>
      <c r="J203" s="20">
        <f>IFERROR(INDEX('APSA-370 (SO2)'!$U$9:$U$104,MATCH($B203,'APSA-370 (SO2)'!$A$9:$A$104,0)),"")</f>
        <v/>
      </c>
      <c r="K203" s="20">
        <f>IF(OR($J203="No conforme",$J203="Requiere reemplazo"),"SÍ — verificar destino","")</f>
        <v/>
      </c>
    </row>
    <row r="204" ht="36" customHeight="1">
      <c r="A204" s="20" t="inlineStr">
        <is>
          <t>APSA-370 (SO2)</t>
        </is>
      </c>
      <c r="B204" s="26" t="inlineStr">
        <is>
          <t>3.6.1</t>
        </is>
      </c>
      <c r="C204" s="22" t="inlineStr">
        <is>
          <t>Criterio de linealidad de calibración (diferencia de mejor ajuste)</t>
        </is>
      </c>
      <c r="D204" s="24" t="inlineStr">
        <is>
          <t>Bloqueante</t>
        </is>
      </c>
      <c r="E204" s="22" t="inlineStr">
        <is>
          <t>Dilutor descalibrado, fuga en la línea de calibración, o no linealidad del detector</t>
        </is>
      </c>
      <c r="F204" s="20" t="n">
        <v>2</v>
      </c>
      <c r="G204" s="26" t="inlineStr">
        <is>
          <t>5.1.5</t>
        </is>
      </c>
      <c r="H204" s="22" t="inlineStr">
        <is>
          <t>Sellado de las juntas de conexión de la bomba</t>
        </is>
      </c>
      <c r="I204" s="22" t="inlineStr">
        <is>
          <t>Verificar el dilutor con patrón externo antes de atribuir la no linealidad al equipo</t>
        </is>
      </c>
      <c r="J204" s="20">
        <f>IFERROR(INDEX('APSA-370 (SO2)'!$U$9:$U$104,MATCH($B204,'APSA-370 (SO2)'!$A$9:$A$104,0)),"")</f>
        <v/>
      </c>
      <c r="K204" s="20">
        <f>IF(OR($J204="No conforme",$J204="Requiere reemplazo"),"SÍ — verificar destino","")</f>
        <v/>
      </c>
    </row>
    <row r="205" ht="36" customHeight="1">
      <c r="A205" s="20" t="inlineStr">
        <is>
          <t>APSA-370 (SO2)</t>
        </is>
      </c>
      <c r="B205" s="26" t="inlineStr">
        <is>
          <t>3.6.1</t>
        </is>
      </c>
      <c r="C205" s="22" t="inlineStr">
        <is>
          <t>Criterio de linealidad de calibración (diferencia de mejor ajuste)</t>
        </is>
      </c>
      <c r="D205" s="24" t="inlineStr">
        <is>
          <t>Bloqueante</t>
        </is>
      </c>
      <c r="E205" s="22" t="inlineStr">
        <is>
          <t>Dilutor descalibrado, fuga en la línea de calibración, o no linealidad del detector</t>
        </is>
      </c>
      <c r="F205" s="20" t="n">
        <v>3</v>
      </c>
      <c r="G205" s="26" t="inlineStr">
        <is>
          <t>6.2.6</t>
        </is>
      </c>
      <c r="H205" s="22" t="inlineStr">
        <is>
          <t>Tubo fotomultiplicador (PMT)</t>
        </is>
      </c>
      <c r="I205" s="22" t="inlineStr">
        <is>
          <t>Verificar el dilutor con patrón externo antes de atribuir la no linealidad al equipo</t>
        </is>
      </c>
      <c r="J205" s="20">
        <f>IFERROR(INDEX('APSA-370 (SO2)'!$U$9:$U$104,MATCH($B205,'APSA-370 (SO2)'!$A$9:$A$104,0)),"")</f>
        <v/>
      </c>
      <c r="K205" s="20">
        <f>IF(OR($J205="No conforme",$J205="Requiere reemplazo"),"SÍ — verificar destino","")</f>
        <v/>
      </c>
    </row>
    <row r="206" ht="36" customHeight="1">
      <c r="A206" s="20" t="inlineStr">
        <is>
          <t>APSA-370 (SO2)</t>
        </is>
      </c>
      <c r="B206" s="26" t="inlineStr">
        <is>
          <t>4.1.1</t>
        </is>
      </c>
      <c r="C206" s="22" t="inlineStr">
        <is>
          <t>Estado del elemento filtrante PA-10L</t>
        </is>
      </c>
      <c r="D206" s="25" t="inlineStr">
        <is>
          <t>Cobrable</t>
        </is>
      </c>
      <c r="E206" s="22" t="inlineStr">
        <is>
          <t>Filtro saturado de material particulado, hollín o humedad</t>
        </is>
      </c>
      <c r="F206" s="20" t="n">
        <v>1</v>
      </c>
      <c r="G206" s="26" t="inlineStr">
        <is>
          <t>5.1.2</t>
        </is>
      </c>
      <c r="H206" s="22" t="inlineStr">
        <is>
          <t>Presión de succión de la bomba (PUMP)</t>
        </is>
      </c>
      <c r="I206" s="22" t="inlineStr">
        <is>
          <t>Reemplazar el elemento filtrante y reiniciar su horómetro</t>
        </is>
      </c>
      <c r="J206" s="20">
        <f>IFERROR(INDEX('APSA-370 (SO2)'!$U$9:$U$104,MATCH($B206,'APSA-370 (SO2)'!$A$9:$A$104,0)),"")</f>
        <v/>
      </c>
      <c r="K206" s="20">
        <f>IF(OR($J206="No conforme",$J206="Requiere reemplazo"),"SÍ — verificar destino","")</f>
        <v/>
      </c>
    </row>
    <row r="207" ht="36" customHeight="1">
      <c r="A207" s="20" t="inlineStr">
        <is>
          <t>APSA-370 (SO2)</t>
        </is>
      </c>
      <c r="B207" s="26" t="inlineStr">
        <is>
          <t>4.1.1</t>
        </is>
      </c>
      <c r="C207" s="22" t="inlineStr">
        <is>
          <t>Estado del elemento filtrante PA-10L</t>
        </is>
      </c>
      <c r="D207" s="25" t="inlineStr">
        <is>
          <t>Cobrable</t>
        </is>
      </c>
      <c r="E207" s="22" t="inlineStr">
        <is>
          <t>Filtro saturado de material particulado, hollín o humedad</t>
        </is>
      </c>
      <c r="F207" s="20" t="n">
        <v>2</v>
      </c>
      <c r="G207" s="26" t="inlineStr">
        <is>
          <t>5.1.1</t>
        </is>
      </c>
      <c r="H207" s="22" t="inlineStr">
        <is>
          <t>Caudal de gas de muestra (SAMPLE)</t>
        </is>
      </c>
      <c r="I207" s="22" t="inlineStr">
        <is>
          <t>Reemplazar el elemento filtrante y reiniciar su horómetro</t>
        </is>
      </c>
      <c r="J207" s="20">
        <f>IFERROR(INDEX('APSA-370 (SO2)'!$U$9:$U$104,MATCH($B207,'APSA-370 (SO2)'!$A$9:$A$104,0)),"")</f>
        <v/>
      </c>
      <c r="K207" s="20">
        <f>IF(OR($J207="No conforme",$J207="Requiere reemplazo"),"SÍ — verificar destino","")</f>
        <v/>
      </c>
    </row>
    <row r="208" ht="36" customHeight="1">
      <c r="A208" s="20" t="inlineStr">
        <is>
          <t>APSA-370 (SO2)</t>
        </is>
      </c>
      <c r="B208" s="26" t="inlineStr">
        <is>
          <t>4.1.1</t>
        </is>
      </c>
      <c r="C208" s="22" t="inlineStr">
        <is>
          <t>Estado del elemento filtrante PA-10L</t>
        </is>
      </c>
      <c r="D208" s="25" t="inlineStr">
        <is>
          <t>Cobrable</t>
        </is>
      </c>
      <c r="E208" s="22" t="inlineStr">
        <is>
          <t>Filtro saturado de material particulado, hollín o humedad</t>
        </is>
      </c>
      <c r="F208" s="20" t="n">
        <v>3</v>
      </c>
      <c r="G208" s="26" t="inlineStr">
        <is>
          <t>8.1.1</t>
        </is>
      </c>
      <c r="H208" s="22" t="inlineStr">
        <is>
          <t>Horas de uso del filtro de purga de aire F-2</t>
        </is>
      </c>
      <c r="I208" s="22" t="inlineStr">
        <is>
          <t>Reemplazar el elemento filtrante y reiniciar su horómetro</t>
        </is>
      </c>
      <c r="J208" s="20">
        <f>IFERROR(INDEX('APSA-370 (SO2)'!$U$9:$U$104,MATCH($B208,'APSA-370 (SO2)'!$A$9:$A$104,0)),"")</f>
        <v/>
      </c>
      <c r="K208" s="20">
        <f>IF(OR($J208="No conforme",$J208="Requiere reemplazo"),"SÍ — verificar destino","")</f>
        <v/>
      </c>
    </row>
    <row r="209" ht="36" customHeight="1">
      <c r="A209" s="20" t="inlineStr">
        <is>
          <t>APSA-370 (SO2)</t>
        </is>
      </c>
      <c r="B209" s="26" t="inlineStr">
        <is>
          <t>4.1.2</t>
        </is>
      </c>
      <c r="C209" s="22" t="inlineStr">
        <is>
          <t>Junta tórica del portafiltros (O-Ring)</t>
        </is>
      </c>
      <c r="D209" s="25" t="inlineStr">
        <is>
          <t>Cobrable</t>
        </is>
      </c>
      <c r="E209" s="22" t="inlineStr">
        <is>
          <t>Junta reseca o aplastada: fuga en la tapa del portafiltros</t>
        </is>
      </c>
      <c r="F209" s="20" t="n">
        <v>1</v>
      </c>
      <c r="G209" s="26" t="inlineStr">
        <is>
          <t>5.1.5</t>
        </is>
      </c>
      <c r="H209" s="22" t="inlineStr">
        <is>
          <t>Sellado de las juntas de conexión de la bomba</t>
        </is>
      </c>
      <c r="I209" s="22" t="inlineStr">
        <is>
          <t>Reemplazar la junta tórica y repetir la prueba de hermeticidad</t>
        </is>
      </c>
      <c r="J209" s="20">
        <f>IFERROR(INDEX('APSA-370 (SO2)'!$U$9:$U$104,MATCH($B209,'APSA-370 (SO2)'!$A$9:$A$104,0)),"")</f>
        <v/>
      </c>
      <c r="K209" s="20">
        <f>IF(OR($J209="No conforme",$J209="Requiere reemplazo"),"SÍ — verificar destino","")</f>
        <v/>
      </c>
    </row>
    <row r="210" ht="48" customHeight="1">
      <c r="A210" s="20" t="inlineStr">
        <is>
          <t>APSA-370 (SO2)</t>
        </is>
      </c>
      <c r="B210" s="26" t="inlineStr">
        <is>
          <t>4.1.3</t>
        </is>
      </c>
      <c r="C210" s="22" t="inlineStr">
        <is>
          <t>Humedad en el portafiltros</t>
        </is>
      </c>
      <c r="D210" s="24" t="inlineStr">
        <is>
          <t>Bloqueante</t>
        </is>
      </c>
      <c r="E210" s="22" t="inlineStr">
        <is>
          <t>Ingreso de agua por la sonda, o condensación por oscilación térmica del shelter</t>
        </is>
      </c>
      <c r="F210" s="20" t="n">
        <v>1</v>
      </c>
      <c r="G210" s="26" t="inlineStr">
        <is>
          <t>4.2.1</t>
        </is>
      </c>
      <c r="H210" s="22" t="inlineStr">
        <is>
          <t>Integridad de la línea de teflón</t>
        </is>
      </c>
      <c r="I210" s="22" t="inlineStr">
        <is>
          <t>Apagar la bomba, secar y purgar el circuito con aire seco, y corregir el origen del agua antes de volver a medir</t>
        </is>
      </c>
      <c r="J210" s="20">
        <f>IFERROR(INDEX('APSA-370 (SO2)'!$U$9:$U$104,MATCH($B210,'APSA-370 (SO2)'!$A$9:$A$104,0)),"")</f>
        <v/>
      </c>
      <c r="K210" s="20">
        <f>IF(OR($J210="No conforme",$J210="Requiere reemplazo"),"SÍ — verificar destino","")</f>
        <v/>
      </c>
    </row>
    <row r="211" ht="48" customHeight="1">
      <c r="A211" s="20" t="inlineStr">
        <is>
          <t>APSA-370 (SO2)</t>
        </is>
      </c>
      <c r="B211" s="26" t="inlineStr">
        <is>
          <t>4.1.3</t>
        </is>
      </c>
      <c r="C211" s="22" t="inlineStr">
        <is>
          <t>Humedad en el portafiltros</t>
        </is>
      </c>
      <c r="D211" s="24" t="inlineStr">
        <is>
          <t>Bloqueante</t>
        </is>
      </c>
      <c r="E211" s="22" t="inlineStr">
        <is>
          <t>Ingreso de agua por la sonda, o condensación por oscilación térmica del shelter</t>
        </is>
      </c>
      <c r="F211" s="20" t="n">
        <v>2</v>
      </c>
      <c r="G211" s="26" t="inlineStr">
        <is>
          <t>4.2.2</t>
        </is>
      </c>
      <c r="H211" s="22" t="inlineStr">
        <is>
          <t>Protección térmica de las líneas</t>
        </is>
      </c>
      <c r="I211" s="22" t="inlineStr">
        <is>
          <t>Apagar la bomba, secar y purgar el circuito con aire seco, y corregir el origen del agua antes de volver a medir</t>
        </is>
      </c>
      <c r="J211" s="20">
        <f>IFERROR(INDEX('APSA-370 (SO2)'!$U$9:$U$104,MATCH($B211,'APSA-370 (SO2)'!$A$9:$A$104,0)),"")</f>
        <v/>
      </c>
      <c r="K211" s="20">
        <f>IF(OR($J211="No conforme",$J211="Requiere reemplazo"),"SÍ — verificar destino","")</f>
        <v/>
      </c>
    </row>
    <row r="212" ht="48" customHeight="1">
      <c r="A212" s="20" t="inlineStr">
        <is>
          <t>APSA-370 (SO2)</t>
        </is>
      </c>
      <c r="B212" s="26" t="inlineStr">
        <is>
          <t>4.1.3</t>
        </is>
      </c>
      <c r="C212" s="22" t="inlineStr">
        <is>
          <t>Humedad en el portafiltros</t>
        </is>
      </c>
      <c r="D212" s="24" t="inlineStr">
        <is>
          <t>Bloqueante</t>
        </is>
      </c>
      <c r="E212" s="22" t="inlineStr">
        <is>
          <t>Ingreso de agua por la sonda, o condensación por oscilación térmica del shelter</t>
        </is>
      </c>
      <c r="F212" s="20" t="n">
        <v>3</v>
      </c>
      <c r="G212" s="26" t="inlineStr">
        <is>
          <t>10.1.1</t>
        </is>
      </c>
      <c r="H212" s="22" t="inlineStr">
        <is>
          <t>Temperatura ambiente de la cabina</t>
        </is>
      </c>
      <c r="I212" s="22" t="inlineStr">
        <is>
          <t>Apagar la bomba, secar y purgar el circuito con aire seco, y corregir el origen del agua antes de volver a medir</t>
        </is>
      </c>
      <c r="J212" s="20">
        <f>IFERROR(INDEX('APSA-370 (SO2)'!$U$9:$U$104,MATCH($B212,'APSA-370 (SO2)'!$A$9:$A$104,0)),"")</f>
        <v/>
      </c>
      <c r="K212" s="20">
        <f>IF(OR($J212="No conforme",$J212="Requiere reemplazo"),"SÍ — verificar destino","")</f>
        <v/>
      </c>
    </row>
    <row r="213" ht="48" customHeight="1">
      <c r="A213" s="20" t="inlineStr">
        <is>
          <t>APSA-370 (SO2)</t>
        </is>
      </c>
      <c r="B213" s="26" t="inlineStr">
        <is>
          <t>4.1.3</t>
        </is>
      </c>
      <c r="C213" s="22" t="inlineStr">
        <is>
          <t>Humedad en el portafiltros</t>
        </is>
      </c>
      <c r="D213" s="24" t="inlineStr">
        <is>
          <t>Bloqueante</t>
        </is>
      </c>
      <c r="E213" s="22" t="inlineStr">
        <is>
          <t>Ingreso de agua por la sonda, o condensación por oscilación térmica del shelter</t>
        </is>
      </c>
      <c r="F213" s="20" t="n">
        <v>4</v>
      </c>
      <c r="G213" s="26" t="inlineStr">
        <is>
          <t>5.1.3</t>
        </is>
      </c>
      <c r="H213" s="22" t="inlineStr">
        <is>
          <t>Integridad del diafragma de la bomba</t>
        </is>
      </c>
      <c r="I213" s="22" t="inlineStr">
        <is>
          <t>Apagar la bomba, secar y purgar el circuito con aire seco, y corregir el origen del agua antes de volver a medir</t>
        </is>
      </c>
      <c r="J213" s="20">
        <f>IFERROR(INDEX('APSA-370 (SO2)'!$U$9:$U$104,MATCH($B213,'APSA-370 (SO2)'!$A$9:$A$104,0)),"")</f>
        <v/>
      </c>
      <c r="K213" s="20">
        <f>IF(OR($J213="No conforme",$J213="Requiere reemplazo"),"SÍ — verificar destino","")</f>
        <v/>
      </c>
    </row>
    <row r="214" ht="24" customHeight="1">
      <c r="A214" s="20" t="inlineStr">
        <is>
          <t>APSA-370 (SO2)</t>
        </is>
      </c>
      <c r="B214" s="26" t="inlineStr">
        <is>
          <t>4.2.1</t>
        </is>
      </c>
      <c r="C214" s="22" t="inlineStr">
        <is>
          <t>Integridad de la línea de teflón</t>
        </is>
      </c>
      <c r="D214" s="25" t="inlineStr">
        <is>
          <t>Cobrable</t>
        </is>
      </c>
      <c r="E214" s="22" t="inlineStr">
        <is>
          <t>Manguera doblada, fisurada o con empalmes improvisados</t>
        </is>
      </c>
      <c r="F214" s="20" t="n">
        <v>1</v>
      </c>
      <c r="G214" s="26" t="inlineStr">
        <is>
          <t>5.1.1</t>
        </is>
      </c>
      <c r="H214" s="22" t="inlineStr">
        <is>
          <t>Caudal de gas de muestra (SAMPLE)</t>
        </is>
      </c>
      <c r="I214" s="22" t="inlineStr">
        <is>
          <t>Reemplazar el tramo afectado y rehacer la conexión</t>
        </is>
      </c>
      <c r="J214" s="20">
        <f>IFERROR(INDEX('APSA-370 (SO2)'!$U$9:$U$104,MATCH($B214,'APSA-370 (SO2)'!$A$9:$A$104,0)),"")</f>
        <v/>
      </c>
      <c r="K214" s="20">
        <f>IF(OR($J214="No conforme",$J214="Requiere reemplazo"),"SÍ — verificar destino","")</f>
        <v/>
      </c>
    </row>
    <row r="215" ht="24" customHeight="1">
      <c r="A215" s="20" t="inlineStr">
        <is>
          <t>APSA-370 (SO2)</t>
        </is>
      </c>
      <c r="B215" s="26" t="inlineStr">
        <is>
          <t>4.2.1</t>
        </is>
      </c>
      <c r="C215" s="22" t="inlineStr">
        <is>
          <t>Integridad de la línea de teflón</t>
        </is>
      </c>
      <c r="D215" s="25" t="inlineStr">
        <is>
          <t>Cobrable</t>
        </is>
      </c>
      <c r="E215" s="22" t="inlineStr">
        <is>
          <t>Manguera doblada, fisurada o con empalmes improvisados</t>
        </is>
      </c>
      <c r="F215" s="20" t="n">
        <v>2</v>
      </c>
      <c r="G215" s="26" t="inlineStr">
        <is>
          <t>4.1.3</t>
        </is>
      </c>
      <c r="H215" s="22" t="inlineStr">
        <is>
          <t>Humedad en el portafiltros</t>
        </is>
      </c>
      <c r="I215" s="22" t="inlineStr">
        <is>
          <t>Reemplazar el tramo afectado y rehacer la conexión</t>
        </is>
      </c>
      <c r="J215" s="20">
        <f>IFERROR(INDEX('APSA-370 (SO2)'!$U$9:$U$104,MATCH($B215,'APSA-370 (SO2)'!$A$9:$A$104,0)),"")</f>
        <v/>
      </c>
      <c r="K215" s="20">
        <f>IF(OR($J215="No conforme",$J215="Requiere reemplazo"),"SÍ — verificar destino","")</f>
        <v/>
      </c>
    </row>
    <row r="216" ht="36" customHeight="1">
      <c r="A216" s="20" t="inlineStr">
        <is>
          <t>APSA-370 (SO2)</t>
        </is>
      </c>
      <c r="B216" s="26" t="inlineStr">
        <is>
          <t>4.2.2</t>
        </is>
      </c>
      <c r="C216" s="22" t="inlineStr">
        <is>
          <t>Protección térmica de las líneas</t>
        </is>
      </c>
      <c r="D216" s="23" t="inlineStr">
        <is>
          <t>Alerta</t>
        </is>
      </c>
      <c r="E216" s="22" t="inlineStr">
        <is>
          <t>Línea expuesta a la descarga del aire acondicionado: condensación puntual</t>
        </is>
      </c>
      <c r="F216" s="20" t="n">
        <v>1</v>
      </c>
      <c r="G216" s="26" t="inlineStr">
        <is>
          <t>4.1.3</t>
        </is>
      </c>
      <c r="H216" s="22" t="inlineStr">
        <is>
          <t>Humedad en el portafiltros</t>
        </is>
      </c>
      <c r="I216" s="22" t="inlineStr">
        <is>
          <t>Redirigir la línea fuera del chorro de aire frío o aislarla térmicamente</t>
        </is>
      </c>
      <c r="J216" s="20">
        <f>IFERROR(INDEX('APSA-370 (SO2)'!$U$9:$U$104,MATCH($B216,'APSA-370 (SO2)'!$A$9:$A$104,0)),"")</f>
        <v/>
      </c>
      <c r="K216" s="20">
        <f>IF(OR($J216="No conforme",$J216="Requiere reemplazo"),"SÍ — verificar destino","")</f>
        <v/>
      </c>
    </row>
    <row r="217" ht="36" customHeight="1">
      <c r="A217" s="20" t="inlineStr">
        <is>
          <t>APSA-370 (SO2)</t>
        </is>
      </c>
      <c r="B217" s="26" t="inlineStr">
        <is>
          <t>4.2.2</t>
        </is>
      </c>
      <c r="C217" s="22" t="inlineStr">
        <is>
          <t>Protección térmica de las líneas</t>
        </is>
      </c>
      <c r="D217" s="23" t="inlineStr">
        <is>
          <t>Alerta</t>
        </is>
      </c>
      <c r="E217" s="22" t="inlineStr">
        <is>
          <t>Línea expuesta a la descarga del aire acondicionado: condensación puntual</t>
        </is>
      </c>
      <c r="F217" s="20" t="n">
        <v>2</v>
      </c>
      <c r="G217" s="26" t="inlineStr">
        <is>
          <t>10.1.1</t>
        </is>
      </c>
      <c r="H217" s="22" t="inlineStr">
        <is>
          <t>Temperatura ambiente de la cabina</t>
        </is>
      </c>
      <c r="I217" s="22" t="inlineStr">
        <is>
          <t>Redirigir la línea fuera del chorro de aire frío o aislarla térmicamente</t>
        </is>
      </c>
      <c r="J217" s="20">
        <f>IFERROR(INDEX('APSA-370 (SO2)'!$U$9:$U$104,MATCH($B217,'APSA-370 (SO2)'!$A$9:$A$104,0)),"")</f>
        <v/>
      </c>
      <c r="K217" s="20">
        <f>IF(OR($J217="No conforme",$J217="Requiere reemplazo"),"SÍ — verificar destino","")</f>
        <v/>
      </c>
    </row>
    <row r="218" ht="36" customHeight="1">
      <c r="A218" s="20" t="inlineStr">
        <is>
          <t>APSA-370 (SO2)</t>
        </is>
      </c>
      <c r="B218" s="26" t="inlineStr">
        <is>
          <t>4.3.1</t>
        </is>
      </c>
      <c r="C218" s="22" t="inlineStr">
        <is>
          <t>Férulas (Sleeve) en puertos de entrada y salida</t>
        </is>
      </c>
      <c r="D218" s="24" t="inlineStr">
        <is>
          <t>Bloqueante</t>
        </is>
      </c>
      <c r="E218" s="22" t="inlineStr">
        <is>
          <t>Férula ausente o mal montada: ingreso de aire falso</t>
        </is>
      </c>
      <c r="F218" s="20" t="n">
        <v>1</v>
      </c>
      <c r="G218" s="26" t="inlineStr">
        <is>
          <t>5.1.5</t>
        </is>
      </c>
      <c r="H218" s="22" t="inlineStr">
        <is>
          <t>Sellado de las juntas de conexión de la bomba</t>
        </is>
      </c>
      <c r="I218" s="22" t="inlineStr">
        <is>
          <t>Instalar las férulas de 6 mm y repetir la prueba de hermeticidad antes de calibrar</t>
        </is>
      </c>
      <c r="J218" s="20">
        <f>IFERROR(INDEX('APSA-370 (SO2)'!$U$9:$U$104,MATCH($B218,'APSA-370 (SO2)'!$A$9:$A$104,0)),"")</f>
        <v/>
      </c>
      <c r="K218" s="20">
        <f>IF(OR($J218="No conforme",$J218="Requiere reemplazo"),"SÍ — verificar destino","")</f>
        <v/>
      </c>
    </row>
    <row r="219" ht="36" customHeight="1">
      <c r="A219" s="20" t="inlineStr">
        <is>
          <t>APSA-370 (SO2)</t>
        </is>
      </c>
      <c r="B219" s="26" t="inlineStr">
        <is>
          <t>4.3.1</t>
        </is>
      </c>
      <c r="C219" s="22" t="inlineStr">
        <is>
          <t>Férulas (Sleeve) en puertos de entrada y salida</t>
        </is>
      </c>
      <c r="D219" s="24" t="inlineStr">
        <is>
          <t>Bloqueante</t>
        </is>
      </c>
      <c r="E219" s="22" t="inlineStr">
        <is>
          <t>Férula ausente o mal montada: ingreso de aire falso</t>
        </is>
      </c>
      <c r="F219" s="20" t="n">
        <v>2</v>
      </c>
      <c r="G219" s="26" t="inlineStr">
        <is>
          <t>5.1.1</t>
        </is>
      </c>
      <c r="H219" s="22" t="inlineStr">
        <is>
          <t>Caudal de gas de muestra (SAMPLE)</t>
        </is>
      </c>
      <c r="I219" s="22" t="inlineStr">
        <is>
          <t>Instalar las férulas de 6 mm y repetir la prueba de hermeticidad antes de calibrar</t>
        </is>
      </c>
      <c r="J219" s="20">
        <f>IFERROR(INDEX('APSA-370 (SO2)'!$U$9:$U$104,MATCH($B219,'APSA-370 (SO2)'!$A$9:$A$104,0)),"")</f>
        <v/>
      </c>
      <c r="K219" s="20">
        <f>IF(OR($J219="No conforme",$J219="Requiere reemplazo"),"SÍ — verificar destino","")</f>
        <v/>
      </c>
    </row>
    <row r="220" ht="36" customHeight="1">
      <c r="A220" s="20" t="inlineStr">
        <is>
          <t>APSA-370 (SO2)</t>
        </is>
      </c>
      <c r="B220" s="26" t="inlineStr">
        <is>
          <t>4.3.1</t>
        </is>
      </c>
      <c r="C220" s="22" t="inlineStr">
        <is>
          <t>Férulas (Sleeve) en puertos de entrada y salida</t>
        </is>
      </c>
      <c r="D220" s="24" t="inlineStr">
        <is>
          <t>Bloqueante</t>
        </is>
      </c>
      <c r="E220" s="22" t="inlineStr">
        <is>
          <t>Férula ausente o mal montada: ingreso de aire falso</t>
        </is>
      </c>
      <c r="F220" s="20" t="n">
        <v>3</v>
      </c>
      <c r="G220" s="26" t="inlineStr">
        <is>
          <t>3.1.1</t>
        </is>
      </c>
      <c r="H220" s="22" t="inlineStr">
        <is>
          <t>Coeficiente de calibración de cero (ZERO ADJUST)</t>
        </is>
      </c>
      <c r="I220" s="22" t="inlineStr">
        <is>
          <t>Instalar las férulas de 6 mm y repetir la prueba de hermeticidad antes de calibrar</t>
        </is>
      </c>
      <c r="J220" s="20">
        <f>IFERROR(INDEX('APSA-370 (SO2)'!$U$9:$U$104,MATCH($B220,'APSA-370 (SO2)'!$A$9:$A$104,0)),"")</f>
        <v/>
      </c>
      <c r="K220" s="20">
        <f>IF(OR($J220="No conforme",$J220="Requiere reemplazo"),"SÍ — verificar destino","")</f>
        <v/>
      </c>
    </row>
    <row r="221" ht="36" customHeight="1">
      <c r="A221" s="20" t="inlineStr">
        <is>
          <t>APSA-370 (SO2)</t>
        </is>
      </c>
      <c r="B221" s="26" t="inlineStr">
        <is>
          <t>4.3.2</t>
        </is>
      </c>
      <c r="C221" s="22" t="inlineStr">
        <is>
          <t>Tuercas de compresión PVDF (Cap Nut) en puertos traseros</t>
        </is>
      </c>
      <c r="D221" s="24" t="inlineStr">
        <is>
          <t>Bloqueante</t>
        </is>
      </c>
      <c r="E221" s="22" t="inlineStr">
        <is>
          <t>Tuerca ausente, fisurada o floja</t>
        </is>
      </c>
      <c r="F221" s="20" t="n">
        <v>1</v>
      </c>
      <c r="G221" s="26" t="inlineStr">
        <is>
          <t>4.3.1</t>
        </is>
      </c>
      <c r="H221" s="22" t="inlineStr">
        <is>
          <t>Férulas (Sleeve) en puertos de entrada y salida</t>
        </is>
      </c>
      <c r="I221" s="22" t="inlineStr">
        <is>
          <t>Reponer las tuercas de PVDF y reapretar</t>
        </is>
      </c>
      <c r="J221" s="20">
        <f>IFERROR(INDEX('APSA-370 (SO2)'!$U$9:$U$104,MATCH($B221,'APSA-370 (SO2)'!$A$9:$A$104,0)),"")</f>
        <v/>
      </c>
      <c r="K221" s="20">
        <f>IF(OR($J221="No conforme",$J221="Requiere reemplazo"),"SÍ — verificar destino","")</f>
        <v/>
      </c>
    </row>
    <row r="222" ht="36" customHeight="1">
      <c r="A222" s="20" t="inlineStr">
        <is>
          <t>APSA-370 (SO2)</t>
        </is>
      </c>
      <c r="B222" s="26" t="inlineStr">
        <is>
          <t>4.3.2</t>
        </is>
      </c>
      <c r="C222" s="22" t="inlineStr">
        <is>
          <t>Tuercas de compresión PVDF (Cap Nut) en puertos traseros</t>
        </is>
      </c>
      <c r="D222" s="24" t="inlineStr">
        <is>
          <t>Bloqueante</t>
        </is>
      </c>
      <c r="E222" s="22" t="inlineStr">
        <is>
          <t>Tuerca ausente, fisurada o floja</t>
        </is>
      </c>
      <c r="F222" s="20" t="n">
        <v>2</v>
      </c>
      <c r="G222" s="26" t="inlineStr">
        <is>
          <t>5.1.5</t>
        </is>
      </c>
      <c r="H222" s="22" t="inlineStr">
        <is>
          <t>Sellado de las juntas de conexión de la bomba</t>
        </is>
      </c>
      <c r="I222" s="22" t="inlineStr">
        <is>
          <t>Reponer las tuercas de PVDF y reapretar</t>
        </is>
      </c>
      <c r="J222" s="20">
        <f>IFERROR(INDEX('APSA-370 (SO2)'!$U$9:$U$104,MATCH($B222,'APSA-370 (SO2)'!$A$9:$A$104,0)),"")</f>
        <v/>
      </c>
      <c r="K222" s="20">
        <f>IF(OR($J222="No conforme",$J222="Requiere reemplazo"),"SÍ — verificar destino","")</f>
        <v/>
      </c>
    </row>
    <row r="223" ht="36" customHeight="1">
      <c r="A223" s="20" t="inlineStr">
        <is>
          <t>APSA-370 (SO2)</t>
        </is>
      </c>
      <c r="B223" s="26" t="inlineStr">
        <is>
          <t>5.1.1</t>
        </is>
      </c>
      <c r="C223" s="22" t="inlineStr">
        <is>
          <t>Caudal de gas de muestra (SAMPLE)</t>
        </is>
      </c>
      <c r="D223" s="24" t="inlineStr">
        <is>
          <t>Bloqueante</t>
        </is>
      </c>
      <c r="E223" s="22" t="inlineStr">
        <is>
          <t>Filtro colmatado, diafragma desgastado, o capilar restrictor obstruido</t>
        </is>
      </c>
      <c r="F223" s="20" t="n">
        <v>1</v>
      </c>
      <c r="G223" s="26" t="inlineStr">
        <is>
          <t>4.1.1</t>
        </is>
      </c>
      <c r="H223" s="22" t="inlineStr">
        <is>
          <t>Estado del elemento filtrante PA-10L</t>
        </is>
      </c>
      <c r="I223" s="22" t="inlineStr">
        <is>
          <t>Medir el caudal real con flujómetro de burbuja y recorrer la rama en ese orden</t>
        </is>
      </c>
      <c r="J223" s="20">
        <f>IFERROR(INDEX('APSA-370 (SO2)'!$U$9:$U$104,MATCH($B223,'APSA-370 (SO2)'!$A$9:$A$104,0)),"")</f>
        <v/>
      </c>
      <c r="K223" s="20">
        <f>IF(OR($J223="No conforme",$J223="Requiere reemplazo"),"SÍ — verificar destino","")</f>
        <v/>
      </c>
    </row>
    <row r="224" ht="36" customHeight="1">
      <c r="A224" s="20" t="inlineStr">
        <is>
          <t>APSA-370 (SO2)</t>
        </is>
      </c>
      <c r="B224" s="26" t="inlineStr">
        <is>
          <t>5.1.1</t>
        </is>
      </c>
      <c r="C224" s="22" t="inlineStr">
        <is>
          <t>Caudal de gas de muestra (SAMPLE)</t>
        </is>
      </c>
      <c r="D224" s="24" t="inlineStr">
        <is>
          <t>Bloqueante</t>
        </is>
      </c>
      <c r="E224" s="22" t="inlineStr">
        <is>
          <t>Filtro colmatado, diafragma desgastado, o capilar restrictor obstruido</t>
        </is>
      </c>
      <c r="F224" s="20" t="n">
        <v>2</v>
      </c>
      <c r="G224" s="26" t="inlineStr">
        <is>
          <t>5.1.2</t>
        </is>
      </c>
      <c r="H224" s="22" t="inlineStr">
        <is>
          <t>Presión de succión de la bomba (PUMP)</t>
        </is>
      </c>
      <c r="I224" s="22" t="inlineStr">
        <is>
          <t>Medir el caudal real con flujómetro de burbuja y recorrer la rama en ese orden</t>
        </is>
      </c>
      <c r="J224" s="20">
        <f>IFERROR(INDEX('APSA-370 (SO2)'!$U$9:$U$104,MATCH($B224,'APSA-370 (SO2)'!$A$9:$A$104,0)),"")</f>
        <v/>
      </c>
      <c r="K224" s="20">
        <f>IF(OR($J224="No conforme",$J224="Requiere reemplazo"),"SÍ — verificar destino","")</f>
        <v/>
      </c>
    </row>
    <row r="225" ht="36" customHeight="1">
      <c r="A225" s="20" t="inlineStr">
        <is>
          <t>APSA-370 (SO2)</t>
        </is>
      </c>
      <c r="B225" s="26" t="inlineStr">
        <is>
          <t>5.1.1</t>
        </is>
      </c>
      <c r="C225" s="22" t="inlineStr">
        <is>
          <t>Caudal de gas de muestra (SAMPLE)</t>
        </is>
      </c>
      <c r="D225" s="24" t="inlineStr">
        <is>
          <t>Bloqueante</t>
        </is>
      </c>
      <c r="E225" s="22" t="inlineStr">
        <is>
          <t>Filtro colmatado, diafragma desgastado, o capilar restrictor obstruido</t>
        </is>
      </c>
      <c r="F225" s="20" t="n">
        <v>3</v>
      </c>
      <c r="G225" s="26" t="inlineStr">
        <is>
          <t>5.1.3</t>
        </is>
      </c>
      <c r="H225" s="22" t="inlineStr">
        <is>
          <t>Integridad del diafragma de la bomba</t>
        </is>
      </c>
      <c r="I225" s="22" t="inlineStr">
        <is>
          <t>Medir el caudal real con flujómetro de burbuja y recorrer la rama en ese orden</t>
        </is>
      </c>
      <c r="J225" s="20">
        <f>IFERROR(INDEX('APSA-370 (SO2)'!$U$9:$U$104,MATCH($B225,'APSA-370 (SO2)'!$A$9:$A$104,0)),"")</f>
        <v/>
      </c>
      <c r="K225" s="20">
        <f>IF(OR($J225="No conforme",$J225="Requiere reemplazo"),"SÍ — verificar destino","")</f>
        <v/>
      </c>
    </row>
    <row r="226" ht="36" customHeight="1">
      <c r="A226" s="20" t="inlineStr">
        <is>
          <t>APSA-370 (SO2)</t>
        </is>
      </c>
      <c r="B226" s="26" t="inlineStr">
        <is>
          <t>5.1.1</t>
        </is>
      </c>
      <c r="C226" s="22" t="inlineStr">
        <is>
          <t>Caudal de gas de muestra (SAMPLE)</t>
        </is>
      </c>
      <c r="D226" s="24" t="inlineStr">
        <is>
          <t>Bloqueante</t>
        </is>
      </c>
      <c r="E226" s="22" t="inlineStr">
        <is>
          <t>Filtro colmatado, diafragma desgastado, o capilar restrictor obstruido</t>
        </is>
      </c>
      <c r="F226" s="20" t="n">
        <v>4</v>
      </c>
      <c r="G226" s="26" t="inlineStr">
        <is>
          <t>5.1.4</t>
        </is>
      </c>
      <c r="H226" s="22" t="inlineStr">
        <is>
          <t>Válvulas del cabezal de la bomba</t>
        </is>
      </c>
      <c r="I226" s="22" t="inlineStr">
        <is>
          <t>Medir el caudal real con flujómetro de burbuja y recorrer la rama en ese orden</t>
        </is>
      </c>
      <c r="J226" s="20">
        <f>IFERROR(INDEX('APSA-370 (SO2)'!$U$9:$U$104,MATCH($B226,'APSA-370 (SO2)'!$A$9:$A$104,0)),"")</f>
        <v/>
      </c>
      <c r="K226" s="20">
        <f>IF(OR($J226="No conforme",$J226="Requiere reemplazo"),"SÍ — verificar destino","")</f>
        <v/>
      </c>
    </row>
    <row r="227" ht="36" customHeight="1">
      <c r="A227" s="20" t="inlineStr">
        <is>
          <t>APSA-370 (SO2)</t>
        </is>
      </c>
      <c r="B227" s="26" t="inlineStr">
        <is>
          <t>5.1.2</t>
        </is>
      </c>
      <c r="C227" s="22" t="inlineStr">
        <is>
          <t>Presión de succión de la bomba (PUMP)</t>
        </is>
      </c>
      <c r="D227" s="24" t="inlineStr">
        <is>
          <t>Bloqueante</t>
        </is>
      </c>
      <c r="E227" s="22" t="inlineStr">
        <is>
          <t>Vacío alto: obstrucción aguas arriba. Vacío bajo: fuga o diafragma roto</t>
        </is>
      </c>
      <c r="F227" s="20" t="n">
        <v>1</v>
      </c>
      <c r="G227" s="26" t="inlineStr">
        <is>
          <t>4.1.1</t>
        </is>
      </c>
      <c r="H227" s="22" t="inlineStr">
        <is>
          <t>Estado del elemento filtrante PA-10L</t>
        </is>
      </c>
      <c r="I227" s="22" t="inlineStr">
        <is>
          <t>Desconectar la línea en SAMPLE INLET: si la presión cae, la obstrucción está aguas arriba</t>
        </is>
      </c>
      <c r="J227" s="20">
        <f>IFERROR(INDEX('APSA-370 (SO2)'!$U$9:$U$104,MATCH($B227,'APSA-370 (SO2)'!$A$9:$A$104,0)),"")</f>
        <v/>
      </c>
      <c r="K227" s="20">
        <f>IF(OR($J227="No conforme",$J227="Requiere reemplazo"),"SÍ — verificar destino","")</f>
        <v/>
      </c>
    </row>
    <row r="228" ht="36" customHeight="1">
      <c r="A228" s="20" t="inlineStr">
        <is>
          <t>APSA-370 (SO2)</t>
        </is>
      </c>
      <c r="B228" s="26" t="inlineStr">
        <is>
          <t>5.1.2</t>
        </is>
      </c>
      <c r="C228" s="22" t="inlineStr">
        <is>
          <t>Presión de succión de la bomba (PUMP)</t>
        </is>
      </c>
      <c r="D228" s="24" t="inlineStr">
        <is>
          <t>Bloqueante</t>
        </is>
      </c>
      <c r="E228" s="22" t="inlineStr">
        <is>
          <t>Vacío alto: obstrucción aguas arriba. Vacío bajo: fuga o diafragma roto</t>
        </is>
      </c>
      <c r="F228" s="20" t="n">
        <v>2</v>
      </c>
      <c r="G228" s="26" t="inlineStr">
        <is>
          <t>5.1.3</t>
        </is>
      </c>
      <c r="H228" s="22" t="inlineStr">
        <is>
          <t>Integridad del diafragma de la bomba</t>
        </is>
      </c>
      <c r="I228" s="22" t="inlineStr">
        <is>
          <t>Desconectar la línea en SAMPLE INLET: si la presión cae, la obstrucción está aguas arriba</t>
        </is>
      </c>
      <c r="J228" s="20">
        <f>IFERROR(INDEX('APSA-370 (SO2)'!$U$9:$U$104,MATCH($B228,'APSA-370 (SO2)'!$A$9:$A$104,0)),"")</f>
        <v/>
      </c>
      <c r="K228" s="20">
        <f>IF(OR($J228="No conforme",$J228="Requiere reemplazo"),"SÍ — verificar destino","")</f>
        <v/>
      </c>
    </row>
    <row r="229" ht="36" customHeight="1">
      <c r="A229" s="20" t="inlineStr">
        <is>
          <t>APSA-370 (SO2)</t>
        </is>
      </c>
      <c r="B229" s="26" t="inlineStr">
        <is>
          <t>5.1.2</t>
        </is>
      </c>
      <c r="C229" s="22" t="inlineStr">
        <is>
          <t>Presión de succión de la bomba (PUMP)</t>
        </is>
      </c>
      <c r="D229" s="24" t="inlineStr">
        <is>
          <t>Bloqueante</t>
        </is>
      </c>
      <c r="E229" s="22" t="inlineStr">
        <is>
          <t>Vacío alto: obstrucción aguas arriba. Vacío bajo: fuga o diafragma roto</t>
        </is>
      </c>
      <c r="F229" s="20" t="n">
        <v>3</v>
      </c>
      <c r="G229" s="26" t="inlineStr">
        <is>
          <t>5.1.5</t>
        </is>
      </c>
      <c r="H229" s="22" t="inlineStr">
        <is>
          <t>Sellado de las juntas de conexión de la bomba</t>
        </is>
      </c>
      <c r="I229" s="22" t="inlineStr">
        <is>
          <t>Desconectar la línea en SAMPLE INLET: si la presión cae, la obstrucción está aguas arriba</t>
        </is>
      </c>
      <c r="J229" s="20">
        <f>IFERROR(INDEX('APSA-370 (SO2)'!$U$9:$U$104,MATCH($B229,'APSA-370 (SO2)'!$A$9:$A$104,0)),"")</f>
        <v/>
      </c>
      <c r="K229" s="20">
        <f>IF(OR($J229="No conforme",$J229="Requiere reemplazo"),"SÍ — verificar destino","")</f>
        <v/>
      </c>
    </row>
    <row r="230" ht="36" customHeight="1">
      <c r="A230" s="20" t="inlineStr">
        <is>
          <t>APSA-370 (SO2)</t>
        </is>
      </c>
      <c r="B230" s="26" t="inlineStr">
        <is>
          <t>5.1.2</t>
        </is>
      </c>
      <c r="C230" s="22" t="inlineStr">
        <is>
          <t>Presión de succión de la bomba (PUMP)</t>
        </is>
      </c>
      <c r="D230" s="24" t="inlineStr">
        <is>
          <t>Bloqueante</t>
        </is>
      </c>
      <c r="E230" s="22" t="inlineStr">
        <is>
          <t>Vacío alto: obstrucción aguas arriba. Vacío bajo: fuga o diafragma roto</t>
        </is>
      </c>
      <c r="F230" s="20" t="n">
        <v>4</v>
      </c>
      <c r="G230" s="26" t="inlineStr">
        <is>
          <t>4.2.1</t>
        </is>
      </c>
      <c r="H230" s="22" t="inlineStr">
        <is>
          <t>Integridad de la línea de teflón</t>
        </is>
      </c>
      <c r="I230" s="22" t="inlineStr">
        <is>
          <t>Desconectar la línea en SAMPLE INLET: si la presión cae, la obstrucción está aguas arriba</t>
        </is>
      </c>
      <c r="J230" s="20">
        <f>IFERROR(INDEX('APSA-370 (SO2)'!$U$9:$U$104,MATCH($B230,'APSA-370 (SO2)'!$A$9:$A$104,0)),"")</f>
        <v/>
      </c>
      <c r="K230" s="20">
        <f>IF(OR($J230="No conforme",$J230="Requiere reemplazo"),"SÍ — verificar destino","")</f>
        <v/>
      </c>
    </row>
    <row r="231" ht="36" customHeight="1">
      <c r="A231" s="20" t="inlineStr">
        <is>
          <t>APSA-370 (SO2)</t>
        </is>
      </c>
      <c r="B231" s="26" t="inlineStr">
        <is>
          <t>5.1.3</t>
        </is>
      </c>
      <c r="C231" s="22" t="inlineStr">
        <is>
          <t>Integridad del diafragma de la bomba</t>
        </is>
      </c>
      <c r="D231" s="25" t="inlineStr">
        <is>
          <t>Cobrable</t>
        </is>
      </c>
      <c r="E231" s="22" t="inlineStr">
        <is>
          <t>Fatiga del EPDM por horas de servicio, o arrastre de condensado</t>
        </is>
      </c>
      <c r="F231" s="20" t="n">
        <v>1</v>
      </c>
      <c r="G231" s="26" t="inlineStr">
        <is>
          <t>8.1.4</t>
        </is>
      </c>
      <c r="H231" s="22" t="inlineStr">
        <is>
          <t>Horas de uso del diafragma de la bomba (P-1-D)</t>
        </is>
      </c>
      <c r="I231" s="22" t="inlineStr">
        <is>
          <t>Reemplazar el juego de diafragmas, reiniciar el horómetro y corregir el origen del condensado</t>
        </is>
      </c>
      <c r="J231" s="20">
        <f>IFERROR(INDEX('APSA-370 (SO2)'!$U$9:$U$104,MATCH($B231,'APSA-370 (SO2)'!$A$9:$A$104,0)),"")</f>
        <v/>
      </c>
      <c r="K231" s="20">
        <f>IF(OR($J231="No conforme",$J231="Requiere reemplazo"),"SÍ — verificar destino","")</f>
        <v/>
      </c>
    </row>
    <row r="232" ht="36" customHeight="1">
      <c r="A232" s="20" t="inlineStr">
        <is>
          <t>APSA-370 (SO2)</t>
        </is>
      </c>
      <c r="B232" s="26" t="inlineStr">
        <is>
          <t>5.1.3</t>
        </is>
      </c>
      <c r="C232" s="22" t="inlineStr">
        <is>
          <t>Integridad del diafragma de la bomba</t>
        </is>
      </c>
      <c r="D232" s="25" t="inlineStr">
        <is>
          <t>Cobrable</t>
        </is>
      </c>
      <c r="E232" s="22" t="inlineStr">
        <is>
          <t>Fatiga del EPDM por horas de servicio, o arrastre de condensado</t>
        </is>
      </c>
      <c r="F232" s="20" t="n">
        <v>2</v>
      </c>
      <c r="G232" s="26" t="inlineStr">
        <is>
          <t>4.1.3</t>
        </is>
      </c>
      <c r="H232" s="22" t="inlineStr">
        <is>
          <t>Humedad en el portafiltros</t>
        </is>
      </c>
      <c r="I232" s="22" t="inlineStr">
        <is>
          <t>Reemplazar el juego de diafragmas, reiniciar el horómetro y corregir el origen del condensado</t>
        </is>
      </c>
      <c r="J232" s="20">
        <f>IFERROR(INDEX('APSA-370 (SO2)'!$U$9:$U$104,MATCH($B232,'APSA-370 (SO2)'!$A$9:$A$104,0)),"")</f>
        <v/>
      </c>
      <c r="K232" s="20">
        <f>IF(OR($J232="No conforme",$J232="Requiere reemplazo"),"SÍ — verificar destino","")</f>
        <v/>
      </c>
    </row>
    <row r="233" ht="36" customHeight="1">
      <c r="A233" s="20" t="inlineStr">
        <is>
          <t>APSA-370 (SO2)</t>
        </is>
      </c>
      <c r="B233" s="26" t="inlineStr">
        <is>
          <t>5.1.3</t>
        </is>
      </c>
      <c r="C233" s="22" t="inlineStr">
        <is>
          <t>Integridad del diafragma de la bomba</t>
        </is>
      </c>
      <c r="D233" s="25" t="inlineStr">
        <is>
          <t>Cobrable</t>
        </is>
      </c>
      <c r="E233" s="22" t="inlineStr">
        <is>
          <t>Fatiga del EPDM por horas de servicio, o arrastre de condensado</t>
        </is>
      </c>
      <c r="F233" s="20" t="n">
        <v>3</v>
      </c>
      <c r="G233" s="26" t="inlineStr">
        <is>
          <t>5.1.4</t>
        </is>
      </c>
      <c r="H233" s="22" t="inlineStr">
        <is>
          <t>Válvulas del cabezal de la bomba</t>
        </is>
      </c>
      <c r="I233" s="22" t="inlineStr">
        <is>
          <t>Reemplazar el juego de diafragmas, reiniciar el horómetro y corregir el origen del condensado</t>
        </is>
      </c>
      <c r="J233" s="20">
        <f>IFERROR(INDEX('APSA-370 (SO2)'!$U$9:$U$104,MATCH($B233,'APSA-370 (SO2)'!$A$9:$A$104,0)),"")</f>
        <v/>
      </c>
      <c r="K233" s="20">
        <f>IF(OR($J233="No conforme",$J233="Requiere reemplazo"),"SÍ — verificar destino","")</f>
        <v/>
      </c>
    </row>
    <row r="234" ht="36" customHeight="1">
      <c r="A234" s="20" t="inlineStr">
        <is>
          <t>APSA-370 (SO2)</t>
        </is>
      </c>
      <c r="B234" s="26" t="inlineStr">
        <is>
          <t>5.1.4</t>
        </is>
      </c>
      <c r="C234" s="22" t="inlineStr">
        <is>
          <t>Válvulas del cabezal de la bomba</t>
        </is>
      </c>
      <c r="D234" s="25" t="inlineStr">
        <is>
          <t>Cobrable</t>
        </is>
      </c>
      <c r="E234" s="22" t="inlineStr">
        <is>
          <t>Flapper deformado, endurecido, o con partículas atrapadas</t>
        </is>
      </c>
      <c r="F234" s="20" t="n">
        <v>1</v>
      </c>
      <c r="G234" s="26" t="inlineStr">
        <is>
          <t>5.1.3</t>
        </is>
      </c>
      <c r="H234" s="22" t="inlineStr">
        <is>
          <t>Integridad del diafragma de la bomba</t>
        </is>
      </c>
      <c r="I234" s="22" t="inlineStr">
        <is>
          <t>Limpiar o reemplazar las válvulas junto con el juego de diafragmas</t>
        </is>
      </c>
      <c r="J234" s="20">
        <f>IFERROR(INDEX('APSA-370 (SO2)'!$U$9:$U$104,MATCH($B234,'APSA-370 (SO2)'!$A$9:$A$104,0)),"")</f>
        <v/>
      </c>
      <c r="K234" s="20">
        <f>IF(OR($J234="No conforme",$J234="Requiere reemplazo"),"SÍ — verificar destino","")</f>
        <v/>
      </c>
    </row>
    <row r="235" ht="36" customHeight="1">
      <c r="A235" s="20" t="inlineStr">
        <is>
          <t>APSA-370 (SO2)</t>
        </is>
      </c>
      <c r="B235" s="26" t="inlineStr">
        <is>
          <t>5.1.4</t>
        </is>
      </c>
      <c r="C235" s="22" t="inlineStr">
        <is>
          <t>Válvulas del cabezal de la bomba</t>
        </is>
      </c>
      <c r="D235" s="25" t="inlineStr">
        <is>
          <t>Cobrable</t>
        </is>
      </c>
      <c r="E235" s="22" t="inlineStr">
        <is>
          <t>Flapper deformado, endurecido, o con partículas atrapadas</t>
        </is>
      </c>
      <c r="F235" s="20" t="n">
        <v>2</v>
      </c>
      <c r="G235" s="26" t="inlineStr">
        <is>
          <t>4.1.1</t>
        </is>
      </c>
      <c r="H235" s="22" t="inlineStr">
        <is>
          <t>Estado del elemento filtrante PA-10L</t>
        </is>
      </c>
      <c r="I235" s="22" t="inlineStr">
        <is>
          <t>Limpiar o reemplazar las válvulas junto con el juego de diafragmas</t>
        </is>
      </c>
      <c r="J235" s="20">
        <f>IFERROR(INDEX('APSA-370 (SO2)'!$U$9:$U$104,MATCH($B235,'APSA-370 (SO2)'!$A$9:$A$104,0)),"")</f>
        <v/>
      </c>
      <c r="K235" s="20">
        <f>IF(OR($J235="No conforme",$J235="Requiere reemplazo"),"SÍ — verificar destino","")</f>
        <v/>
      </c>
    </row>
    <row r="236" ht="36" customHeight="1">
      <c r="A236" s="20" t="inlineStr">
        <is>
          <t>APSA-370 (SO2)</t>
        </is>
      </c>
      <c r="B236" s="26" t="inlineStr">
        <is>
          <t>5.1.5</t>
        </is>
      </c>
      <c r="C236" s="22" t="inlineStr">
        <is>
          <t>Sellado de las juntas de conexión de la bomba</t>
        </is>
      </c>
      <c r="D236" s="24" t="inlineStr">
        <is>
          <t>Bloqueante</t>
        </is>
      </c>
      <c r="E236" s="22" t="inlineStr">
        <is>
          <t>Junta roscada sin cinta de teflón, o unión floja tras el mantenimiento</t>
        </is>
      </c>
      <c r="F236" s="20" t="n">
        <v>1</v>
      </c>
      <c r="G236" s="26" t="inlineStr">
        <is>
          <t>5.1.2</t>
        </is>
      </c>
      <c r="H236" s="22" t="inlineStr">
        <is>
          <t>Presión de succión de la bomba (PUMP)</t>
        </is>
      </c>
      <c r="I236" s="22" t="inlineStr">
        <is>
          <t>Aplicar agua jabonosa en cada unión con la bomba en marcha para ubicar la fuga y resellar</t>
        </is>
      </c>
      <c r="J236" s="20">
        <f>IFERROR(INDEX('APSA-370 (SO2)'!$U$9:$U$104,MATCH($B236,'APSA-370 (SO2)'!$A$9:$A$104,0)),"")</f>
        <v/>
      </c>
      <c r="K236" s="20">
        <f>IF(OR($J236="No conforme",$J236="Requiere reemplazo"),"SÍ — verificar destino","")</f>
        <v/>
      </c>
    </row>
    <row r="237" ht="36" customHeight="1">
      <c r="A237" s="20" t="inlineStr">
        <is>
          <t>APSA-370 (SO2)</t>
        </is>
      </c>
      <c r="B237" s="26" t="inlineStr">
        <is>
          <t>5.1.5</t>
        </is>
      </c>
      <c r="C237" s="22" t="inlineStr">
        <is>
          <t>Sellado de las juntas de conexión de la bomba</t>
        </is>
      </c>
      <c r="D237" s="24" t="inlineStr">
        <is>
          <t>Bloqueante</t>
        </is>
      </c>
      <c r="E237" s="22" t="inlineStr">
        <is>
          <t>Junta roscada sin cinta de teflón, o unión floja tras el mantenimiento</t>
        </is>
      </c>
      <c r="F237" s="20" t="n">
        <v>2</v>
      </c>
      <c r="G237" s="26" t="inlineStr">
        <is>
          <t>4.3.1</t>
        </is>
      </c>
      <c r="H237" s="22" t="inlineStr">
        <is>
          <t>Férulas (Sleeve) en puertos de entrada y salida</t>
        </is>
      </c>
      <c r="I237" s="22" t="inlineStr">
        <is>
          <t>Aplicar agua jabonosa en cada unión con la bomba en marcha para ubicar la fuga y resellar</t>
        </is>
      </c>
      <c r="J237" s="20">
        <f>IFERROR(INDEX('APSA-370 (SO2)'!$U$9:$U$104,MATCH($B237,'APSA-370 (SO2)'!$A$9:$A$104,0)),"")</f>
        <v/>
      </c>
      <c r="K237" s="20">
        <f>IF(OR($J237="No conforme",$J237="Requiere reemplazo"),"SÍ — verificar destino","")</f>
        <v/>
      </c>
    </row>
    <row r="238" ht="36" customHeight="1">
      <c r="A238" s="20" t="inlineStr">
        <is>
          <t>APSA-370 (SO2)</t>
        </is>
      </c>
      <c r="B238" s="26" t="inlineStr">
        <is>
          <t>5.1.5</t>
        </is>
      </c>
      <c r="C238" s="22" t="inlineStr">
        <is>
          <t>Sellado de las juntas de conexión de la bomba</t>
        </is>
      </c>
      <c r="D238" s="24" t="inlineStr">
        <is>
          <t>Bloqueante</t>
        </is>
      </c>
      <c r="E238" s="22" t="inlineStr">
        <is>
          <t>Junta roscada sin cinta de teflón, o unión floja tras el mantenimiento</t>
        </is>
      </c>
      <c r="F238" s="20" t="n">
        <v>3</v>
      </c>
      <c r="G238" s="26" t="inlineStr">
        <is>
          <t>4.1.2</t>
        </is>
      </c>
      <c r="H238" s="22" t="inlineStr">
        <is>
          <t>Junta tórica del portafiltros (O-Ring)</t>
        </is>
      </c>
      <c r="I238" s="22" t="inlineStr">
        <is>
          <t>Aplicar agua jabonosa en cada unión con la bomba en marcha para ubicar la fuga y resellar</t>
        </is>
      </c>
      <c r="J238" s="20">
        <f>IFERROR(INDEX('APSA-370 (SO2)'!$U$9:$U$104,MATCH($B238,'APSA-370 (SO2)'!$A$9:$A$104,0)),"")</f>
        <v/>
      </c>
      <c r="K238" s="20">
        <f>IF(OR($J238="No conforme",$J238="Requiere reemplazo"),"SÍ — verificar destino","")</f>
        <v/>
      </c>
    </row>
    <row r="239" ht="36" customHeight="1">
      <c r="A239" s="20" t="inlineStr">
        <is>
          <t>APSA-370 (SO2)</t>
        </is>
      </c>
      <c r="B239" s="26" t="inlineStr">
        <is>
          <t>5.2.1</t>
        </is>
      </c>
      <c r="C239" s="22" t="inlineStr">
        <is>
          <t>Caudal de purga del HC Cutter</t>
        </is>
      </c>
      <c r="D239" s="24" t="inlineStr">
        <is>
          <t>Bloqueante</t>
        </is>
      </c>
      <c r="E239" s="22" t="inlineStr">
        <is>
          <t>Filtro de aire F-2 saturado, capilar de purga obstruido, o pérdida general de vacío</t>
        </is>
      </c>
      <c r="F239" s="20" t="n">
        <v>1</v>
      </c>
      <c r="G239" s="26" t="inlineStr">
        <is>
          <t>8.1.1</t>
        </is>
      </c>
      <c r="H239" s="22" t="inlineStr">
        <is>
          <t>Horas de uso del filtro de purga de aire F-2</t>
        </is>
      </c>
      <c r="I239" s="22" t="inlineStr">
        <is>
          <t>Reemplazar el filtro de 0,3 µm y verificar que el capilar de purga esté libre</t>
        </is>
      </c>
      <c r="J239" s="20">
        <f>IFERROR(INDEX('APSA-370 (SO2)'!$U$9:$U$104,MATCH($B239,'APSA-370 (SO2)'!$A$9:$A$104,0)),"")</f>
        <v/>
      </c>
      <c r="K239" s="20">
        <f>IF(OR($J239="No conforme",$J239="Requiere reemplazo"),"SÍ — verificar destino","")</f>
        <v/>
      </c>
    </row>
    <row r="240" ht="36" customHeight="1">
      <c r="A240" s="20" t="inlineStr">
        <is>
          <t>APSA-370 (SO2)</t>
        </is>
      </c>
      <c r="B240" s="26" t="inlineStr">
        <is>
          <t>5.2.1</t>
        </is>
      </c>
      <c r="C240" s="22" t="inlineStr">
        <is>
          <t>Caudal de purga del HC Cutter</t>
        </is>
      </c>
      <c r="D240" s="24" t="inlineStr">
        <is>
          <t>Bloqueante</t>
        </is>
      </c>
      <c r="E240" s="22" t="inlineStr">
        <is>
          <t>Filtro de aire F-2 saturado, capilar de purga obstruido, o pérdida general de vacío</t>
        </is>
      </c>
      <c r="F240" s="20" t="n">
        <v>2</v>
      </c>
      <c r="G240" s="26" t="inlineStr">
        <is>
          <t>6.3.1</t>
        </is>
      </c>
      <c r="H240" s="22" t="inlineStr">
        <is>
          <t>Estado del eliminador de hidrocarburos (HC Cutter)</t>
        </is>
      </c>
      <c r="I240" s="22" t="inlineStr">
        <is>
          <t>Reemplazar el filtro de 0,3 µm y verificar que el capilar de purga esté libre</t>
        </is>
      </c>
      <c r="J240" s="20">
        <f>IFERROR(INDEX('APSA-370 (SO2)'!$U$9:$U$104,MATCH($B240,'APSA-370 (SO2)'!$A$9:$A$104,0)),"")</f>
        <v/>
      </c>
      <c r="K240" s="20">
        <f>IF(OR($J240="No conforme",$J240="Requiere reemplazo"),"SÍ — verificar destino","")</f>
        <v/>
      </c>
    </row>
    <row r="241" ht="36" customHeight="1">
      <c r="A241" s="20" t="inlineStr">
        <is>
          <t>APSA-370 (SO2)</t>
        </is>
      </c>
      <c r="B241" s="26" t="inlineStr">
        <is>
          <t>5.2.1</t>
        </is>
      </c>
      <c r="C241" s="22" t="inlineStr">
        <is>
          <t>Caudal de purga del HC Cutter</t>
        </is>
      </c>
      <c r="D241" s="24" t="inlineStr">
        <is>
          <t>Bloqueante</t>
        </is>
      </c>
      <c r="E241" s="22" t="inlineStr">
        <is>
          <t>Filtro de aire F-2 saturado, capilar de purga obstruido, o pérdida general de vacío</t>
        </is>
      </c>
      <c r="F241" s="20" t="n">
        <v>3</v>
      </c>
      <c r="G241" s="26" t="inlineStr">
        <is>
          <t>5.1.2</t>
        </is>
      </c>
      <c r="H241" s="22" t="inlineStr">
        <is>
          <t>Presión de succión de la bomba (PUMP)</t>
        </is>
      </c>
      <c r="I241" s="22" t="inlineStr">
        <is>
          <t>Reemplazar el filtro de 0,3 µm y verificar que el capilar de purga esté libre</t>
        </is>
      </c>
      <c r="J241" s="20">
        <f>IFERROR(INDEX('APSA-370 (SO2)'!$U$9:$U$104,MATCH($B241,'APSA-370 (SO2)'!$A$9:$A$104,0)),"")</f>
        <v/>
      </c>
      <c r="K241" s="20">
        <f>IF(OR($J241="No conforme",$J241="Requiere reemplazo"),"SÍ — verificar destino","")</f>
        <v/>
      </c>
    </row>
    <row r="242" ht="36" customHeight="1">
      <c r="A242" s="20" t="inlineStr">
        <is>
          <t>APSA-370 (SO2)</t>
        </is>
      </c>
      <c r="B242" s="26" t="inlineStr">
        <is>
          <t>5.3.1</t>
        </is>
      </c>
      <c r="C242" s="22" t="inlineStr">
        <is>
          <t>Operación de la solenoide de cero (SV3)</t>
        </is>
      </c>
      <c r="D242" s="24" t="inlineStr">
        <is>
          <t>Bloqueante</t>
        </is>
      </c>
      <c r="E242" s="22" t="inlineStr">
        <is>
          <t>Bobina quemada, vástago atascado, o fuga interna</t>
        </is>
      </c>
      <c r="F242" s="20" t="n">
        <v>1</v>
      </c>
      <c r="G242" s="26" t="inlineStr">
        <is>
          <t>3.1.1</t>
        </is>
      </c>
      <c r="H242" s="22" t="inlineStr">
        <is>
          <t>Coeficiente de calibración de cero (ZERO ADJUST)</t>
        </is>
      </c>
      <c r="I242" s="22" t="inlineStr">
        <is>
          <t>Reemplazar la electroválvula y repetir la calibración de cero</t>
        </is>
      </c>
      <c r="J242" s="20">
        <f>IFERROR(INDEX('APSA-370 (SO2)'!$U$9:$U$104,MATCH($B242,'APSA-370 (SO2)'!$A$9:$A$104,0)),"")</f>
        <v/>
      </c>
      <c r="K242" s="20">
        <f>IF(OR($J242="No conforme",$J242="Requiere reemplazo"),"SÍ — verificar destino","")</f>
        <v/>
      </c>
    </row>
    <row r="243" ht="36" customHeight="1">
      <c r="A243" s="20" t="inlineStr">
        <is>
          <t>APSA-370 (SO2)</t>
        </is>
      </c>
      <c r="B243" s="26" t="inlineStr">
        <is>
          <t>5.3.1</t>
        </is>
      </c>
      <c r="C243" s="22" t="inlineStr">
        <is>
          <t>Operación de la solenoide de cero (SV3)</t>
        </is>
      </c>
      <c r="D243" s="24" t="inlineStr">
        <is>
          <t>Bloqueante</t>
        </is>
      </c>
      <c r="E243" s="22" t="inlineStr">
        <is>
          <t>Bobina quemada, vástago atascado, o fuga interna</t>
        </is>
      </c>
      <c r="F243" s="20" t="n">
        <v>2</v>
      </c>
      <c r="G243" s="26" t="inlineStr">
        <is>
          <t>9.4.1</t>
        </is>
      </c>
      <c r="H243" s="22" t="inlineStr">
        <is>
          <t>Tensión de suministro de CC de 24 V</t>
        </is>
      </c>
      <c r="I243" s="22" t="inlineStr">
        <is>
          <t>Reemplazar la electroválvula y repetir la calibración de cero</t>
        </is>
      </c>
      <c r="J243" s="20">
        <f>IFERROR(INDEX('APSA-370 (SO2)'!$U$9:$U$104,MATCH($B243,'APSA-370 (SO2)'!$A$9:$A$104,0)),"")</f>
        <v/>
      </c>
      <c r="K243" s="20">
        <f>IF(OR($J243="No conforme",$J243="Requiere reemplazo"),"SÍ — verificar destino","")</f>
        <v/>
      </c>
    </row>
    <row r="244" ht="36" customHeight="1">
      <c r="A244" s="20" t="inlineStr">
        <is>
          <t>APSA-370 (SO2)</t>
        </is>
      </c>
      <c r="B244" s="26" t="inlineStr">
        <is>
          <t>5.3.2</t>
        </is>
      </c>
      <c r="C244" s="22" t="inlineStr">
        <is>
          <t>Operación de la solenoide de span (SV7)</t>
        </is>
      </c>
      <c r="D244" s="24" t="inlineStr">
        <is>
          <t>Bloqueante</t>
        </is>
      </c>
      <c r="E244" s="22" t="inlineStr">
        <is>
          <t>Bobina quemada, vástago atascado, o fuga interna</t>
        </is>
      </c>
      <c r="F244" s="20" t="n">
        <v>1</v>
      </c>
      <c r="G244" s="26" t="inlineStr">
        <is>
          <t>3.1.2</t>
        </is>
      </c>
      <c r="H244" s="22" t="inlineStr">
        <is>
          <t>Coeficiente de calibración de span (SPAN ADJUST)</t>
        </is>
      </c>
      <c r="I244" s="22" t="inlineStr">
        <is>
          <t>Reemplazar la electroválvula y repetir la calibración de span</t>
        </is>
      </c>
      <c r="J244" s="20">
        <f>IFERROR(INDEX('APSA-370 (SO2)'!$U$9:$U$104,MATCH($B244,'APSA-370 (SO2)'!$A$9:$A$104,0)),"")</f>
        <v/>
      </c>
      <c r="K244" s="20">
        <f>IF(OR($J244="No conforme",$J244="Requiere reemplazo"),"SÍ — verificar destino","")</f>
        <v/>
      </c>
    </row>
    <row r="245" ht="36" customHeight="1">
      <c r="A245" s="20" t="inlineStr">
        <is>
          <t>APSA-370 (SO2)</t>
        </is>
      </c>
      <c r="B245" s="26" t="inlineStr">
        <is>
          <t>5.3.2</t>
        </is>
      </c>
      <c r="C245" s="22" t="inlineStr">
        <is>
          <t>Operación de la solenoide de span (SV7)</t>
        </is>
      </c>
      <c r="D245" s="24" t="inlineStr">
        <is>
          <t>Bloqueante</t>
        </is>
      </c>
      <c r="E245" s="22" t="inlineStr">
        <is>
          <t>Bobina quemada, vástago atascado, o fuga interna</t>
        </is>
      </c>
      <c r="F245" s="20" t="n">
        <v>2</v>
      </c>
      <c r="G245" s="26" t="inlineStr">
        <is>
          <t>9.4.1</t>
        </is>
      </c>
      <c r="H245" s="22" t="inlineStr">
        <is>
          <t>Tensión de suministro de CC de 24 V</t>
        </is>
      </c>
      <c r="I245" s="22" t="inlineStr">
        <is>
          <t>Reemplazar la electroválvula y repetir la calibración de span</t>
        </is>
      </c>
      <c r="J245" s="20">
        <f>IFERROR(INDEX('APSA-370 (SO2)'!$U$9:$U$104,MATCH($B245,'APSA-370 (SO2)'!$A$9:$A$104,0)),"")</f>
        <v/>
      </c>
      <c r="K245" s="20">
        <f>IF(OR($J245="No conforme",$J245="Requiere reemplazo"),"SÍ — verificar destino","")</f>
        <v/>
      </c>
    </row>
    <row r="246" ht="36" customHeight="1">
      <c r="A246" s="20" t="inlineStr">
        <is>
          <t>APSA-370 (SO2)</t>
        </is>
      </c>
      <c r="B246" s="26" t="inlineStr">
        <is>
          <t>5.3.3</t>
        </is>
      </c>
      <c r="C246" s="22" t="inlineStr">
        <is>
          <t>Operación de la solenoide de selección MEAS-CAL (SV8)</t>
        </is>
      </c>
      <c r="D246" s="24" t="inlineStr">
        <is>
          <t>Bloqueante</t>
        </is>
      </c>
      <c r="E246" s="22" t="inlineStr">
        <is>
          <t>Conmutación lenta o incompleta entre línea de campo y línea de calibración</t>
        </is>
      </c>
      <c r="F246" s="20" t="n">
        <v>1</v>
      </c>
      <c r="G246" s="26" t="inlineStr">
        <is>
          <t>3.1.1</t>
        </is>
      </c>
      <c r="H246" s="22" t="inlineStr">
        <is>
          <t>Coeficiente de calibración de cero (ZERO ADJUST)</t>
        </is>
      </c>
      <c r="I246" s="22" t="inlineStr">
        <is>
          <t>Reemplazar la electroválvula; una conmutación incompleta mezcla muestra y patrón</t>
        </is>
      </c>
      <c r="J246" s="20">
        <f>IFERROR(INDEX('APSA-370 (SO2)'!$U$9:$U$104,MATCH($B246,'APSA-370 (SO2)'!$A$9:$A$104,0)),"")</f>
        <v/>
      </c>
      <c r="K246" s="20">
        <f>IF(OR($J246="No conforme",$J246="Requiere reemplazo"),"SÍ — verificar destino","")</f>
        <v/>
      </c>
    </row>
    <row r="247" ht="36" customHeight="1">
      <c r="A247" s="20" t="inlineStr">
        <is>
          <t>APSA-370 (SO2)</t>
        </is>
      </c>
      <c r="B247" s="26" t="inlineStr">
        <is>
          <t>5.3.3</t>
        </is>
      </c>
      <c r="C247" s="22" t="inlineStr">
        <is>
          <t>Operación de la solenoide de selección MEAS-CAL (SV8)</t>
        </is>
      </c>
      <c r="D247" s="24" t="inlineStr">
        <is>
          <t>Bloqueante</t>
        </is>
      </c>
      <c r="E247" s="22" t="inlineStr">
        <is>
          <t>Conmutación lenta o incompleta entre línea de campo y línea de calibración</t>
        </is>
      </c>
      <c r="F247" s="20" t="n">
        <v>2</v>
      </c>
      <c r="G247" s="26" t="inlineStr">
        <is>
          <t>9.4.1</t>
        </is>
      </c>
      <c r="H247" s="22" t="inlineStr">
        <is>
          <t>Tensión de suministro de CC de 24 V</t>
        </is>
      </c>
      <c r="I247" s="22" t="inlineStr">
        <is>
          <t>Reemplazar la electroválvula; una conmutación incompleta mezcla muestra y patrón</t>
        </is>
      </c>
      <c r="J247" s="20">
        <f>IFERROR(INDEX('APSA-370 (SO2)'!$U$9:$U$104,MATCH($B247,'APSA-370 (SO2)'!$A$9:$A$104,0)),"")</f>
        <v/>
      </c>
      <c r="K247" s="20">
        <f>IF(OR($J247="No conforme",$J247="Requiere reemplazo"),"SÍ — verificar destino","")</f>
        <v/>
      </c>
    </row>
    <row r="248" ht="36" customHeight="1">
      <c r="A248" s="20" t="inlineStr">
        <is>
          <t>APSA-370 (SO2)</t>
        </is>
      </c>
      <c r="B248" s="26" t="inlineStr">
        <is>
          <t>5.4.1</t>
        </is>
      </c>
      <c r="C248" s="22" t="inlineStr">
        <is>
          <t>Caudal de gases de escape (Exhaust Flow)</t>
        </is>
      </c>
      <c r="D248" s="23" t="inlineStr">
        <is>
          <t>Alerta</t>
        </is>
      </c>
      <c r="E248" s="22" t="inlineStr">
        <is>
          <t>Contrapresión en la línea de escape o restricción aguas abajo</t>
        </is>
      </c>
      <c r="F248" s="20" t="n">
        <v>1</v>
      </c>
      <c r="G248" s="26" t="inlineStr">
        <is>
          <t>5.4.2</t>
        </is>
      </c>
      <c r="H248" s="22" t="inlineStr">
        <is>
          <t>Presión de descarga del gas de escape</t>
        </is>
      </c>
      <c r="I248" s="22" t="inlineStr">
        <is>
          <t>Liberar la línea de escape y verificar que descargue a un punto seguro sin restricción</t>
        </is>
      </c>
      <c r="J248" s="20">
        <f>IFERROR(INDEX('APSA-370 (SO2)'!$U$9:$U$104,MATCH($B248,'APSA-370 (SO2)'!$A$9:$A$104,0)),"")</f>
        <v/>
      </c>
      <c r="K248" s="20">
        <f>IF(OR($J248="No conforme",$J248="Requiere reemplazo"),"SÍ — verificar destino","")</f>
        <v/>
      </c>
    </row>
    <row r="249" ht="36" customHeight="1">
      <c r="A249" s="20" t="inlineStr">
        <is>
          <t>APSA-370 (SO2)</t>
        </is>
      </c>
      <c r="B249" s="26" t="inlineStr">
        <is>
          <t>5.4.1</t>
        </is>
      </c>
      <c r="C249" s="22" t="inlineStr">
        <is>
          <t>Caudal de gases de escape (Exhaust Flow)</t>
        </is>
      </c>
      <c r="D249" s="23" t="inlineStr">
        <is>
          <t>Alerta</t>
        </is>
      </c>
      <c r="E249" s="22" t="inlineStr">
        <is>
          <t>Contrapresión en la línea de escape o restricción aguas abajo</t>
        </is>
      </c>
      <c r="F249" s="20" t="n">
        <v>2</v>
      </c>
      <c r="G249" s="26" t="inlineStr">
        <is>
          <t>5.1.2</t>
        </is>
      </c>
      <c r="H249" s="22" t="inlineStr">
        <is>
          <t>Presión de succión de la bomba (PUMP)</t>
        </is>
      </c>
      <c r="I249" s="22" t="inlineStr">
        <is>
          <t>Liberar la línea de escape y verificar que descargue a un punto seguro sin restricción</t>
        </is>
      </c>
      <c r="J249" s="20">
        <f>IFERROR(INDEX('APSA-370 (SO2)'!$U$9:$U$104,MATCH($B249,'APSA-370 (SO2)'!$A$9:$A$104,0)),"")</f>
        <v/>
      </c>
      <c r="K249" s="20">
        <f>IF(OR($J249="No conforme",$J249="Requiere reemplazo"),"SÍ — verificar destino","")</f>
        <v/>
      </c>
    </row>
    <row r="250" ht="36" customHeight="1">
      <c r="A250" s="20" t="inlineStr">
        <is>
          <t>APSA-370 (SO2)</t>
        </is>
      </c>
      <c r="B250" s="26" t="inlineStr">
        <is>
          <t>5.4.2</t>
        </is>
      </c>
      <c r="C250" s="22" t="inlineStr">
        <is>
          <t>Presión de descarga del gas de escape</t>
        </is>
      </c>
      <c r="D250" s="23" t="inlineStr">
        <is>
          <t>Alerta</t>
        </is>
      </c>
      <c r="E250" s="22" t="inlineStr">
        <is>
          <t>Línea de escape obstruida, demasiado larga, o descargando contra presión</t>
        </is>
      </c>
      <c r="F250" s="20" t="n">
        <v>1</v>
      </c>
      <c r="G250" s="26" t="inlineStr">
        <is>
          <t>5.4.1</t>
        </is>
      </c>
      <c r="H250" s="22" t="inlineStr">
        <is>
          <t>Caudal de gases de escape (Exhaust Flow)</t>
        </is>
      </c>
      <c r="I250" s="22" t="inlineStr">
        <is>
          <t>Acortar o redirigir la línea de escape</t>
        </is>
      </c>
      <c r="J250" s="20">
        <f>IFERROR(INDEX('APSA-370 (SO2)'!$U$9:$U$104,MATCH($B250,'APSA-370 (SO2)'!$A$9:$A$104,0)),"")</f>
        <v/>
      </c>
      <c r="K250" s="20">
        <f>IF(OR($J250="No conforme",$J250="Requiere reemplazo"),"SÍ — verificar destino","")</f>
        <v/>
      </c>
    </row>
    <row r="251" ht="36" customHeight="1">
      <c r="A251" s="20" t="inlineStr">
        <is>
          <t>APSA-370 (SO2)</t>
        </is>
      </c>
      <c r="B251" s="26" t="inlineStr">
        <is>
          <t>6.1.1</t>
        </is>
      </c>
      <c r="C251" s="22" t="inlineStr">
        <is>
          <t>Voltaje de intensidad de la lámpara de xenón (LAMP)</t>
        </is>
      </c>
      <c r="D251" s="24" t="inlineStr">
        <is>
          <t>Bloqueante</t>
        </is>
      </c>
      <c r="E251" s="22" t="inlineStr">
        <is>
          <t>Electrodos desgastados, socket corroído, u óptica sucia</t>
        </is>
      </c>
      <c r="F251" s="20" t="n">
        <v>1</v>
      </c>
      <c r="G251" s="26" t="inlineStr">
        <is>
          <t>8.1.5</t>
        </is>
      </c>
      <c r="H251" s="22" t="inlineStr">
        <is>
          <t>Horas de uso de la lámpara de xenón (LAMP)</t>
        </is>
      </c>
      <c r="I251" s="22" t="inlineStr">
        <is>
          <t>Ajustar primero la tensión con VR2; si sigue por debajo de 200 mV, reemplazar la lámpara L4646</t>
        </is>
      </c>
      <c r="J251" s="20">
        <f>IFERROR(INDEX('APSA-370 (SO2)'!$U$9:$U$104,MATCH($B251,'APSA-370 (SO2)'!$A$9:$A$104,0)),"")</f>
        <v/>
      </c>
      <c r="K251" s="20">
        <f>IF(OR($J251="No conforme",$J251="Requiere reemplazo"),"SÍ — verificar destino","")</f>
        <v/>
      </c>
    </row>
    <row r="252" ht="36" customHeight="1">
      <c r="A252" s="20" t="inlineStr">
        <is>
          <t>APSA-370 (SO2)</t>
        </is>
      </c>
      <c r="B252" s="26" t="inlineStr">
        <is>
          <t>6.1.1</t>
        </is>
      </c>
      <c r="C252" s="22" t="inlineStr">
        <is>
          <t>Voltaje de intensidad de la lámpara de xenón (LAMP)</t>
        </is>
      </c>
      <c r="D252" s="24" t="inlineStr">
        <is>
          <t>Bloqueante</t>
        </is>
      </c>
      <c r="E252" s="22" t="inlineStr">
        <is>
          <t>Electrodos desgastados, socket corroído, u óptica sucia</t>
        </is>
      </c>
      <c r="F252" s="20" t="n">
        <v>2</v>
      </c>
      <c r="G252" s="26" t="inlineStr">
        <is>
          <t>6.1.2</t>
        </is>
      </c>
      <c r="H252" s="22" t="inlineStr">
        <is>
          <t>Contacto del socket y terminales de la lámpara</t>
        </is>
      </c>
      <c r="I252" s="22" t="inlineStr">
        <is>
          <t>Ajustar primero la tensión con VR2; si sigue por debajo de 200 mV, reemplazar la lámpara L4646</t>
        </is>
      </c>
      <c r="J252" s="20">
        <f>IFERROR(INDEX('APSA-370 (SO2)'!$U$9:$U$104,MATCH($B252,'APSA-370 (SO2)'!$A$9:$A$104,0)),"")</f>
        <v/>
      </c>
      <c r="K252" s="20">
        <f>IF(OR($J252="No conforme",$J252="Requiere reemplazo"),"SÍ — verificar destino","")</f>
        <v/>
      </c>
    </row>
    <row r="253" ht="36" customHeight="1">
      <c r="A253" s="20" t="inlineStr">
        <is>
          <t>APSA-370 (SO2)</t>
        </is>
      </c>
      <c r="B253" s="26" t="inlineStr">
        <is>
          <t>6.1.1</t>
        </is>
      </c>
      <c r="C253" s="22" t="inlineStr">
        <is>
          <t>Voltaje de intensidad de la lámpara de xenón (LAMP)</t>
        </is>
      </c>
      <c r="D253" s="24" t="inlineStr">
        <is>
          <t>Bloqueante</t>
        </is>
      </c>
      <c r="E253" s="22" t="inlineStr">
        <is>
          <t>Electrodos desgastados, socket corroído, u óptica sucia</t>
        </is>
      </c>
      <c r="F253" s="20" t="n">
        <v>3</v>
      </c>
      <c r="G253" s="26" t="inlineStr">
        <is>
          <t>6.1.3</t>
        </is>
      </c>
      <c r="H253" s="22" t="inlineStr">
        <is>
          <t>Ajuste de la tensión de alimentación de la lámpara</t>
        </is>
      </c>
      <c r="I253" s="22" t="inlineStr">
        <is>
          <t>Ajustar primero la tensión con VR2; si sigue por debajo de 200 mV, reemplazar la lámpara L4646</t>
        </is>
      </c>
      <c r="J253" s="20">
        <f>IFERROR(INDEX('APSA-370 (SO2)'!$U$9:$U$104,MATCH($B253,'APSA-370 (SO2)'!$A$9:$A$104,0)),"")</f>
        <v/>
      </c>
      <c r="K253" s="20">
        <f>IF(OR($J253="No conforme",$J253="Requiere reemplazo"),"SÍ — verificar destino","")</f>
        <v/>
      </c>
    </row>
    <row r="254" ht="36" customHeight="1">
      <c r="A254" s="20" t="inlineStr">
        <is>
          <t>APSA-370 (SO2)</t>
        </is>
      </c>
      <c r="B254" s="26" t="inlineStr">
        <is>
          <t>6.1.1</t>
        </is>
      </c>
      <c r="C254" s="22" t="inlineStr">
        <is>
          <t>Voltaje de intensidad de la lámpara de xenón (LAMP)</t>
        </is>
      </c>
      <c r="D254" s="24" t="inlineStr">
        <is>
          <t>Bloqueante</t>
        </is>
      </c>
      <c r="E254" s="22" t="inlineStr">
        <is>
          <t>Electrodos desgastados, socket corroído, u óptica sucia</t>
        </is>
      </c>
      <c r="F254" s="20" t="n">
        <v>4</v>
      </c>
      <c r="G254" s="26" t="inlineStr">
        <is>
          <t>6.2.4</t>
        </is>
      </c>
      <c r="H254" s="22" t="inlineStr">
        <is>
          <t>Estado de los lentes de la cámara de medición</t>
        </is>
      </c>
      <c r="I254" s="22" t="inlineStr">
        <is>
          <t>Ajustar primero la tensión con VR2; si sigue por debajo de 200 mV, reemplazar la lámpara L4646</t>
        </is>
      </c>
      <c r="J254" s="20">
        <f>IFERROR(INDEX('APSA-370 (SO2)'!$U$9:$U$104,MATCH($B254,'APSA-370 (SO2)'!$A$9:$A$104,0)),"")</f>
        <v/>
      </c>
      <c r="K254" s="20">
        <f>IF(OR($J254="No conforme",$J254="Requiere reemplazo"),"SÍ — verificar destino","")</f>
        <v/>
      </c>
    </row>
    <row r="255" ht="36" customHeight="1">
      <c r="A255" s="20" t="inlineStr">
        <is>
          <t>APSA-370 (SO2)</t>
        </is>
      </c>
      <c r="B255" s="26" t="inlineStr">
        <is>
          <t>6.1.1</t>
        </is>
      </c>
      <c r="C255" s="22" t="inlineStr">
        <is>
          <t>Voltaje de intensidad de la lámpara de xenón (LAMP)</t>
        </is>
      </c>
      <c r="D255" s="24" t="inlineStr">
        <is>
          <t>Bloqueante</t>
        </is>
      </c>
      <c r="E255" s="22" t="inlineStr">
        <is>
          <t>Electrodos desgastados, socket corroído, u óptica sucia</t>
        </is>
      </c>
      <c r="F255" s="20" t="n">
        <v>5</v>
      </c>
      <c r="G255" s="26" t="inlineStr">
        <is>
          <t>6.2.1</t>
        </is>
      </c>
      <c r="H255" s="22" t="inlineStr">
        <is>
          <t>Integridad del espejo del detector y su holder</t>
        </is>
      </c>
      <c r="I255" s="22" t="inlineStr">
        <is>
          <t>Ajustar primero la tensión con VR2; si sigue por debajo de 200 mV, reemplazar la lámpara L4646</t>
        </is>
      </c>
      <c r="J255" s="20">
        <f>IFERROR(INDEX('APSA-370 (SO2)'!$U$9:$U$104,MATCH($B255,'APSA-370 (SO2)'!$A$9:$A$104,0)),"")</f>
        <v/>
      </c>
      <c r="K255" s="20">
        <f>IF(OR($J255="No conforme",$J255="Requiere reemplazo"),"SÍ — verificar destino","")</f>
        <v/>
      </c>
    </row>
    <row r="256" ht="36" customHeight="1">
      <c r="A256" s="20" t="inlineStr">
        <is>
          <t>APSA-370 (SO2)</t>
        </is>
      </c>
      <c r="B256" s="26" t="inlineStr">
        <is>
          <t>6.1.2</t>
        </is>
      </c>
      <c r="C256" s="22" t="inlineStr">
        <is>
          <t>Contacto del socket y terminales de la lámpara</t>
        </is>
      </c>
      <c r="D256" s="25" t="inlineStr">
        <is>
          <t>Cobrable</t>
        </is>
      </c>
      <c r="E256" s="22" t="inlineStr">
        <is>
          <t>Hollín u oxidación en los pines por arcos de alta tensión</t>
        </is>
      </c>
      <c r="F256" s="20" t="n">
        <v>1</v>
      </c>
      <c r="G256" s="26" t="inlineStr">
        <is>
          <t>6.1.1</t>
        </is>
      </c>
      <c r="H256" s="22" t="inlineStr">
        <is>
          <t>Voltaje de intensidad de la lámpara de xenón (LAMP)</t>
        </is>
      </c>
      <c r="I256" s="22" t="inlineStr">
        <is>
          <t>Limpiar los terminales o reemplazar el cableado del socket</t>
        </is>
      </c>
      <c r="J256" s="20">
        <f>IFERROR(INDEX('APSA-370 (SO2)'!$U$9:$U$104,MATCH($B256,'APSA-370 (SO2)'!$A$9:$A$104,0)),"")</f>
        <v/>
      </c>
      <c r="K256" s="20">
        <f>IF(OR($J256="No conforme",$J256="Requiere reemplazo"),"SÍ — verificar destino","")</f>
        <v/>
      </c>
    </row>
    <row r="257" ht="36" customHeight="1">
      <c r="A257" s="20" t="inlineStr">
        <is>
          <t>APSA-370 (SO2)</t>
        </is>
      </c>
      <c r="B257" s="26" t="inlineStr">
        <is>
          <t>6.1.3</t>
        </is>
      </c>
      <c r="C257" s="22" t="inlineStr">
        <is>
          <t>Ajuste de la tensión de alimentación de la lámpara</t>
        </is>
      </c>
      <c r="D257" s="25" t="inlineStr">
        <is>
          <t>Cobrable</t>
        </is>
      </c>
      <c r="E257" s="22" t="inlineStr">
        <is>
          <t>Potenciómetro VR2 desajustado tras cambiar la lámpara</t>
        </is>
      </c>
      <c r="F257" s="20" t="n">
        <v>1</v>
      </c>
      <c r="G257" s="26" t="inlineStr">
        <is>
          <t>6.1.1</t>
        </is>
      </c>
      <c r="H257" s="22" t="inlineStr">
        <is>
          <t>Voltaje de intensidad de la lámpara de xenón (LAMP)</t>
        </is>
      </c>
      <c r="I257" s="22" t="inlineStr">
        <is>
          <t>Ajustar a 950 V con SW1 en EXT y volver a leer LAMP en ANALOG INPUT</t>
        </is>
      </c>
      <c r="J257" s="20">
        <f>IFERROR(INDEX('APSA-370 (SO2)'!$U$9:$U$104,MATCH($B257,'APSA-370 (SO2)'!$A$9:$A$104,0)),"")</f>
        <v/>
      </c>
      <c r="K257" s="20">
        <f>IF(OR($J257="No conforme",$J257="Requiere reemplazo"),"SÍ — verificar destino","")</f>
        <v/>
      </c>
    </row>
    <row r="258" ht="36" customHeight="1">
      <c r="A258" s="20" t="inlineStr">
        <is>
          <t>APSA-370 (SO2)</t>
        </is>
      </c>
      <c r="B258" s="26" t="inlineStr">
        <is>
          <t>6.1.4</t>
        </is>
      </c>
      <c r="C258" s="22" t="inlineStr">
        <is>
          <t>Desgaste de electrodos de la lámpara de xenón</t>
        </is>
      </c>
      <c r="D258" s="25" t="inlineStr">
        <is>
          <t>Cobrable</t>
        </is>
      </c>
      <c r="E258" s="22" t="inlineStr">
        <is>
          <t>Envejecimiento normal por horas de destello</t>
        </is>
      </c>
      <c r="F258" s="20" t="n">
        <v>1</v>
      </c>
      <c r="G258" s="26" t="inlineStr">
        <is>
          <t>8.1.5</t>
        </is>
      </c>
      <c r="H258" s="22" t="inlineStr">
        <is>
          <t>Horas de uso de la lámpara de xenón (LAMP)</t>
        </is>
      </c>
      <c r="I258" s="22" t="inlineStr">
        <is>
          <t>Reemplazar la lámpara L4646 y reajustar la tensión de alimentación</t>
        </is>
      </c>
      <c r="J258" s="20">
        <f>IFERROR(INDEX('APSA-370 (SO2)'!$U$9:$U$104,MATCH($B258,'APSA-370 (SO2)'!$A$9:$A$104,0)),"")</f>
        <v/>
      </c>
      <c r="K258" s="20">
        <f>IF(OR($J258="No conforme",$J258="Requiere reemplazo"),"SÍ — verificar destino","")</f>
        <v/>
      </c>
    </row>
    <row r="259" ht="36" customHeight="1">
      <c r="A259" s="20" t="inlineStr">
        <is>
          <t>APSA-370 (SO2)</t>
        </is>
      </c>
      <c r="B259" s="26" t="inlineStr">
        <is>
          <t>6.1.4</t>
        </is>
      </c>
      <c r="C259" s="22" t="inlineStr">
        <is>
          <t>Desgaste de electrodos de la lámpara de xenón</t>
        </is>
      </c>
      <c r="D259" s="25" t="inlineStr">
        <is>
          <t>Cobrable</t>
        </is>
      </c>
      <c r="E259" s="22" t="inlineStr">
        <is>
          <t>Envejecimiento normal por horas de destello</t>
        </is>
      </c>
      <c r="F259" s="20" t="n">
        <v>2</v>
      </c>
      <c r="G259" s="26" t="inlineStr">
        <is>
          <t>6.1.1</t>
        </is>
      </c>
      <c r="H259" s="22" t="inlineStr">
        <is>
          <t>Voltaje de intensidad de la lámpara de xenón (LAMP)</t>
        </is>
      </c>
      <c r="I259" s="22" t="inlineStr">
        <is>
          <t>Reemplazar la lámpara L4646 y reajustar la tensión de alimentación</t>
        </is>
      </c>
      <c r="J259" s="20">
        <f>IFERROR(INDEX('APSA-370 (SO2)'!$U$9:$U$104,MATCH($B259,'APSA-370 (SO2)'!$A$9:$A$104,0)),"")</f>
        <v/>
      </c>
      <c r="K259" s="20">
        <f>IF(OR($J259="No conforme",$J259="Requiere reemplazo"),"SÍ — verificar destino","")</f>
        <v/>
      </c>
    </row>
    <row r="260" ht="36" customHeight="1">
      <c r="A260" s="20" t="inlineStr">
        <is>
          <t>APSA-370 (SO2)</t>
        </is>
      </c>
      <c r="B260" s="26" t="inlineStr">
        <is>
          <t>6.2.1</t>
        </is>
      </c>
      <c r="C260" s="22" t="inlineStr">
        <is>
          <t>Integridad del espejo del detector y su holder</t>
        </is>
      </c>
      <c r="D260" s="24" t="inlineStr">
        <is>
          <t>Bloqueante</t>
        </is>
      </c>
      <c r="E260" s="22" t="inlineStr">
        <is>
          <t>Espejo despegado del holder o desalineado tras una intervención</t>
        </is>
      </c>
      <c r="F260" s="20" t="n">
        <v>1</v>
      </c>
      <c r="G260" s="26" t="inlineStr">
        <is>
          <t>6.1.1</t>
        </is>
      </c>
      <c r="H260" s="22" t="inlineStr">
        <is>
          <t>Voltaje de intensidad de la lámpara de xenón (LAMP)</t>
        </is>
      </c>
      <c r="I260" s="22" t="inlineStr">
        <is>
          <t>Reinstalar el espejo con la unidad de adhesión Miller; no forzar la alineación en campo</t>
        </is>
      </c>
      <c r="J260" s="20">
        <f>IFERROR(INDEX('APSA-370 (SO2)'!$U$9:$U$104,MATCH($B260,'APSA-370 (SO2)'!$A$9:$A$104,0)),"")</f>
        <v/>
      </c>
      <c r="K260" s="20">
        <f>IF(OR($J260="No conforme",$J260="Requiere reemplazo"),"SÍ — verificar destino","")</f>
        <v/>
      </c>
    </row>
    <row r="261" ht="36" customHeight="1">
      <c r="A261" s="20" t="inlineStr">
        <is>
          <t>APSA-370 (SO2)</t>
        </is>
      </c>
      <c r="B261" s="26" t="inlineStr">
        <is>
          <t>6.2.1</t>
        </is>
      </c>
      <c r="C261" s="22" t="inlineStr">
        <is>
          <t>Integridad del espejo del detector y su holder</t>
        </is>
      </c>
      <c r="D261" s="24" t="inlineStr">
        <is>
          <t>Bloqueante</t>
        </is>
      </c>
      <c r="E261" s="22" t="inlineStr">
        <is>
          <t>Espejo despegado del holder o desalineado tras una intervención</t>
        </is>
      </c>
      <c r="F261" s="20" t="n">
        <v>2</v>
      </c>
      <c r="G261" s="26" t="inlineStr">
        <is>
          <t>6.2.6</t>
        </is>
      </c>
      <c r="H261" s="22" t="inlineStr">
        <is>
          <t>Tubo fotomultiplicador (PMT)</t>
        </is>
      </c>
      <c r="I261" s="22" t="inlineStr">
        <is>
          <t>Reinstalar el espejo con la unidad de adhesión Miller; no forzar la alineación en campo</t>
        </is>
      </c>
      <c r="J261" s="20">
        <f>IFERROR(INDEX('APSA-370 (SO2)'!$U$9:$U$104,MATCH($B261,'APSA-370 (SO2)'!$A$9:$A$104,0)),"")</f>
        <v/>
      </c>
      <c r="K261" s="20">
        <f>IF(OR($J261="No conforme",$J261="Requiere reemplazo"),"SÍ — verificar destino","")</f>
        <v/>
      </c>
    </row>
    <row r="262" ht="24" customHeight="1">
      <c r="A262" s="20" t="inlineStr">
        <is>
          <t>APSA-370 (SO2)</t>
        </is>
      </c>
      <c r="B262" s="26" t="inlineStr">
        <is>
          <t>6.2.2</t>
        </is>
      </c>
      <c r="C262" s="22" t="inlineStr">
        <is>
          <t>Filtro óptico de color HA-50 (lente de emisión)</t>
        </is>
      </c>
      <c r="D262" s="25" t="inlineStr">
        <is>
          <t>Cobrable</t>
        </is>
      </c>
      <c r="E262" s="22" t="inlineStr">
        <is>
          <t>Filtro manchado, rayado o desportillado</t>
        </is>
      </c>
      <c r="F262" s="20" t="n">
        <v>1</v>
      </c>
      <c r="G262" s="26" t="inlineStr">
        <is>
          <t>6.1.1</t>
        </is>
      </c>
      <c r="H262" s="22" t="inlineStr">
        <is>
          <t>Voltaje de intensidad de la lámpara de xenón (LAMP)</t>
        </is>
      </c>
      <c r="I262" s="22" t="inlineStr">
        <is>
          <t>Reemplazar el filtro HA-50 y recalibrar cero y span</t>
        </is>
      </c>
      <c r="J262" s="20">
        <f>IFERROR(INDEX('APSA-370 (SO2)'!$U$9:$U$104,MATCH($B262,'APSA-370 (SO2)'!$A$9:$A$104,0)),"")</f>
        <v/>
      </c>
      <c r="K262" s="20">
        <f>IF(OR($J262="No conforme",$J262="Requiere reemplazo"),"SÍ — verificar destino","")</f>
        <v/>
      </c>
    </row>
    <row r="263" ht="24" customHeight="1">
      <c r="A263" s="20" t="inlineStr">
        <is>
          <t>APSA-370 (SO2)</t>
        </is>
      </c>
      <c r="B263" s="26" t="inlineStr">
        <is>
          <t>6.2.2</t>
        </is>
      </c>
      <c r="C263" s="22" t="inlineStr">
        <is>
          <t>Filtro óptico de color HA-50 (lente de emisión)</t>
        </is>
      </c>
      <c r="D263" s="25" t="inlineStr">
        <is>
          <t>Cobrable</t>
        </is>
      </c>
      <c r="E263" s="22" t="inlineStr">
        <is>
          <t>Filtro manchado, rayado o desportillado</t>
        </is>
      </c>
      <c r="F263" s="20" t="n">
        <v>2</v>
      </c>
      <c r="G263" s="26" t="inlineStr">
        <is>
          <t>6.2.4</t>
        </is>
      </c>
      <c r="H263" s="22" t="inlineStr">
        <is>
          <t>Estado de los lentes de la cámara de medición</t>
        </is>
      </c>
      <c r="I263" s="22" t="inlineStr">
        <is>
          <t>Reemplazar el filtro HA-50 y recalibrar cero y span</t>
        </is>
      </c>
      <c r="J263" s="20">
        <f>IFERROR(INDEX('APSA-370 (SO2)'!$U$9:$U$104,MATCH($B263,'APSA-370 (SO2)'!$A$9:$A$104,0)),"")</f>
        <v/>
      </c>
      <c r="K263" s="20">
        <f>IF(OR($J263="No conforme",$J263="Requiere reemplazo"),"SÍ — verificar destino","")</f>
        <v/>
      </c>
    </row>
    <row r="264" ht="24" customHeight="1">
      <c r="A264" s="20" t="inlineStr">
        <is>
          <t>APSA-370 (SO2)</t>
        </is>
      </c>
      <c r="B264" s="26" t="inlineStr">
        <is>
          <t>6.2.3</t>
        </is>
      </c>
      <c r="C264" s="22" t="inlineStr">
        <is>
          <t>Filtro óptico UV U-330 (lente de excitación)</t>
        </is>
      </c>
      <c r="D264" s="25" t="inlineStr">
        <is>
          <t>Cobrable</t>
        </is>
      </c>
      <c r="E264" s="22" t="inlineStr">
        <is>
          <t>Filtro opaco o degradado por la radiación UV</t>
        </is>
      </c>
      <c r="F264" s="20" t="n">
        <v>1</v>
      </c>
      <c r="G264" s="26" t="inlineStr">
        <is>
          <t>6.1.1</t>
        </is>
      </c>
      <c r="H264" s="22" t="inlineStr">
        <is>
          <t>Voltaje de intensidad de la lámpara de xenón (LAMP)</t>
        </is>
      </c>
      <c r="I264" s="22" t="inlineStr">
        <is>
          <t>Reemplazar el filtro U-330 y recalibrar cero y span</t>
        </is>
      </c>
      <c r="J264" s="20">
        <f>IFERROR(INDEX('APSA-370 (SO2)'!$U$9:$U$104,MATCH($B264,'APSA-370 (SO2)'!$A$9:$A$104,0)),"")</f>
        <v/>
      </c>
      <c r="K264" s="20">
        <f>IF(OR($J264="No conforme",$J264="Requiere reemplazo"),"SÍ — verificar destino","")</f>
        <v/>
      </c>
    </row>
    <row r="265" ht="36" customHeight="1">
      <c r="A265" s="20" t="inlineStr">
        <is>
          <t>APSA-370 (SO2)</t>
        </is>
      </c>
      <c r="B265" s="26" t="inlineStr">
        <is>
          <t>6.2.4</t>
        </is>
      </c>
      <c r="C265" s="22" t="inlineStr">
        <is>
          <t>Estado de los lentes de la cámara de medición</t>
        </is>
      </c>
      <c r="D265" s="25" t="inlineStr">
        <is>
          <t>Cobrable</t>
        </is>
      </c>
      <c r="E265" s="22" t="inlineStr">
        <is>
          <t>Condensación o depósitos por humedad en la línea de muestra</t>
        </is>
      </c>
      <c r="F265" s="20" t="n">
        <v>1</v>
      </c>
      <c r="G265" s="26" t="inlineStr">
        <is>
          <t>4.1.3</t>
        </is>
      </c>
      <c r="H265" s="22" t="inlineStr">
        <is>
          <t>Humedad en el portafiltros</t>
        </is>
      </c>
      <c r="I265" s="22" t="inlineStr">
        <is>
          <t>Secar y limpiar los lentes, y eliminar el origen de la humedad antes de recalibrar</t>
        </is>
      </c>
      <c r="J265" s="20">
        <f>IFERROR(INDEX('APSA-370 (SO2)'!$U$9:$U$104,MATCH($B265,'APSA-370 (SO2)'!$A$9:$A$104,0)),"")</f>
        <v/>
      </c>
      <c r="K265" s="20">
        <f>IF(OR($J265="No conforme",$J265="Requiere reemplazo"),"SÍ — verificar destino","")</f>
        <v/>
      </c>
    </row>
    <row r="266" ht="36" customHeight="1">
      <c r="A266" s="20" t="inlineStr">
        <is>
          <t>APSA-370 (SO2)</t>
        </is>
      </c>
      <c r="B266" s="26" t="inlineStr">
        <is>
          <t>6.2.4</t>
        </is>
      </c>
      <c r="C266" s="22" t="inlineStr">
        <is>
          <t>Estado de los lentes de la cámara de medición</t>
        </is>
      </c>
      <c r="D266" s="25" t="inlineStr">
        <is>
          <t>Cobrable</t>
        </is>
      </c>
      <c r="E266" s="22" t="inlineStr">
        <is>
          <t>Condensación o depósitos por humedad en la línea de muestra</t>
        </is>
      </c>
      <c r="F266" s="20" t="n">
        <v>2</v>
      </c>
      <c r="G266" s="26" t="inlineStr">
        <is>
          <t>9.1.1</t>
        </is>
      </c>
      <c r="H266" s="22" t="inlineStr">
        <is>
          <t>Temperatura de la celda (CELL)</t>
        </is>
      </c>
      <c r="I266" s="22" t="inlineStr">
        <is>
          <t>Secar y limpiar los lentes, y eliminar el origen de la humedad antes de recalibrar</t>
        </is>
      </c>
      <c r="J266" s="20">
        <f>IFERROR(INDEX('APSA-370 (SO2)'!$U$9:$U$104,MATCH($B266,'APSA-370 (SO2)'!$A$9:$A$104,0)),"")</f>
        <v/>
      </c>
      <c r="K266" s="20">
        <f>IF(OR($J266="No conforme",$J266="Requiere reemplazo"),"SÍ — verificar destino","")</f>
        <v/>
      </c>
    </row>
    <row r="267" ht="36" customHeight="1">
      <c r="A267" s="20" t="inlineStr">
        <is>
          <t>APSA-370 (SO2)</t>
        </is>
      </c>
      <c r="B267" s="26" t="inlineStr">
        <is>
          <t>6.2.4</t>
        </is>
      </c>
      <c r="C267" s="22" t="inlineStr">
        <is>
          <t>Estado de los lentes de la cámara de medición</t>
        </is>
      </c>
      <c r="D267" s="25" t="inlineStr">
        <is>
          <t>Cobrable</t>
        </is>
      </c>
      <c r="E267" s="22" t="inlineStr">
        <is>
          <t>Condensación o depósitos por humedad en la línea de muestra</t>
        </is>
      </c>
      <c r="F267" s="20" t="n">
        <v>3</v>
      </c>
      <c r="G267" s="26" t="inlineStr">
        <is>
          <t>6.1.1</t>
        </is>
      </c>
      <c r="H267" s="22" t="inlineStr">
        <is>
          <t>Voltaje de intensidad de la lámpara de xenón (LAMP)</t>
        </is>
      </c>
      <c r="I267" s="22" t="inlineStr">
        <is>
          <t>Secar y limpiar los lentes, y eliminar el origen de la humedad antes de recalibrar</t>
        </is>
      </c>
      <c r="J267" s="20">
        <f>IFERROR(INDEX('APSA-370 (SO2)'!$U$9:$U$104,MATCH($B267,'APSA-370 (SO2)'!$A$9:$A$104,0)),"")</f>
        <v/>
      </c>
      <c r="K267" s="20">
        <f>IF(OR($J267="No conforme",$J267="Requiere reemplazo"),"SÍ — verificar destino","")</f>
        <v/>
      </c>
    </row>
    <row r="268" ht="24" customHeight="1">
      <c r="A268" s="20" t="inlineStr">
        <is>
          <t>APSA-370 (SO2)</t>
        </is>
      </c>
      <c r="B268" s="26" t="inlineStr">
        <is>
          <t>6.2.5</t>
        </is>
      </c>
      <c r="C268" s="22" t="inlineStr">
        <is>
          <t>Acumulación de polvo en la cámara de reacción</t>
        </is>
      </c>
      <c r="D268" s="25" t="inlineStr">
        <is>
          <t>Cobrable</t>
        </is>
      </c>
      <c r="E268" s="22" t="inlineStr">
        <is>
          <t>Ingreso de partículas por filtro colmatado o ausente</t>
        </is>
      </c>
      <c r="F268" s="20" t="n">
        <v>1</v>
      </c>
      <c r="G268" s="26" t="inlineStr">
        <is>
          <t>4.1.1</t>
        </is>
      </c>
      <c r="H268" s="22" t="inlineStr">
        <is>
          <t>Estado del elemento filtrante PA-10L</t>
        </is>
      </c>
      <c r="I268" s="22" t="inlineStr">
        <is>
          <t>Limpiar la cámara y corregir la filtración aguas arriba</t>
        </is>
      </c>
      <c r="J268" s="20">
        <f>IFERROR(INDEX('APSA-370 (SO2)'!$U$9:$U$104,MATCH($B268,'APSA-370 (SO2)'!$A$9:$A$104,0)),"")</f>
        <v/>
      </c>
      <c r="K268" s="20">
        <f>IF(OR($J268="No conforme",$J268="Requiere reemplazo"),"SÍ — verificar destino","")</f>
        <v/>
      </c>
    </row>
    <row r="269" ht="24" customHeight="1">
      <c r="A269" s="20" t="inlineStr">
        <is>
          <t>APSA-370 (SO2)</t>
        </is>
      </c>
      <c r="B269" s="26" t="inlineStr">
        <is>
          <t>6.2.5</t>
        </is>
      </c>
      <c r="C269" s="22" t="inlineStr">
        <is>
          <t>Acumulación de polvo en la cámara de reacción</t>
        </is>
      </c>
      <c r="D269" s="25" t="inlineStr">
        <is>
          <t>Cobrable</t>
        </is>
      </c>
      <c r="E269" s="22" t="inlineStr">
        <is>
          <t>Ingreso de partículas por filtro colmatado o ausente</t>
        </is>
      </c>
      <c r="F269" s="20" t="n">
        <v>2</v>
      </c>
      <c r="G269" s="26" t="inlineStr">
        <is>
          <t>6.2.4</t>
        </is>
      </c>
      <c r="H269" s="22" t="inlineStr">
        <is>
          <t>Estado de los lentes de la cámara de medición</t>
        </is>
      </c>
      <c r="I269" s="22" t="inlineStr">
        <is>
          <t>Limpiar la cámara y corregir la filtración aguas arriba</t>
        </is>
      </c>
      <c r="J269" s="20">
        <f>IFERROR(INDEX('APSA-370 (SO2)'!$U$9:$U$104,MATCH($B269,'APSA-370 (SO2)'!$A$9:$A$104,0)),"")</f>
        <v/>
      </c>
      <c r="K269" s="20">
        <f>IF(OR($J269="No conforme",$J269="Requiere reemplazo"),"SÍ — verificar destino","")</f>
        <v/>
      </c>
    </row>
    <row r="270" ht="36" customHeight="1">
      <c r="A270" s="20" t="inlineStr">
        <is>
          <t>APSA-370 (SO2)</t>
        </is>
      </c>
      <c r="B270" s="26" t="inlineStr">
        <is>
          <t>6.2.6</t>
        </is>
      </c>
      <c r="C270" s="22" t="inlineStr">
        <is>
          <t>Tubo fotomultiplicador (PMT)</t>
        </is>
      </c>
      <c r="D270" s="24" t="inlineStr">
        <is>
          <t>Bloqueante</t>
        </is>
      </c>
      <c r="E270" s="22" t="inlineStr">
        <is>
          <t>Ganancia degradada o deriva térmica anormal del detector</t>
        </is>
      </c>
      <c r="F270" s="20" t="n">
        <v>1</v>
      </c>
      <c r="G270" s="26" t="inlineStr">
        <is>
          <t>9.1.1</t>
        </is>
      </c>
      <c r="H270" s="22" t="inlineStr">
        <is>
          <t>Temperatura de la celda (CELL)</t>
        </is>
      </c>
      <c r="I270" s="22" t="inlineStr">
        <is>
          <t>Prueba cruzada con PMT y AP-PRE-13 de servicio antes de decidir el reemplazo</t>
        </is>
      </c>
      <c r="J270" s="20">
        <f>IFERROR(INDEX('APSA-370 (SO2)'!$U$9:$U$104,MATCH($B270,'APSA-370 (SO2)'!$A$9:$A$104,0)),"")</f>
        <v/>
      </c>
      <c r="K270" s="20">
        <f>IF(OR($J270="No conforme",$J270="Requiere reemplazo"),"SÍ — verificar destino","")</f>
        <v/>
      </c>
    </row>
    <row r="271" ht="36" customHeight="1">
      <c r="A271" s="20" t="inlineStr">
        <is>
          <t>APSA-370 (SO2)</t>
        </is>
      </c>
      <c r="B271" s="26" t="inlineStr">
        <is>
          <t>6.2.6</t>
        </is>
      </c>
      <c r="C271" s="22" t="inlineStr">
        <is>
          <t>Tubo fotomultiplicador (PMT)</t>
        </is>
      </c>
      <c r="D271" s="24" t="inlineStr">
        <is>
          <t>Bloqueante</t>
        </is>
      </c>
      <c r="E271" s="22" t="inlineStr">
        <is>
          <t>Ganancia degradada o deriva térmica anormal del detector</t>
        </is>
      </c>
      <c r="F271" s="20" t="n">
        <v>2</v>
      </c>
      <c r="G271" s="26" t="inlineStr">
        <is>
          <t>7.1.1</t>
        </is>
      </c>
      <c r="H271" s="22" t="inlineStr">
        <is>
          <t>Tarjeta amplificadora AP-PRE-13</t>
        </is>
      </c>
      <c r="I271" s="22" t="inlineStr">
        <is>
          <t>Prueba cruzada con PMT y AP-PRE-13 de servicio antes de decidir el reemplazo</t>
        </is>
      </c>
      <c r="J271" s="20">
        <f>IFERROR(INDEX('APSA-370 (SO2)'!$U$9:$U$104,MATCH($B271,'APSA-370 (SO2)'!$A$9:$A$104,0)),"")</f>
        <v/>
      </c>
      <c r="K271" s="20">
        <f>IF(OR($J271="No conforme",$J271="Requiere reemplazo"),"SÍ — verificar destino","")</f>
        <v/>
      </c>
    </row>
    <row r="272" ht="36" customHeight="1">
      <c r="A272" s="20" t="inlineStr">
        <is>
          <t>APSA-370 (SO2)</t>
        </is>
      </c>
      <c r="B272" s="26" t="inlineStr">
        <is>
          <t>6.2.6</t>
        </is>
      </c>
      <c r="C272" s="22" t="inlineStr">
        <is>
          <t>Tubo fotomultiplicador (PMT)</t>
        </is>
      </c>
      <c r="D272" s="24" t="inlineStr">
        <is>
          <t>Bloqueante</t>
        </is>
      </c>
      <c r="E272" s="22" t="inlineStr">
        <is>
          <t>Ganancia degradada o deriva térmica anormal del detector</t>
        </is>
      </c>
      <c r="F272" s="20" t="n">
        <v>3</v>
      </c>
      <c r="G272" s="26" t="inlineStr">
        <is>
          <t>6.1.1</t>
        </is>
      </c>
      <c r="H272" s="22" t="inlineStr">
        <is>
          <t>Voltaje de intensidad de la lámpara de xenón (LAMP)</t>
        </is>
      </c>
      <c r="I272" s="22" t="inlineStr">
        <is>
          <t>Prueba cruzada con PMT y AP-PRE-13 de servicio antes de decidir el reemplazo</t>
        </is>
      </c>
      <c r="J272" s="20">
        <f>IFERROR(INDEX('APSA-370 (SO2)'!$U$9:$U$104,MATCH($B272,'APSA-370 (SO2)'!$A$9:$A$104,0)),"")</f>
        <v/>
      </c>
      <c r="K272" s="20">
        <f>IF(OR($J272="No conforme",$J272="Requiere reemplazo"),"SÍ — verificar destino","")</f>
        <v/>
      </c>
    </row>
    <row r="273" ht="36" customHeight="1">
      <c r="A273" s="20" t="inlineStr">
        <is>
          <t>APSA-370 (SO2)</t>
        </is>
      </c>
      <c r="B273" s="26" t="inlineStr">
        <is>
          <t>6.2.7</t>
        </is>
      </c>
      <c r="C273" s="22" t="inlineStr">
        <is>
          <t>Fotodiodo de monitoreo de la lámpara UV</t>
        </is>
      </c>
      <c r="D273" s="24" t="inlineStr">
        <is>
          <t>Bloqueante</t>
        </is>
      </c>
      <c r="E273" s="22" t="inlineStr">
        <is>
          <t>Fotodiodo sin señal o con sello comprometido</t>
        </is>
      </c>
      <c r="F273" s="20" t="n">
        <v>1</v>
      </c>
      <c r="G273" s="26" t="inlineStr">
        <is>
          <t>6.1.1</t>
        </is>
      </c>
      <c r="H273" s="22" t="inlineStr">
        <is>
          <t>Voltaje de intensidad de la lámpara de xenón (LAMP)</t>
        </is>
      </c>
      <c r="I273" s="22" t="inlineStr">
        <is>
          <t>Reemplazar el fotodiodo S12698-01; sin él, el firmware no corrige la deriva de lámpara</t>
        </is>
      </c>
      <c r="J273" s="20">
        <f>IFERROR(INDEX('APSA-370 (SO2)'!$U$9:$U$104,MATCH($B273,'APSA-370 (SO2)'!$A$9:$A$104,0)),"")</f>
        <v/>
      </c>
      <c r="K273" s="20">
        <f>IF(OR($J273="No conforme",$J273="Requiere reemplazo"),"SÍ — verificar destino","")</f>
        <v/>
      </c>
    </row>
    <row r="274" ht="36" customHeight="1">
      <c r="A274" s="20" t="inlineStr">
        <is>
          <t>APSA-370 (SO2)</t>
        </is>
      </c>
      <c r="B274" s="26" t="inlineStr">
        <is>
          <t>6.2.7</t>
        </is>
      </c>
      <c r="C274" s="22" t="inlineStr">
        <is>
          <t>Fotodiodo de monitoreo de la lámpara UV</t>
        </is>
      </c>
      <c r="D274" s="24" t="inlineStr">
        <is>
          <t>Bloqueante</t>
        </is>
      </c>
      <c r="E274" s="22" t="inlineStr">
        <is>
          <t>Fotodiodo sin señal o con sello comprometido</t>
        </is>
      </c>
      <c r="F274" s="20" t="n">
        <v>2</v>
      </c>
      <c r="G274" s="26" t="inlineStr">
        <is>
          <t>7.1.1</t>
        </is>
      </c>
      <c r="H274" s="22" t="inlineStr">
        <is>
          <t>Tarjeta amplificadora AP-PRE-13</t>
        </is>
      </c>
      <c r="I274" s="22" t="inlineStr">
        <is>
          <t>Reemplazar el fotodiodo S12698-01; sin él, el firmware no corrige la deriva de lámpara</t>
        </is>
      </c>
      <c r="J274" s="20">
        <f>IFERROR(INDEX('APSA-370 (SO2)'!$U$9:$U$104,MATCH($B274,'APSA-370 (SO2)'!$A$9:$A$104,0)),"")</f>
        <v/>
      </c>
      <c r="K274" s="20">
        <f>IF(OR($J274="No conforme",$J274="Requiere reemplazo"),"SÍ — verificar destino","")</f>
        <v/>
      </c>
    </row>
    <row r="275" ht="48" customHeight="1">
      <c r="A275" s="20" t="inlineStr">
        <is>
          <t>APSA-370 (SO2)</t>
        </is>
      </c>
      <c r="B275" s="26" t="inlineStr">
        <is>
          <t>6.3.1</t>
        </is>
      </c>
      <c r="C275" s="22" t="inlineStr">
        <is>
          <t>Estado del eliminador de hidrocarburos (HC Cutter)</t>
        </is>
      </c>
      <c r="D275" s="24" t="inlineStr">
        <is>
          <t>Bloqueante</t>
        </is>
      </c>
      <c r="E275" s="22" t="inlineStr">
        <is>
          <t>Catalizador agotado, o lazo calefactor del cutter en falla</t>
        </is>
      </c>
      <c r="F275" s="20" t="n">
        <v>1</v>
      </c>
      <c r="G275" s="26" t="inlineStr">
        <is>
          <t>8.1.3</t>
        </is>
      </c>
      <c r="H275" s="22" t="inlineStr">
        <is>
          <t>Horas de uso del separador de hidrocarburos (HC Cutter)</t>
        </is>
      </c>
      <c r="I275" s="22" t="inlineStr">
        <is>
          <t>Reemplazar la unidad HC Cutter y estabilizar térmicamente entre medio día y un día antes de calibrar</t>
        </is>
      </c>
      <c r="J275" s="20">
        <f>IFERROR(INDEX('APSA-370 (SO2)'!$U$9:$U$104,MATCH($B275,'APSA-370 (SO2)'!$A$9:$A$104,0)),"")</f>
        <v/>
      </c>
      <c r="K275" s="20">
        <f>IF(OR($J275="No conforme",$J275="Requiere reemplazo"),"SÍ — verificar destino","")</f>
        <v/>
      </c>
    </row>
    <row r="276" ht="48" customHeight="1">
      <c r="A276" s="20" t="inlineStr">
        <is>
          <t>APSA-370 (SO2)</t>
        </is>
      </c>
      <c r="B276" s="26" t="inlineStr">
        <is>
          <t>6.3.1</t>
        </is>
      </c>
      <c r="C276" s="22" t="inlineStr">
        <is>
          <t>Estado del eliminador de hidrocarburos (HC Cutter)</t>
        </is>
      </c>
      <c r="D276" s="24" t="inlineStr">
        <is>
          <t>Bloqueante</t>
        </is>
      </c>
      <c r="E276" s="22" t="inlineStr">
        <is>
          <t>Catalizador agotado, o lazo calefactor del cutter en falla</t>
        </is>
      </c>
      <c r="F276" s="20" t="n">
        <v>2</v>
      </c>
      <c r="G276" s="26" t="inlineStr">
        <is>
          <t>5.2.1</t>
        </is>
      </c>
      <c r="H276" s="22" t="inlineStr">
        <is>
          <t>Caudal de purga del HC Cutter</t>
        </is>
      </c>
      <c r="I276" s="22" t="inlineStr">
        <is>
          <t>Reemplazar la unidad HC Cutter y estabilizar térmicamente entre medio día y un día antes de calibrar</t>
        </is>
      </c>
      <c r="J276" s="20">
        <f>IFERROR(INDEX('APSA-370 (SO2)'!$U$9:$U$104,MATCH($B276,'APSA-370 (SO2)'!$A$9:$A$104,0)),"")</f>
        <v/>
      </c>
      <c r="K276" s="20">
        <f>IF(OR($J276="No conforme",$J276="Requiere reemplazo"),"SÍ — verificar destino","")</f>
        <v/>
      </c>
    </row>
    <row r="277" ht="48" customHeight="1">
      <c r="A277" s="20" t="inlineStr">
        <is>
          <t>APSA-370 (SO2)</t>
        </is>
      </c>
      <c r="B277" s="26" t="inlineStr">
        <is>
          <t>6.3.1</t>
        </is>
      </c>
      <c r="C277" s="22" t="inlineStr">
        <is>
          <t>Estado del eliminador de hidrocarburos (HC Cutter)</t>
        </is>
      </c>
      <c r="D277" s="24" t="inlineStr">
        <is>
          <t>Bloqueante</t>
        </is>
      </c>
      <c r="E277" s="22" t="inlineStr">
        <is>
          <t>Catalizador agotado, o lazo calefactor del cutter en falla</t>
        </is>
      </c>
      <c r="F277" s="20" t="n">
        <v>3</v>
      </c>
      <c r="G277" s="26" t="inlineStr">
        <is>
          <t>10.4.2</t>
        </is>
      </c>
      <c r="H277" s="22" t="inlineStr">
        <is>
          <t>Calefactor de la cámara o del HC Cutter (Heater)</t>
        </is>
      </c>
      <c r="I277" s="22" t="inlineStr">
        <is>
          <t>Reemplazar la unidad HC Cutter y estabilizar térmicamente entre medio día y un día antes de calibrar</t>
        </is>
      </c>
      <c r="J277" s="20">
        <f>IFERROR(INDEX('APSA-370 (SO2)'!$U$9:$U$104,MATCH($B277,'APSA-370 (SO2)'!$A$9:$A$104,0)),"")</f>
        <v/>
      </c>
      <c r="K277" s="20">
        <f>IF(OR($J277="No conforme",$J277="Requiere reemplazo"),"SÍ — verificar destino","")</f>
        <v/>
      </c>
    </row>
    <row r="278" ht="36" customHeight="1">
      <c r="A278" s="20" t="inlineStr">
        <is>
          <t>APSA-370 (SO2)</t>
        </is>
      </c>
      <c r="B278" s="26" t="inlineStr">
        <is>
          <t>6.3.2</t>
        </is>
      </c>
      <c r="C278" s="22" t="inlineStr">
        <is>
          <t>Filtro depurador scrubber de entrada (ESU-050A)</t>
        </is>
      </c>
      <c r="D278" s="25" t="inlineStr">
        <is>
          <t>Cobrable</t>
        </is>
      </c>
      <c r="E278" s="22" t="inlineStr">
        <is>
          <t>Carbón apelmazado, canalizado o saturado: deja pasar SO2 a la referencia</t>
        </is>
      </c>
      <c r="F278" s="20" t="n">
        <v>1</v>
      </c>
      <c r="G278" s="26" t="inlineStr">
        <is>
          <t>8.1.2</t>
        </is>
      </c>
      <c r="H278" s="22" t="inlineStr">
        <is>
          <t>Horas de uso del depurador (Scrubber ESU-050A)</t>
        </is>
      </c>
      <c r="I278" s="22" t="inlineStr">
        <is>
          <t>Reemplazar el cartucho ESU-050A y recalibrar el cero</t>
        </is>
      </c>
      <c r="J278" s="20">
        <f>IFERROR(INDEX('APSA-370 (SO2)'!$U$9:$U$104,MATCH($B278,'APSA-370 (SO2)'!$A$9:$A$104,0)),"")</f>
        <v/>
      </c>
      <c r="K278" s="20">
        <f>IF(OR($J278="No conforme",$J278="Requiere reemplazo"),"SÍ — verificar destino","")</f>
        <v/>
      </c>
    </row>
    <row r="279" ht="36" customHeight="1">
      <c r="A279" s="20" t="inlineStr">
        <is>
          <t>APSA-370 (SO2)</t>
        </is>
      </c>
      <c r="B279" s="26" t="inlineStr">
        <is>
          <t>6.3.2</t>
        </is>
      </c>
      <c r="C279" s="22" t="inlineStr">
        <is>
          <t>Filtro depurador scrubber de entrada (ESU-050A)</t>
        </is>
      </c>
      <c r="D279" s="25" t="inlineStr">
        <is>
          <t>Cobrable</t>
        </is>
      </c>
      <c r="E279" s="22" t="inlineStr">
        <is>
          <t>Carbón apelmazado, canalizado o saturado: deja pasar SO2 a la referencia</t>
        </is>
      </c>
      <c r="F279" s="20" t="n">
        <v>2</v>
      </c>
      <c r="G279" s="26" t="inlineStr">
        <is>
          <t>3.1.1</t>
        </is>
      </c>
      <c r="H279" s="22" t="inlineStr">
        <is>
          <t>Coeficiente de calibración de cero (ZERO ADJUST)</t>
        </is>
      </c>
      <c r="I279" s="22" t="inlineStr">
        <is>
          <t>Reemplazar el cartucho ESU-050A y recalibrar el cero</t>
        </is>
      </c>
      <c r="J279" s="20">
        <f>IFERROR(INDEX('APSA-370 (SO2)'!$U$9:$U$104,MATCH($B279,'APSA-370 (SO2)'!$A$9:$A$104,0)),"")</f>
        <v/>
      </c>
      <c r="K279" s="20">
        <f>IF(OR($J279="No conforme",$J279="Requiere reemplazo"),"SÍ — verificar destino","")</f>
        <v/>
      </c>
    </row>
    <row r="280" ht="36" customHeight="1">
      <c r="A280" s="20" t="inlineStr">
        <is>
          <t>APSA-370 (SO2)</t>
        </is>
      </c>
      <c r="B280" s="26" t="inlineStr">
        <is>
          <t>7.1.1</t>
        </is>
      </c>
      <c r="C280" s="22" t="inlineStr">
        <is>
          <t>Tarjeta amplificadora AP-PRE-13</t>
        </is>
      </c>
      <c r="D280" s="24" t="inlineStr">
        <is>
          <t>Bloqueante</t>
        </is>
      </c>
      <c r="E280" s="22" t="inlineStr">
        <is>
          <t>Soldadura agrietada, componente recalentado, o conector oxidado</t>
        </is>
      </c>
      <c r="F280" s="20" t="n">
        <v>1</v>
      </c>
      <c r="G280" s="26" t="inlineStr">
        <is>
          <t>6.2.6</t>
        </is>
      </c>
      <c r="H280" s="22" t="inlineStr">
        <is>
          <t>Tubo fotomultiplicador (PMT)</t>
        </is>
      </c>
      <c r="I280" s="22" t="inlineStr">
        <is>
          <t>Prueba cruzada en otro chasis antes de reemplazar la tarjeta</t>
        </is>
      </c>
      <c r="J280" s="20">
        <f>IFERROR(INDEX('APSA-370 (SO2)'!$U$9:$U$104,MATCH($B280,'APSA-370 (SO2)'!$A$9:$A$104,0)),"")</f>
        <v/>
      </c>
      <c r="K280" s="20">
        <f>IF(OR($J280="No conforme",$J280="Requiere reemplazo"),"SÍ — verificar destino","")</f>
        <v/>
      </c>
    </row>
    <row r="281" ht="36" customHeight="1">
      <c r="A281" s="20" t="inlineStr">
        <is>
          <t>APSA-370 (SO2)</t>
        </is>
      </c>
      <c r="B281" s="26" t="inlineStr">
        <is>
          <t>7.1.1</t>
        </is>
      </c>
      <c r="C281" s="22" t="inlineStr">
        <is>
          <t>Tarjeta amplificadora AP-PRE-13</t>
        </is>
      </c>
      <c r="D281" s="24" t="inlineStr">
        <is>
          <t>Bloqueante</t>
        </is>
      </c>
      <c r="E281" s="22" t="inlineStr">
        <is>
          <t>Soldadura agrietada, componente recalentado, o conector oxidado</t>
        </is>
      </c>
      <c r="F281" s="20" t="n">
        <v>2</v>
      </c>
      <c r="G281" s="26" t="inlineStr">
        <is>
          <t>9.4.1</t>
        </is>
      </c>
      <c r="H281" s="22" t="inlineStr">
        <is>
          <t>Tensión de suministro de CC de 24 V</t>
        </is>
      </c>
      <c r="I281" s="22" t="inlineStr">
        <is>
          <t>Prueba cruzada en otro chasis antes de reemplazar la tarjeta</t>
        </is>
      </c>
      <c r="J281" s="20">
        <f>IFERROR(INDEX('APSA-370 (SO2)'!$U$9:$U$104,MATCH($B281,'APSA-370 (SO2)'!$A$9:$A$104,0)),"")</f>
        <v/>
      </c>
      <c r="K281" s="20">
        <f>IF(OR($J281="No conforme",$J281="Requiere reemplazo"),"SÍ — verificar destino","")</f>
        <v/>
      </c>
    </row>
    <row r="282" ht="36" customHeight="1">
      <c r="A282" s="20" t="inlineStr">
        <is>
          <t>APSA-370 (SO2)</t>
        </is>
      </c>
      <c r="B282" s="26" t="inlineStr">
        <is>
          <t>7.1.2</t>
        </is>
      </c>
      <c r="C282" s="22" t="inlineStr">
        <is>
          <t>Tarjeta controladora de bomba AP-PMP-01</t>
        </is>
      </c>
      <c r="D282" s="24" t="inlineStr">
        <is>
          <t>Bloqueante</t>
        </is>
      </c>
      <c r="E282" s="22" t="inlineStr">
        <is>
          <t>Tarjeta suelta en su conector o etapa de potencia dañada</t>
        </is>
      </c>
      <c r="F282" s="20" t="n">
        <v>1</v>
      </c>
      <c r="G282" s="26" t="inlineStr">
        <is>
          <t>5.1.2</t>
        </is>
      </c>
      <c r="H282" s="22" t="inlineStr">
        <is>
          <t>Presión de succión de la bomba (PUMP)</t>
        </is>
      </c>
      <c r="I282" s="22" t="inlineStr">
        <is>
          <t>Reasentar la tarjeta; si la bomba sigue sin alimentación estable, reemplazarla</t>
        </is>
      </c>
      <c r="J282" s="20">
        <f>IFERROR(INDEX('APSA-370 (SO2)'!$U$9:$U$104,MATCH($B282,'APSA-370 (SO2)'!$A$9:$A$104,0)),"")</f>
        <v/>
      </c>
      <c r="K282" s="20">
        <f>IF(OR($J282="No conforme",$J282="Requiere reemplazo"),"SÍ — verificar destino","")</f>
        <v/>
      </c>
    </row>
    <row r="283" ht="36" customHeight="1">
      <c r="A283" s="20" t="inlineStr">
        <is>
          <t>APSA-370 (SO2)</t>
        </is>
      </c>
      <c r="B283" s="26" t="inlineStr">
        <is>
          <t>7.1.2</t>
        </is>
      </c>
      <c r="C283" s="22" t="inlineStr">
        <is>
          <t>Tarjeta controladora de bomba AP-PMP-01</t>
        </is>
      </c>
      <c r="D283" s="24" t="inlineStr">
        <is>
          <t>Bloqueante</t>
        </is>
      </c>
      <c r="E283" s="22" t="inlineStr">
        <is>
          <t>Tarjeta suelta en su conector o etapa de potencia dañada</t>
        </is>
      </c>
      <c r="F283" s="20" t="n">
        <v>2</v>
      </c>
      <c r="G283" s="26" t="inlineStr">
        <is>
          <t>9.4.1</t>
        </is>
      </c>
      <c r="H283" s="22" t="inlineStr">
        <is>
          <t>Tensión de suministro de CC de 24 V</t>
        </is>
      </c>
      <c r="I283" s="22" t="inlineStr">
        <is>
          <t>Reasentar la tarjeta; si la bomba sigue sin alimentación estable, reemplazarla</t>
        </is>
      </c>
      <c r="J283" s="20">
        <f>IFERROR(INDEX('APSA-370 (SO2)'!$U$9:$U$104,MATCH($B283,'APSA-370 (SO2)'!$A$9:$A$104,0)),"")</f>
        <v/>
      </c>
      <c r="K283" s="20">
        <f>IF(OR($J283="No conforme",$J283="Requiere reemplazo"),"SÍ — verificar destino","")</f>
        <v/>
      </c>
    </row>
    <row r="284" ht="36" customHeight="1">
      <c r="A284" s="20" t="inlineStr">
        <is>
          <t>APSA-370 (SO2)</t>
        </is>
      </c>
      <c r="B284" s="26" t="inlineStr">
        <is>
          <t>7.1.3</t>
        </is>
      </c>
      <c r="C284" s="22" t="inlineStr">
        <is>
          <t>LED ST0 en tarjeta de relés AP-RPL-02A</t>
        </is>
      </c>
      <c r="D284" s="24" t="inlineStr">
        <is>
          <t>Bloqueante</t>
        </is>
      </c>
      <c r="E284" s="22" t="inlineStr">
        <is>
          <t>Cinta plana I2C floja o comunicación con la CPU interrumpida</t>
        </is>
      </c>
      <c r="F284" s="20" t="n">
        <v>1</v>
      </c>
      <c r="G284" s="26" t="inlineStr">
        <is>
          <t>7.1.4</t>
        </is>
      </c>
      <c r="H284" s="22" t="inlineStr">
        <is>
          <t>LED ST1 en tarjeta de relés AP-RPL-02A</t>
        </is>
      </c>
      <c r="I284" s="22" t="inlineStr">
        <is>
          <t>Reasentar la cinta I2C entre CPU y RPL, y ejecutar el memory scan si no se restablece</t>
        </is>
      </c>
      <c r="J284" s="20">
        <f>IFERROR(INDEX('APSA-370 (SO2)'!$U$9:$U$104,MATCH($B284,'APSA-370 (SO2)'!$A$9:$A$104,0)),"")</f>
        <v/>
      </c>
      <c r="K284" s="20">
        <f>IF(OR($J284="No conforme",$J284="Requiere reemplazo"),"SÍ — verificar destino","")</f>
        <v/>
      </c>
    </row>
    <row r="285" ht="36" customHeight="1">
      <c r="A285" s="20" t="inlineStr">
        <is>
          <t>APSA-370 (SO2)</t>
        </is>
      </c>
      <c r="B285" s="26" t="inlineStr">
        <is>
          <t>7.1.3</t>
        </is>
      </c>
      <c r="C285" s="22" t="inlineStr">
        <is>
          <t>LED ST0 en tarjeta de relés AP-RPL-02A</t>
        </is>
      </c>
      <c r="D285" s="24" t="inlineStr">
        <is>
          <t>Bloqueante</t>
        </is>
      </c>
      <c r="E285" s="22" t="inlineStr">
        <is>
          <t>Cinta plana I2C floja o comunicación con la CPU interrumpida</t>
        </is>
      </c>
      <c r="F285" s="20" t="n">
        <v>2</v>
      </c>
      <c r="G285" s="26" t="inlineStr">
        <is>
          <t>7.1.9</t>
        </is>
      </c>
      <c r="H285" s="22" t="inlineStr">
        <is>
          <t>LED de operación de la CPU (heartbeat)</t>
        </is>
      </c>
      <c r="I285" s="22" t="inlineStr">
        <is>
          <t>Reasentar la cinta I2C entre CPU y RPL, y ejecutar el memory scan si no se restablece</t>
        </is>
      </c>
      <c r="J285" s="20">
        <f>IFERROR(INDEX('APSA-370 (SO2)'!$U$9:$U$104,MATCH($B285,'APSA-370 (SO2)'!$A$9:$A$104,0)),"")</f>
        <v/>
      </c>
      <c r="K285" s="20">
        <f>IF(OR($J285="No conforme",$J285="Requiere reemplazo"),"SÍ — verificar destino","")</f>
        <v/>
      </c>
    </row>
    <row r="286" ht="36" customHeight="1">
      <c r="A286" s="20" t="inlineStr">
        <is>
          <t>APSA-370 (SO2)</t>
        </is>
      </c>
      <c r="B286" s="26" t="inlineStr">
        <is>
          <t>7.1.4</t>
        </is>
      </c>
      <c r="C286" s="22" t="inlineStr">
        <is>
          <t>LED ST1 en tarjeta de relés AP-RPL-02A</t>
        </is>
      </c>
      <c r="D286" s="24" t="inlineStr">
        <is>
          <t>Bloqueante</t>
        </is>
      </c>
      <c r="E286" s="22" t="inlineStr">
        <is>
          <t>Microprocesador H8 de la tarjeta de relés bloqueado</t>
        </is>
      </c>
      <c r="F286" s="20" t="n">
        <v>1</v>
      </c>
      <c r="G286" s="26" t="inlineStr">
        <is>
          <t>7.1.3</t>
        </is>
      </c>
      <c r="H286" s="22" t="inlineStr">
        <is>
          <t>LED ST0 en tarjeta de relés AP-RPL-02A</t>
        </is>
      </c>
      <c r="I286" s="22" t="inlineStr">
        <is>
          <t>Si ST1 queda fijo o apagado tras reasentar la cinta, reemplazar la tarjeta AP-RPL-02A</t>
        </is>
      </c>
      <c r="J286" s="20">
        <f>IFERROR(INDEX('APSA-370 (SO2)'!$U$9:$U$104,MATCH($B286,'APSA-370 (SO2)'!$A$9:$A$104,0)),"")</f>
        <v/>
      </c>
      <c r="K286" s="20">
        <f>IF(OR($J286="No conforme",$J286="Requiere reemplazo"),"SÍ — verificar destino","")</f>
        <v/>
      </c>
    </row>
    <row r="287" ht="36" customHeight="1">
      <c r="A287" s="20" t="inlineStr">
        <is>
          <t>APSA-370 (SO2)</t>
        </is>
      </c>
      <c r="B287" s="26" t="inlineStr">
        <is>
          <t>7.1.5</t>
        </is>
      </c>
      <c r="C287" s="22" t="inlineStr">
        <is>
          <t>LED de tensión +24 V en tarjeta ADC (AP-ADC-05)</t>
        </is>
      </c>
      <c r="D287" s="24" t="inlineStr">
        <is>
          <t>Bloqueante</t>
        </is>
      </c>
      <c r="E287" s="22" t="inlineStr">
        <is>
          <t>Falta la alimentación de 24 V en la tarjeta</t>
        </is>
      </c>
      <c r="F287" s="20" t="n">
        <v>1</v>
      </c>
      <c r="G287" s="26" t="inlineStr">
        <is>
          <t>9.4.1</t>
        </is>
      </c>
      <c r="H287" s="22" t="inlineStr">
        <is>
          <t>Tensión de suministro de CC de 24 V</t>
        </is>
      </c>
      <c r="I287" s="22" t="inlineStr">
        <is>
          <t>Seguir la rama de alimentación hasta la fuente antes de sospechar de la tarjeta</t>
        </is>
      </c>
      <c r="J287" s="20">
        <f>IFERROR(INDEX('APSA-370 (SO2)'!$U$9:$U$104,MATCH($B287,'APSA-370 (SO2)'!$A$9:$A$104,0)),"")</f>
        <v/>
      </c>
      <c r="K287" s="20">
        <f>IF(OR($J287="No conforme",$J287="Requiere reemplazo"),"SÍ — verificar destino","")</f>
        <v/>
      </c>
    </row>
    <row r="288" ht="36" customHeight="1">
      <c r="A288" s="20" t="inlineStr">
        <is>
          <t>APSA-370 (SO2)</t>
        </is>
      </c>
      <c r="B288" s="26" t="inlineStr">
        <is>
          <t>7.1.6</t>
        </is>
      </c>
      <c r="C288" s="22" t="inlineStr">
        <is>
          <t>LED de tensión +5 V en tarjeta ADC (AP-ADC-05)</t>
        </is>
      </c>
      <c r="D288" s="24" t="inlineStr">
        <is>
          <t>Bloqueante</t>
        </is>
      </c>
      <c r="E288" s="22" t="inlineStr">
        <is>
          <t>Falta la alimentación lógica de 5 V en la tarjeta</t>
        </is>
      </c>
      <c r="F288" s="20" t="n">
        <v>1</v>
      </c>
      <c r="G288" s="26" t="inlineStr">
        <is>
          <t>9.4.2</t>
        </is>
      </c>
      <c r="H288" s="22" t="inlineStr">
        <is>
          <t>Tensión de suministro de CC de 5 V</t>
        </is>
      </c>
      <c r="I288" s="22" t="inlineStr">
        <is>
          <t>Seguir la rama de alimentación hasta la fuente antes de sospechar de la tarjeta</t>
        </is>
      </c>
      <c r="J288" s="20">
        <f>IFERROR(INDEX('APSA-370 (SO2)'!$U$9:$U$104,MATCH($B288,'APSA-370 (SO2)'!$A$9:$A$104,0)),"")</f>
        <v/>
      </c>
      <c r="K288" s="20">
        <f>IF(OR($J288="No conforme",$J288="Requiere reemplazo"),"SÍ — verificar destino","")</f>
        <v/>
      </c>
    </row>
    <row r="289" ht="36" customHeight="1">
      <c r="A289" s="20" t="inlineStr">
        <is>
          <t>APSA-370 (SO2)</t>
        </is>
      </c>
      <c r="B289" s="26" t="inlineStr">
        <is>
          <t>7.1.7</t>
        </is>
      </c>
      <c r="C289" s="22" t="inlineStr">
        <is>
          <t>LED de tensión +3,3 V en tarjeta CPU</t>
        </is>
      </c>
      <c r="D289" s="24" t="inlineStr">
        <is>
          <t>Bloqueante</t>
        </is>
      </c>
      <c r="E289" s="22" t="inlineStr">
        <is>
          <t>Regulador de 3,3 V de la CPU sin salida</t>
        </is>
      </c>
      <c r="F289" s="20" t="n">
        <v>1</v>
      </c>
      <c r="G289" s="26" t="inlineStr">
        <is>
          <t>9.4.2</t>
        </is>
      </c>
      <c r="H289" s="22" t="inlineStr">
        <is>
          <t>Tensión de suministro de CC de 5 V</t>
        </is>
      </c>
      <c r="I289" s="22" t="inlineStr">
        <is>
          <t>Verificar la alimentación de entrada antes de reemplazar la CPU</t>
        </is>
      </c>
      <c r="J289" s="20">
        <f>IFERROR(INDEX('APSA-370 (SO2)'!$U$9:$U$104,MATCH($B289,'APSA-370 (SO2)'!$A$9:$A$104,0)),"")</f>
        <v/>
      </c>
      <c r="K289" s="20">
        <f>IF(OR($J289="No conforme",$J289="Requiere reemplazo"),"SÍ — verificar destino","")</f>
        <v/>
      </c>
    </row>
    <row r="290" ht="36" customHeight="1">
      <c r="A290" s="20" t="inlineStr">
        <is>
          <t>APSA-370 (SO2)</t>
        </is>
      </c>
      <c r="B290" s="26" t="inlineStr">
        <is>
          <t>7.1.7</t>
        </is>
      </c>
      <c r="C290" s="22" t="inlineStr">
        <is>
          <t>LED de tensión +3,3 V en tarjeta CPU</t>
        </is>
      </c>
      <c r="D290" s="24" t="inlineStr">
        <is>
          <t>Bloqueante</t>
        </is>
      </c>
      <c r="E290" s="22" t="inlineStr">
        <is>
          <t>Regulador de 3,3 V de la CPU sin salida</t>
        </is>
      </c>
      <c r="F290" s="20" t="n">
        <v>2</v>
      </c>
      <c r="G290" s="26" t="inlineStr">
        <is>
          <t>7.1.9</t>
        </is>
      </c>
      <c r="H290" s="22" t="inlineStr">
        <is>
          <t>LED de operación de la CPU (heartbeat)</t>
        </is>
      </c>
      <c r="I290" s="22" t="inlineStr">
        <is>
          <t>Verificar la alimentación de entrada antes de reemplazar la CPU</t>
        </is>
      </c>
      <c r="J290" s="20">
        <f>IFERROR(INDEX('APSA-370 (SO2)'!$U$9:$U$104,MATCH($B290,'APSA-370 (SO2)'!$A$9:$A$104,0)),"")</f>
        <v/>
      </c>
      <c r="K290" s="20">
        <f>IF(OR($J290="No conforme",$J290="Requiere reemplazo"),"SÍ — verificar destino","")</f>
        <v/>
      </c>
    </row>
    <row r="291" ht="36" customHeight="1">
      <c r="A291" s="20" t="inlineStr">
        <is>
          <t>APSA-370 (SO2)</t>
        </is>
      </c>
      <c r="B291" s="26" t="inlineStr">
        <is>
          <t>7.1.8</t>
        </is>
      </c>
      <c r="C291" s="22" t="inlineStr">
        <is>
          <t>LED de tensión +5 V en tarjeta CPU</t>
        </is>
      </c>
      <c r="D291" s="24" t="inlineStr">
        <is>
          <t>Bloqueante</t>
        </is>
      </c>
      <c r="E291" s="22" t="inlineStr">
        <is>
          <t>Falta la alimentación digital de 5 V en la CPU</t>
        </is>
      </c>
      <c r="F291" s="20" t="n">
        <v>1</v>
      </c>
      <c r="G291" s="26" t="inlineStr">
        <is>
          <t>9.4.2</t>
        </is>
      </c>
      <c r="H291" s="22" t="inlineStr">
        <is>
          <t>Tensión de suministro de CC de 5 V</t>
        </is>
      </c>
      <c r="I291" s="22" t="inlineStr">
        <is>
          <t>Verificar la llegada de 5 V a la tarjeta antes de reemplazarla</t>
        </is>
      </c>
      <c r="J291" s="20">
        <f>IFERROR(INDEX('APSA-370 (SO2)'!$U$9:$U$104,MATCH($B291,'APSA-370 (SO2)'!$A$9:$A$104,0)),"")</f>
        <v/>
      </c>
      <c r="K291" s="20">
        <f>IF(OR($J291="No conforme",$J291="Requiere reemplazo"),"SÍ — verificar destino","")</f>
        <v/>
      </c>
    </row>
    <row r="292" ht="36" customHeight="1">
      <c r="A292" s="20" t="inlineStr">
        <is>
          <t>APSA-370 (SO2)</t>
        </is>
      </c>
      <c r="B292" s="26" t="inlineStr">
        <is>
          <t>7.1.9</t>
        </is>
      </c>
      <c r="C292" s="22" t="inlineStr">
        <is>
          <t>LED de operación de la CPU (heartbeat)</t>
        </is>
      </c>
      <c r="D292" s="24" t="inlineStr">
        <is>
          <t>Bloqueante</t>
        </is>
      </c>
      <c r="E292" s="22" t="inlineStr">
        <is>
          <t>Firmware congelado, o CPU sin inicializar tras una sustitución</t>
        </is>
      </c>
      <c r="F292" s="20" t="n">
        <v>1</v>
      </c>
      <c r="G292" s="26" t="inlineStr">
        <is>
          <t>7.3.4</t>
        </is>
      </c>
      <c r="H292" s="22" t="inlineStr">
        <is>
          <t>Interruptor SW1 en la tarjeta CPU</t>
        </is>
      </c>
      <c r="I292" s="22" t="inlineStr">
        <is>
          <t>Verificar SW1 en NORM; si sigue sin destellar, inicializar la CPU y ejecutar el memory scan</t>
        </is>
      </c>
      <c r="J292" s="20">
        <f>IFERROR(INDEX('APSA-370 (SO2)'!$U$9:$U$104,MATCH($B292,'APSA-370 (SO2)'!$A$9:$A$104,0)),"")</f>
        <v/>
      </c>
      <c r="K292" s="20">
        <f>IF(OR($J292="No conforme",$J292="Requiere reemplazo"),"SÍ — verificar destino","")</f>
        <v/>
      </c>
    </row>
    <row r="293" ht="36" customHeight="1">
      <c r="A293" s="20" t="inlineStr">
        <is>
          <t>APSA-370 (SO2)</t>
        </is>
      </c>
      <c r="B293" s="26" t="inlineStr">
        <is>
          <t>7.1.9</t>
        </is>
      </c>
      <c r="C293" s="22" t="inlineStr">
        <is>
          <t>LED de operación de la CPU (heartbeat)</t>
        </is>
      </c>
      <c r="D293" s="24" t="inlineStr">
        <is>
          <t>Bloqueante</t>
        </is>
      </c>
      <c r="E293" s="22" t="inlineStr">
        <is>
          <t>Firmware congelado, o CPU sin inicializar tras una sustitución</t>
        </is>
      </c>
      <c r="F293" s="20" t="n">
        <v>2</v>
      </c>
      <c r="G293" s="26" t="inlineStr">
        <is>
          <t>7.3.3</t>
        </is>
      </c>
      <c r="H293" s="22" t="inlineStr">
        <is>
          <t>DIP switch SW5 en CPU para comunicaciones RS-232C</t>
        </is>
      </c>
      <c r="I293" s="22" t="inlineStr">
        <is>
          <t>Verificar SW1 en NORM; si sigue sin destellar, inicializar la CPU y ejecutar el memory scan</t>
        </is>
      </c>
      <c r="J293" s="20">
        <f>IFERROR(INDEX('APSA-370 (SO2)'!$U$9:$U$104,MATCH($B293,'APSA-370 (SO2)'!$A$9:$A$104,0)),"")</f>
        <v/>
      </c>
      <c r="K293" s="20">
        <f>IF(OR($J293="No conforme",$J293="Requiere reemplazo"),"SÍ — verificar destino","")</f>
        <v/>
      </c>
    </row>
    <row r="294" ht="36" customHeight="1">
      <c r="A294" s="20" t="inlineStr">
        <is>
          <t>APSA-370 (SO2)</t>
        </is>
      </c>
      <c r="B294" s="26" t="inlineStr">
        <is>
          <t>7.1.9</t>
        </is>
      </c>
      <c r="C294" s="22" t="inlineStr">
        <is>
          <t>LED de operación de la CPU (heartbeat)</t>
        </is>
      </c>
      <c r="D294" s="24" t="inlineStr">
        <is>
          <t>Bloqueante</t>
        </is>
      </c>
      <c r="E294" s="22" t="inlineStr">
        <is>
          <t>Firmware congelado, o CPU sin inicializar tras una sustitución</t>
        </is>
      </c>
      <c r="F294" s="20" t="n">
        <v>3</v>
      </c>
      <c r="G294" s="26" t="inlineStr">
        <is>
          <t>7.2.1</t>
        </is>
      </c>
      <c r="H294" s="22" t="inlineStr">
        <is>
          <t>Voltaje de la batería de respaldo de SRAM y reloj</t>
        </is>
      </c>
      <c r="I294" s="22" t="inlineStr">
        <is>
          <t>Verificar SW1 en NORM; si sigue sin destellar, inicializar la CPU y ejecutar el memory scan</t>
        </is>
      </c>
      <c r="J294" s="20">
        <f>IFERROR(INDEX('APSA-370 (SO2)'!$U$9:$U$104,MATCH($B294,'APSA-370 (SO2)'!$A$9:$A$104,0)),"")</f>
        <v/>
      </c>
      <c r="K294" s="20">
        <f>IF(OR($J294="No conforme",$J294="Requiere reemplazo"),"SÍ — verificar destino","")</f>
        <v/>
      </c>
    </row>
    <row r="295" ht="36" customHeight="1">
      <c r="A295" s="20" t="inlineStr">
        <is>
          <t>APSA-370 (SO2)</t>
        </is>
      </c>
      <c r="B295" s="26" t="inlineStr">
        <is>
          <t>7.2.1</t>
        </is>
      </c>
      <c r="C295" s="22" t="inlineStr">
        <is>
          <t>Voltaje de la batería de respaldo de SRAM y reloj</t>
        </is>
      </c>
      <c r="D295" s="25" t="inlineStr">
        <is>
          <t>Cobrable</t>
        </is>
      </c>
      <c r="E295" s="22" t="inlineStr">
        <is>
          <t>Pila al final de su vida útil (unos 3 años de servicio)</t>
        </is>
      </c>
      <c r="F295" s="20" t="n">
        <v>1</v>
      </c>
      <c r="G295" s="26" t="inlineStr">
        <is>
          <t>1.2.1</t>
        </is>
      </c>
      <c r="H295" s="22" t="inlineStr">
        <is>
          <t>Inicialización de parámetros en SRAM</t>
        </is>
      </c>
      <c r="I295" s="22" t="inlineStr">
        <is>
          <t>Reemplazar la CR2032 y reprogramar fecha, hora y secuencia AIC</t>
        </is>
      </c>
      <c r="J295" s="20">
        <f>IFERROR(INDEX('APSA-370 (SO2)'!$U$9:$U$104,MATCH($B295,'APSA-370 (SO2)'!$A$9:$A$104,0)),"")</f>
        <v/>
      </c>
      <c r="K295" s="20">
        <f>IF(OR($J295="No conforme",$J295="Requiere reemplazo"),"SÍ — verificar destino","")</f>
        <v/>
      </c>
    </row>
    <row r="296" ht="48" customHeight="1">
      <c r="A296" s="20" t="inlineStr">
        <is>
          <t>APSA-370 (SO2)</t>
        </is>
      </c>
      <c r="B296" s="26" t="inlineStr">
        <is>
          <t>7.3.1</t>
        </is>
      </c>
      <c r="C296" s="22" t="inlineStr">
        <is>
          <t>DIP switch SW2 de AP-ADC-05 (modelo)</t>
        </is>
      </c>
      <c r="D296" s="24" t="inlineStr">
        <is>
          <t>Bloqueante</t>
        </is>
      </c>
      <c r="E296" s="22" t="inlineStr">
        <is>
          <t>Configuración de modelo alterada tras cambiar la tarjeta</t>
        </is>
      </c>
      <c r="F296" s="20" t="n">
        <v>1</v>
      </c>
      <c r="G296" s="26" t="inlineStr">
        <is>
          <t>7.1.5</t>
        </is>
      </c>
      <c r="H296" s="22" t="inlineStr">
        <is>
          <t>LED de tensión +24 V en tarjeta ADC (AP-ADC-05)</t>
        </is>
      </c>
      <c r="I296" s="22" t="inlineStr">
        <is>
          <t>Restituir el código de modelo del APSA-370 y verificar que las lecturas vuelvan a ser coherentes</t>
        </is>
      </c>
      <c r="J296" s="20">
        <f>IFERROR(INDEX('APSA-370 (SO2)'!$U$9:$U$104,MATCH($B296,'APSA-370 (SO2)'!$A$9:$A$104,0)),"")</f>
        <v/>
      </c>
      <c r="K296" s="20">
        <f>IF(OR($J296="No conforme",$J296="Requiere reemplazo"),"SÍ — verificar destino","")</f>
        <v/>
      </c>
    </row>
    <row r="297" ht="48" customHeight="1">
      <c r="A297" s="20" t="inlineStr">
        <is>
          <t>APSA-370 (SO2)</t>
        </is>
      </c>
      <c r="B297" s="26" t="inlineStr">
        <is>
          <t>7.3.1</t>
        </is>
      </c>
      <c r="C297" s="22" t="inlineStr">
        <is>
          <t>DIP switch SW2 de AP-ADC-05 (modelo)</t>
        </is>
      </c>
      <c r="D297" s="24" t="inlineStr">
        <is>
          <t>Bloqueante</t>
        </is>
      </c>
      <c r="E297" s="22" t="inlineStr">
        <is>
          <t>Configuración de modelo alterada tras cambiar la tarjeta</t>
        </is>
      </c>
      <c r="F297" s="20" t="n">
        <v>2</v>
      </c>
      <c r="G297" s="26" t="inlineStr">
        <is>
          <t>3.1.2</t>
        </is>
      </c>
      <c r="H297" s="22" t="inlineStr">
        <is>
          <t>Coeficiente de calibración de span (SPAN ADJUST)</t>
        </is>
      </c>
      <c r="I297" s="22" t="inlineStr">
        <is>
          <t>Restituir el código de modelo del APSA-370 y verificar que las lecturas vuelvan a ser coherentes</t>
        </is>
      </c>
      <c r="J297" s="20">
        <f>IFERROR(INDEX('APSA-370 (SO2)'!$U$9:$U$104,MATCH($B297,'APSA-370 (SO2)'!$A$9:$A$104,0)),"")</f>
        <v/>
      </c>
      <c r="K297" s="20">
        <f>IF(OR($J297="No conforme",$J297="Requiere reemplazo"),"SÍ — verificar destino","")</f>
        <v/>
      </c>
    </row>
    <row r="298" ht="36" customHeight="1">
      <c r="A298" s="20" t="inlineStr">
        <is>
          <t>APSA-370 (SO2)</t>
        </is>
      </c>
      <c r="B298" s="26" t="inlineStr">
        <is>
          <t>7.3.3</t>
        </is>
      </c>
      <c r="C298" s="22" t="inlineStr">
        <is>
          <t>DIP switch SW5 en CPU para comunicaciones RS-232C</t>
        </is>
      </c>
      <c r="D298" s="23" t="inlineStr">
        <is>
          <t>Alerta</t>
        </is>
      </c>
      <c r="E298" s="22" t="inlineStr">
        <is>
          <t>Configuración de baudios o de canal serial alterada</t>
        </is>
      </c>
      <c r="F298" s="20" t="n">
        <v>1</v>
      </c>
      <c r="G298" s="26" t="inlineStr">
        <is>
          <t>7.6.1</t>
        </is>
      </c>
      <c r="H298" s="22" t="inlineStr">
        <is>
          <t>Tarjeta posterior e interfaz serie RS-232C</t>
        </is>
      </c>
      <c r="I298" s="22" t="inlineStr">
        <is>
          <t>Restituir la configuración de SW5 y verificar el enlace a 19200 bps</t>
        </is>
      </c>
      <c r="J298" s="20">
        <f>IFERROR(INDEX('APSA-370 (SO2)'!$U$9:$U$104,MATCH($B298,'APSA-370 (SO2)'!$A$9:$A$104,0)),"")</f>
        <v/>
      </c>
      <c r="K298" s="20">
        <f>IF(OR($J298="No conforme",$J298="Requiere reemplazo"),"SÍ — verificar destino","")</f>
        <v/>
      </c>
    </row>
    <row r="299" ht="36" customHeight="1">
      <c r="A299" s="20" t="inlineStr">
        <is>
          <t>APSA-370 (SO2)</t>
        </is>
      </c>
      <c r="B299" s="26" t="inlineStr">
        <is>
          <t>7.3.3</t>
        </is>
      </c>
      <c r="C299" s="22" t="inlineStr">
        <is>
          <t>DIP switch SW5 en CPU para comunicaciones RS-232C</t>
        </is>
      </c>
      <c r="D299" s="23" t="inlineStr">
        <is>
          <t>Alerta</t>
        </is>
      </c>
      <c r="E299" s="22" t="inlineStr">
        <is>
          <t>Configuración de baudios o de canal serial alterada</t>
        </is>
      </c>
      <c r="F299" s="20" t="n">
        <v>2</v>
      </c>
      <c r="G299" s="26" t="inlineStr">
        <is>
          <t>7.1.9</t>
        </is>
      </c>
      <c r="H299" s="22" t="inlineStr">
        <is>
          <t>LED de operación de la CPU (heartbeat)</t>
        </is>
      </c>
      <c r="I299" s="22" t="inlineStr">
        <is>
          <t>Restituir la configuración de SW5 y verificar el enlace a 19200 bps</t>
        </is>
      </c>
      <c r="J299" s="20">
        <f>IFERROR(INDEX('APSA-370 (SO2)'!$U$9:$U$104,MATCH($B299,'APSA-370 (SO2)'!$A$9:$A$104,0)),"")</f>
        <v/>
      </c>
      <c r="K299" s="20">
        <f>IF(OR($J299="No conforme",$J299="Requiere reemplazo"),"SÍ — verificar destino","")</f>
        <v/>
      </c>
    </row>
    <row r="300" ht="24" customHeight="1">
      <c r="A300" s="20" t="inlineStr">
        <is>
          <t>APSA-370 (SO2)</t>
        </is>
      </c>
      <c r="B300" s="26" t="inlineStr">
        <is>
          <t>7.3.4</t>
        </is>
      </c>
      <c r="C300" s="22" t="inlineStr">
        <is>
          <t>Interruptor SW1 en la tarjeta CPU</t>
        </is>
      </c>
      <c r="D300" s="23" t="inlineStr">
        <is>
          <t>Alerta</t>
        </is>
      </c>
      <c r="E300" s="22" t="inlineStr">
        <is>
          <t>Switch dejado en INIT tras una intervención de servicio</t>
        </is>
      </c>
      <c r="F300" s="20" t="n">
        <v>1</v>
      </c>
      <c r="G300" s="26" t="inlineStr">
        <is>
          <t>7.1.9</t>
        </is>
      </c>
      <c r="H300" s="22" t="inlineStr">
        <is>
          <t>LED de operación de la CPU (heartbeat)</t>
        </is>
      </c>
      <c r="I300" s="22" t="inlineStr">
        <is>
          <t>Devolver SW1 a NORM y reiniciar el equipo</t>
        </is>
      </c>
      <c r="J300" s="20">
        <f>IFERROR(INDEX('APSA-370 (SO2)'!$U$9:$U$104,MATCH($B300,'APSA-370 (SO2)'!$A$9:$A$104,0)),"")</f>
        <v/>
      </c>
      <c r="K300" s="20">
        <f>IF(OR($J300="No conforme",$J300="Requiere reemplazo"),"SÍ — verificar destino","")</f>
        <v/>
      </c>
    </row>
    <row r="301" ht="36" customHeight="1">
      <c r="A301" s="20" t="inlineStr">
        <is>
          <t>APSA-370 (SO2)</t>
        </is>
      </c>
      <c r="B301" s="26" t="inlineStr">
        <is>
          <t>7.4.1</t>
        </is>
      </c>
      <c r="C301" s="22" t="inlineStr">
        <is>
          <t>Respuesta táctil de la pantalla LCD (Touch Panel)</t>
        </is>
      </c>
      <c r="D301" s="25" t="inlineStr">
        <is>
          <t>Cobrable</t>
        </is>
      </c>
      <c r="E301" s="22" t="inlineStr">
        <is>
          <t>Delaminación del panel por humedad, o desgaste por objetos punzantes</t>
        </is>
      </c>
      <c r="F301" s="20" t="n">
        <v>1</v>
      </c>
      <c r="G301" s="26" t="inlineStr">
        <is>
          <t>10.1.2</t>
        </is>
      </c>
      <c r="H301" s="22" t="inlineStr">
        <is>
          <t>Humedad relativa del sitio</t>
        </is>
      </c>
      <c r="I301" s="22" t="inlineStr">
        <is>
          <t>Recalibrar el panel; si no responde, reemplazarlo y controlar la humedad de la cabina</t>
        </is>
      </c>
      <c r="J301" s="20">
        <f>IFERROR(INDEX('APSA-370 (SO2)'!$U$9:$U$104,MATCH($B301,'APSA-370 (SO2)'!$A$9:$A$104,0)),"")</f>
        <v/>
      </c>
      <c r="K301" s="20">
        <f>IF(OR($J301="No conforme",$J301="Requiere reemplazo"),"SÍ — verificar destino","")</f>
        <v/>
      </c>
    </row>
    <row r="302" ht="36" customHeight="1">
      <c r="A302" s="20" t="inlineStr">
        <is>
          <t>APSA-370 (SO2)</t>
        </is>
      </c>
      <c r="B302" s="26" t="inlineStr">
        <is>
          <t>7.4.1</t>
        </is>
      </c>
      <c r="C302" s="22" t="inlineStr">
        <is>
          <t>Respuesta táctil de la pantalla LCD (Touch Panel)</t>
        </is>
      </c>
      <c r="D302" s="25" t="inlineStr">
        <is>
          <t>Cobrable</t>
        </is>
      </c>
      <c r="E302" s="22" t="inlineStr">
        <is>
          <t>Delaminación del panel por humedad, o desgaste por objetos punzantes</t>
        </is>
      </c>
      <c r="F302" s="20" t="n">
        <v>2</v>
      </c>
      <c r="G302" s="26" t="inlineStr">
        <is>
          <t>10.3.1</t>
        </is>
      </c>
      <c r="H302" s="22" t="inlineStr">
        <is>
          <t>Casquillos de bisagra de la puerta delantera</t>
        </is>
      </c>
      <c r="I302" s="22" t="inlineStr">
        <is>
          <t>Recalibrar el panel; si no responde, reemplazarlo y controlar la humedad de la cabina</t>
        </is>
      </c>
      <c r="J302" s="20">
        <f>IFERROR(INDEX('APSA-370 (SO2)'!$U$9:$U$104,MATCH($B302,'APSA-370 (SO2)'!$A$9:$A$104,0)),"")</f>
        <v/>
      </c>
      <c r="K302" s="20">
        <f>IF(OR($J302="No conforme",$J302="Requiere reemplazo"),"SÍ — verificar destino","")</f>
        <v/>
      </c>
    </row>
    <row r="303" ht="36" customHeight="1">
      <c r="A303" s="20" t="inlineStr">
        <is>
          <t>APSA-370 (SO2)</t>
        </is>
      </c>
      <c r="B303" s="26" t="inlineStr">
        <is>
          <t>7.5.1</t>
        </is>
      </c>
      <c r="C303" s="22" t="inlineStr">
        <is>
          <t>Ajuste de cero analógico (DA ADJUST / ZERO)</t>
        </is>
      </c>
      <c r="D303" s="24" t="inlineStr">
        <is>
          <t>Bloqueante</t>
        </is>
      </c>
      <c r="E303" s="22" t="inlineStr">
        <is>
          <t>Salida analógica descalibrada: el datalogger recibe un valor sesgado</t>
        </is>
      </c>
      <c r="F303" s="20" t="n">
        <v>1</v>
      </c>
      <c r="G303" s="26" t="inlineStr">
        <is>
          <t>7.5.3</t>
        </is>
      </c>
      <c r="H303" s="22" t="inlineStr">
        <is>
          <t>Asignación de la salida analógica CH-1</t>
        </is>
      </c>
      <c r="I303" s="22" t="inlineStr">
        <is>
          <t>Reajustar el cero de la salida y verificar la lectura en el datalogger</t>
        </is>
      </c>
      <c r="J303" s="20">
        <f>IFERROR(INDEX('APSA-370 (SO2)'!$U$9:$U$104,MATCH($B303,'APSA-370 (SO2)'!$A$9:$A$104,0)),"")</f>
        <v/>
      </c>
      <c r="K303" s="20">
        <f>IF(OR($J303="No conforme",$J303="Requiere reemplazo"),"SÍ — verificar destino","")</f>
        <v/>
      </c>
    </row>
    <row r="304" ht="36" customHeight="1">
      <c r="A304" s="20" t="inlineStr">
        <is>
          <t>APSA-370 (SO2)</t>
        </is>
      </c>
      <c r="B304" s="26" t="inlineStr">
        <is>
          <t>7.5.1</t>
        </is>
      </c>
      <c r="C304" s="22" t="inlineStr">
        <is>
          <t>Ajuste de cero analógico (DA ADJUST / ZERO)</t>
        </is>
      </c>
      <c r="D304" s="24" t="inlineStr">
        <is>
          <t>Bloqueante</t>
        </is>
      </c>
      <c r="E304" s="22" t="inlineStr">
        <is>
          <t>Salida analógica descalibrada: el datalogger recibe un valor sesgado</t>
        </is>
      </c>
      <c r="F304" s="20" t="n">
        <v>2</v>
      </c>
      <c r="G304" s="26" t="inlineStr">
        <is>
          <t>7.5.2</t>
        </is>
      </c>
      <c r="H304" s="22" t="inlineStr">
        <is>
          <t>Ajuste de span analógico (DA ADJUST / SPAN)</t>
        </is>
      </c>
      <c r="I304" s="22" t="inlineStr">
        <is>
          <t>Reajustar el cero de la salida y verificar la lectura en el datalogger</t>
        </is>
      </c>
      <c r="J304" s="20">
        <f>IFERROR(INDEX('APSA-370 (SO2)'!$U$9:$U$104,MATCH($B304,'APSA-370 (SO2)'!$A$9:$A$104,0)),"")</f>
        <v/>
      </c>
      <c r="K304" s="20">
        <f>IF(OR($J304="No conforme",$J304="Requiere reemplazo"),"SÍ — verificar destino","")</f>
        <v/>
      </c>
    </row>
    <row r="305" ht="36" customHeight="1">
      <c r="A305" s="20" t="inlineStr">
        <is>
          <t>APSA-370 (SO2)</t>
        </is>
      </c>
      <c r="B305" s="26" t="inlineStr">
        <is>
          <t>7.5.2</t>
        </is>
      </c>
      <c r="C305" s="22" t="inlineStr">
        <is>
          <t>Ajuste de span analógico (DA ADJUST / SPAN)</t>
        </is>
      </c>
      <c r="D305" s="24" t="inlineStr">
        <is>
          <t>Bloqueante</t>
        </is>
      </c>
      <c r="E305" s="22" t="inlineStr">
        <is>
          <t>Salida analógica descalibrada en fondo de escala</t>
        </is>
      </c>
      <c r="F305" s="20" t="n">
        <v>1</v>
      </c>
      <c r="G305" s="26" t="inlineStr">
        <is>
          <t>7.5.1</t>
        </is>
      </c>
      <c r="H305" s="22" t="inlineStr">
        <is>
          <t>Ajuste de cero analógico (DA ADJUST / ZERO)</t>
        </is>
      </c>
      <c r="I305" s="22" t="inlineStr">
        <is>
          <t>Reajustar el span de la salida y verificar la lectura en el datalogger</t>
        </is>
      </c>
      <c r="J305" s="20">
        <f>IFERROR(INDEX('APSA-370 (SO2)'!$U$9:$U$104,MATCH($B305,'APSA-370 (SO2)'!$A$9:$A$104,0)),"")</f>
        <v/>
      </c>
      <c r="K305" s="20">
        <f>IF(OR($J305="No conforme",$J305="Requiere reemplazo"),"SÍ — verificar destino","")</f>
        <v/>
      </c>
    </row>
    <row r="306" ht="36" customHeight="1">
      <c r="A306" s="20" t="inlineStr">
        <is>
          <t>APSA-370 (SO2)</t>
        </is>
      </c>
      <c r="B306" s="26" t="inlineStr">
        <is>
          <t>7.5.2</t>
        </is>
      </c>
      <c r="C306" s="22" t="inlineStr">
        <is>
          <t>Ajuste de span analógico (DA ADJUST / SPAN)</t>
        </is>
      </c>
      <c r="D306" s="24" t="inlineStr">
        <is>
          <t>Bloqueante</t>
        </is>
      </c>
      <c r="E306" s="22" t="inlineStr">
        <is>
          <t>Salida analógica descalibrada en fondo de escala</t>
        </is>
      </c>
      <c r="F306" s="20" t="n">
        <v>2</v>
      </c>
      <c r="G306" s="26" t="inlineStr">
        <is>
          <t>7.5.3</t>
        </is>
      </c>
      <c r="H306" s="22" t="inlineStr">
        <is>
          <t>Asignación de la salida analógica CH-1</t>
        </is>
      </c>
      <c r="I306" s="22" t="inlineStr">
        <is>
          <t>Reajustar el span de la salida y verificar la lectura en el datalogger</t>
        </is>
      </c>
      <c r="J306" s="20">
        <f>IFERROR(INDEX('APSA-370 (SO2)'!$U$9:$U$104,MATCH($B306,'APSA-370 (SO2)'!$A$9:$A$104,0)),"")</f>
        <v/>
      </c>
      <c r="K306" s="20">
        <f>IF(OR($J306="No conforme",$J306="Requiere reemplazo"),"SÍ — verificar destino","")</f>
        <v/>
      </c>
    </row>
    <row r="307" ht="36" customHeight="1">
      <c r="A307" s="20" t="inlineStr">
        <is>
          <t>APSA-370 (SO2)</t>
        </is>
      </c>
      <c r="B307" s="26" t="inlineStr">
        <is>
          <t>7.5.3</t>
        </is>
      </c>
      <c r="C307" s="22" t="inlineStr">
        <is>
          <t>Asignación de la salida analógica CH-1</t>
        </is>
      </c>
      <c r="D307" s="23" t="inlineStr">
        <is>
          <t>Alerta</t>
        </is>
      </c>
      <c r="E307" s="22" t="inlineStr">
        <is>
          <t>Canal asignado a una variable distinta a la esperada por la estación</t>
        </is>
      </c>
      <c r="F307" s="20" t="n">
        <v>1</v>
      </c>
      <c r="G307" s="26" t="inlineStr">
        <is>
          <t>7.5.1</t>
        </is>
      </c>
      <c r="H307" s="22" t="inlineStr">
        <is>
          <t>Ajuste de cero analógico (DA ADJUST / ZERO)</t>
        </is>
      </c>
      <c r="I307" s="22" t="inlineStr">
        <is>
          <t>Corregir la asignación en el menú y confirmarla con el operador de la red</t>
        </is>
      </c>
      <c r="J307" s="20">
        <f>IFERROR(INDEX('APSA-370 (SO2)'!$U$9:$U$104,MATCH($B307,'APSA-370 (SO2)'!$A$9:$A$104,0)),"")</f>
        <v/>
      </c>
      <c r="K307" s="20">
        <f>IF(OR($J307="No conforme",$J307="Requiere reemplazo"),"SÍ — verificar destino","")</f>
        <v/>
      </c>
    </row>
    <row r="308" ht="36" customHeight="1">
      <c r="A308" s="20" t="inlineStr">
        <is>
          <t>APSA-370 (SO2)</t>
        </is>
      </c>
      <c r="B308" s="26" t="inlineStr">
        <is>
          <t>7.6.1</t>
        </is>
      </c>
      <c r="C308" s="22" t="inlineStr">
        <is>
          <t>Tarjeta posterior e interfaz serie RS-232C</t>
        </is>
      </c>
      <c r="D308" s="23" t="inlineStr">
        <is>
          <t>Alerta</t>
        </is>
      </c>
      <c r="E308" s="22" t="inlineStr">
        <is>
          <t>Puerto dañado, o cable serial recto en lugar de cruzado</t>
        </is>
      </c>
      <c r="F308" s="20" t="n">
        <v>1</v>
      </c>
      <c r="G308" s="26" t="inlineStr">
        <is>
          <t>7.3.3</t>
        </is>
      </c>
      <c r="H308" s="22" t="inlineStr">
        <is>
          <t>DIP switch SW5 en CPU para comunicaciones RS-232C</t>
        </is>
      </c>
      <c r="I308" s="22" t="inlineStr">
        <is>
          <t>Usar cable cruzado y verificar la descarga de datos a 19200 bps</t>
        </is>
      </c>
      <c r="J308" s="20">
        <f>IFERROR(INDEX('APSA-370 (SO2)'!$U$9:$U$104,MATCH($B308,'APSA-370 (SO2)'!$A$9:$A$104,0)),"")</f>
        <v/>
      </c>
      <c r="K308" s="20">
        <f>IF(OR($J308="No conforme",$J308="Requiere reemplazo"),"SÍ — verificar destino","")</f>
        <v/>
      </c>
    </row>
    <row r="309" ht="36" customHeight="1">
      <c r="A309" s="20" t="inlineStr">
        <is>
          <t>APSA-370 (SO2)</t>
        </is>
      </c>
      <c r="B309" s="26" t="inlineStr">
        <is>
          <t>7.6.2</t>
        </is>
      </c>
      <c r="C309" s="22" t="inlineStr">
        <is>
          <t>Identificación de la tarjeta CompactFlash (CF card)</t>
        </is>
      </c>
      <c r="D309" s="23" t="inlineStr">
        <is>
          <t>Alerta</t>
        </is>
      </c>
      <c r="E309" s="22" t="inlineStr">
        <is>
          <t>Tarjeta ausente, sin espacio, o no homologada por el fabricante</t>
        </is>
      </c>
      <c r="F309" s="20" t="n">
        <v>1</v>
      </c>
      <c r="G309" s="26" t="inlineStr">
        <is>
          <t>7.1.9</t>
        </is>
      </c>
      <c r="H309" s="22" t="inlineStr">
        <is>
          <t>LED de operación de la CPU (heartbeat)</t>
        </is>
      </c>
      <c r="I309" s="22" t="inlineStr">
        <is>
          <t>Insertar una CF homologada con espacio libre; sin ella no se guardan promedios ni calibraciones</t>
        </is>
      </c>
      <c r="J309" s="20">
        <f>IFERROR(INDEX('APSA-370 (SO2)'!$U$9:$U$104,MATCH($B309,'APSA-370 (SO2)'!$A$9:$A$104,0)),"")</f>
        <v/>
      </c>
      <c r="K309" s="20">
        <f>IF(OR($J309="No conforme",$J309="Requiere reemplazo"),"SÍ — verificar destino","")</f>
        <v/>
      </c>
    </row>
    <row r="310" ht="48" customHeight="1">
      <c r="A310" s="20" t="inlineStr">
        <is>
          <t>APSA-370 (SO2)</t>
        </is>
      </c>
      <c r="B310" s="26" t="inlineStr">
        <is>
          <t>7.7.1</t>
        </is>
      </c>
      <c r="C310" s="22" t="inlineStr">
        <is>
          <t>Fusible de alimentación posterior de CA</t>
        </is>
      </c>
      <c r="D310" s="24" t="inlineStr">
        <is>
          <t>Bloqueante</t>
        </is>
      </c>
      <c r="E310" s="22" t="inlineStr">
        <is>
          <t>Fusible abierto por sobrecorriente o por falla de la fuente</t>
        </is>
      </c>
      <c r="F310" s="20" t="n">
        <v>1</v>
      </c>
      <c r="G310" s="26" t="inlineStr">
        <is>
          <t>9.4.1</t>
        </is>
      </c>
      <c r="H310" s="22" t="inlineStr">
        <is>
          <t>Tensión de suministro de CC de 24 V</t>
        </is>
      </c>
      <c r="I310" s="22" t="inlineStr">
        <is>
          <t>Reponer el fusible del tipo y amperaje correctos; si vuelve a abrir, buscar el cortocircuito antes de insistir</t>
        </is>
      </c>
      <c r="J310" s="20">
        <f>IFERROR(INDEX('APSA-370 (SO2)'!$U$9:$U$104,MATCH($B310,'APSA-370 (SO2)'!$A$9:$A$104,0)),"")</f>
        <v/>
      </c>
      <c r="K310" s="20">
        <f>IF(OR($J310="No conforme",$J310="Requiere reemplazo"),"SÍ — verificar destino","")</f>
        <v/>
      </c>
    </row>
    <row r="311" ht="48" customHeight="1">
      <c r="A311" s="20" t="inlineStr">
        <is>
          <t>APSA-370 (SO2)</t>
        </is>
      </c>
      <c r="B311" s="26" t="inlineStr">
        <is>
          <t>7.7.1</t>
        </is>
      </c>
      <c r="C311" s="22" t="inlineStr">
        <is>
          <t>Fusible de alimentación posterior de CA</t>
        </is>
      </c>
      <c r="D311" s="24" t="inlineStr">
        <is>
          <t>Bloqueante</t>
        </is>
      </c>
      <c r="E311" s="22" t="inlineStr">
        <is>
          <t>Fusible abierto por sobrecorriente o por falla de la fuente</t>
        </is>
      </c>
      <c r="F311" s="20" t="n">
        <v>2</v>
      </c>
      <c r="G311" s="26" t="inlineStr">
        <is>
          <t>9.4.2</t>
        </is>
      </c>
      <c r="H311" s="22" t="inlineStr">
        <is>
          <t>Tensión de suministro de CC de 5 V</t>
        </is>
      </c>
      <c r="I311" s="22" t="inlineStr">
        <is>
          <t>Reponer el fusible del tipo y amperaje correctos; si vuelve a abrir, buscar el cortocircuito antes de insistir</t>
        </is>
      </c>
      <c r="J311" s="20">
        <f>IFERROR(INDEX('APSA-370 (SO2)'!$U$9:$U$104,MATCH($B311,'APSA-370 (SO2)'!$A$9:$A$104,0)),"")</f>
        <v/>
      </c>
      <c r="K311" s="20">
        <f>IF(OR($J311="No conforme",$J311="Requiere reemplazo"),"SÍ — verificar destino","")</f>
        <v/>
      </c>
    </row>
    <row r="312" ht="24" customHeight="1">
      <c r="A312" s="20" t="inlineStr">
        <is>
          <t>APSA-370 (SO2)</t>
        </is>
      </c>
      <c r="B312" s="26" t="inlineStr">
        <is>
          <t>8.1.1</t>
        </is>
      </c>
      <c r="C312" s="22" t="inlineStr">
        <is>
          <t>Horas de uso del filtro de purga de aire F-2</t>
        </is>
      </c>
      <c r="D312" s="25" t="inlineStr">
        <is>
          <t>Cobrable</t>
        </is>
      </c>
      <c r="E312" s="22" t="inlineStr">
        <is>
          <t>Horómetro por encima del intervalo de dos años</t>
        </is>
      </c>
      <c r="F312" s="20" t="n">
        <v>1</v>
      </c>
      <c r="G312" s="26" t="inlineStr">
        <is>
          <t>5.2.1</t>
        </is>
      </c>
      <c r="H312" s="22" t="inlineStr">
        <is>
          <t>Caudal de purga del HC Cutter</t>
        </is>
      </c>
      <c r="I312" s="22" t="inlineStr">
        <is>
          <t>Reemplazar el filtro de 0,3 µm y reiniciar el contador</t>
        </is>
      </c>
      <c r="J312" s="20">
        <f>IFERROR(INDEX('APSA-370 (SO2)'!$U$9:$U$104,MATCH($B312,'APSA-370 (SO2)'!$A$9:$A$104,0)),"")</f>
        <v/>
      </c>
      <c r="K312" s="20">
        <f>IF(OR($J312="No conforme",$J312="Requiere reemplazo"),"SÍ — verificar destino","")</f>
        <v/>
      </c>
    </row>
    <row r="313" ht="24" customHeight="1">
      <c r="A313" s="20" t="inlineStr">
        <is>
          <t>APSA-370 (SO2)</t>
        </is>
      </c>
      <c r="B313" s="26" t="inlineStr">
        <is>
          <t>8.1.2</t>
        </is>
      </c>
      <c r="C313" s="22" t="inlineStr">
        <is>
          <t>Horas de uso del depurador (Scrubber ESU-050A)</t>
        </is>
      </c>
      <c r="D313" s="25" t="inlineStr">
        <is>
          <t>Cobrable</t>
        </is>
      </c>
      <c r="E313" s="22" t="inlineStr">
        <is>
          <t>Horómetro por encima del intervalo de dos años</t>
        </is>
      </c>
      <c r="F313" s="20" t="n">
        <v>1</v>
      </c>
      <c r="G313" s="26" t="inlineStr">
        <is>
          <t>6.3.2</t>
        </is>
      </c>
      <c r="H313" s="22" t="inlineStr">
        <is>
          <t>Filtro depurador scrubber de entrada (ESU-050A)</t>
        </is>
      </c>
      <c r="I313" s="22" t="inlineStr">
        <is>
          <t>Reemplazar el cartucho y reiniciar el contador</t>
        </is>
      </c>
      <c r="J313" s="20">
        <f>IFERROR(INDEX('APSA-370 (SO2)'!$U$9:$U$104,MATCH($B313,'APSA-370 (SO2)'!$A$9:$A$104,0)),"")</f>
        <v/>
      </c>
      <c r="K313" s="20">
        <f>IF(OR($J313="No conforme",$J313="Requiere reemplazo"),"SÍ — verificar destino","")</f>
        <v/>
      </c>
    </row>
    <row r="314" ht="24" customHeight="1">
      <c r="A314" s="20" t="inlineStr">
        <is>
          <t>APSA-370 (SO2)</t>
        </is>
      </c>
      <c r="B314" s="26" t="inlineStr">
        <is>
          <t>8.1.3</t>
        </is>
      </c>
      <c r="C314" s="22" t="inlineStr">
        <is>
          <t>Horas de uso del separador de hidrocarburos (HC Cutter)</t>
        </is>
      </c>
      <c r="D314" s="25" t="inlineStr">
        <is>
          <t>Cobrable</t>
        </is>
      </c>
      <c r="E314" s="22" t="inlineStr">
        <is>
          <t>Horómetro por encima del intervalo de dos años</t>
        </is>
      </c>
      <c r="F314" s="20" t="n">
        <v>1</v>
      </c>
      <c r="G314" s="26" t="inlineStr">
        <is>
          <t>6.3.1</t>
        </is>
      </c>
      <c r="H314" s="22" t="inlineStr">
        <is>
          <t>Estado del eliminador de hidrocarburos (HC Cutter)</t>
        </is>
      </c>
      <c r="I314" s="22" t="inlineStr">
        <is>
          <t>Reemplazar la unidad y reiniciar el contador</t>
        </is>
      </c>
      <c r="J314" s="20">
        <f>IFERROR(INDEX('APSA-370 (SO2)'!$U$9:$U$104,MATCH($B314,'APSA-370 (SO2)'!$A$9:$A$104,0)),"")</f>
        <v/>
      </c>
      <c r="K314" s="20">
        <f>IF(OR($J314="No conforme",$J314="Requiere reemplazo"),"SÍ — verificar destino","")</f>
        <v/>
      </c>
    </row>
    <row r="315" ht="24" customHeight="1">
      <c r="A315" s="20" t="inlineStr">
        <is>
          <t>APSA-370 (SO2)</t>
        </is>
      </c>
      <c r="B315" s="26" t="inlineStr">
        <is>
          <t>8.1.4</t>
        </is>
      </c>
      <c r="C315" s="22" t="inlineStr">
        <is>
          <t>Horas de uso del diafragma de la bomba (P-1-D)</t>
        </is>
      </c>
      <c r="D315" s="25" t="inlineStr">
        <is>
          <t>Cobrable</t>
        </is>
      </c>
      <c r="E315" s="22" t="inlineStr">
        <is>
          <t>Horómetro por encima del intervalo de dos años</t>
        </is>
      </c>
      <c r="F315" s="20" t="n">
        <v>1</v>
      </c>
      <c r="G315" s="26" t="inlineStr">
        <is>
          <t>5.1.3</t>
        </is>
      </c>
      <c r="H315" s="22" t="inlineStr">
        <is>
          <t>Integridad del diafragma de la bomba</t>
        </is>
      </c>
      <c r="I315" s="22" t="inlineStr">
        <is>
          <t>Reemplazar los diafragmas y reiniciar el contador</t>
        </is>
      </c>
      <c r="J315" s="20">
        <f>IFERROR(INDEX('APSA-370 (SO2)'!$U$9:$U$104,MATCH($B315,'APSA-370 (SO2)'!$A$9:$A$104,0)),"")</f>
        <v/>
      </c>
      <c r="K315" s="20">
        <f>IF(OR($J315="No conforme",$J315="Requiere reemplazo"),"SÍ — verificar destino","")</f>
        <v/>
      </c>
    </row>
    <row r="316" ht="36" customHeight="1">
      <c r="A316" s="20" t="inlineStr">
        <is>
          <t>APSA-370 (SO2)</t>
        </is>
      </c>
      <c r="B316" s="26" t="inlineStr">
        <is>
          <t>8.1.5</t>
        </is>
      </c>
      <c r="C316" s="22" t="inlineStr">
        <is>
          <t>Horas de uso de la lámpara de xenón (LAMP)</t>
        </is>
      </c>
      <c r="D316" s="25" t="inlineStr">
        <is>
          <t>Cobrable</t>
        </is>
      </c>
      <c r="E316" s="22" t="inlineStr">
        <is>
          <t>Horas acumuladas altas: la lámpara pierde intensidad de forma progresiva</t>
        </is>
      </c>
      <c r="F316" s="20" t="n">
        <v>1</v>
      </c>
      <c r="G316" s="26" t="inlineStr">
        <is>
          <t>6.1.1</t>
        </is>
      </c>
      <c r="H316" s="22" t="inlineStr">
        <is>
          <t>Voltaje de intensidad de la lámpara de xenón (LAMP)</t>
        </is>
      </c>
      <c r="I316" s="22" t="inlineStr">
        <is>
          <t>El criterio real de cambio es el voltaje, no las horas: decidir por la lectura de LAMP</t>
        </is>
      </c>
      <c r="J316" s="20">
        <f>IFERROR(INDEX('APSA-370 (SO2)'!$U$9:$U$104,MATCH($B316,'APSA-370 (SO2)'!$A$9:$A$104,0)),"")</f>
        <v/>
      </c>
      <c r="K316" s="20">
        <f>IF(OR($J316="No conforme",$J316="Requiere reemplazo"),"SÍ — verificar destino","")</f>
        <v/>
      </c>
    </row>
    <row r="317" ht="36" customHeight="1">
      <c r="A317" s="20" t="inlineStr">
        <is>
          <t>APSA-370 (SO2)</t>
        </is>
      </c>
      <c r="B317" s="26" t="inlineStr">
        <is>
          <t>9.1.1</t>
        </is>
      </c>
      <c r="C317" s="22" t="inlineStr">
        <is>
          <t>Temperatura de la celda (CELL)</t>
        </is>
      </c>
      <c r="D317" s="24" t="inlineStr">
        <is>
          <t>Bloqueante</t>
        </is>
      </c>
      <c r="E317" s="22" t="inlineStr">
        <is>
          <t>Temperatura de sala fuera de rango, termistor dañado, o lazo de calentamiento inoperante</t>
        </is>
      </c>
      <c r="F317" s="20" t="n">
        <v>1</v>
      </c>
      <c r="G317" s="26" t="inlineStr">
        <is>
          <t>10.1.1</t>
        </is>
      </c>
      <c r="H317" s="22" t="inlineStr">
        <is>
          <t>Temperatura ambiente de la cabina</t>
        </is>
      </c>
      <c r="I317" s="22" t="inlineStr">
        <is>
          <t>Descartar primero la sala; una lectura absurda apunta al termistor de la celda</t>
        </is>
      </c>
      <c r="J317" s="20">
        <f>IFERROR(INDEX('APSA-370 (SO2)'!$U$9:$U$104,MATCH($B317,'APSA-370 (SO2)'!$A$9:$A$104,0)),"")</f>
        <v/>
      </c>
      <c r="K317" s="20">
        <f>IF(OR($J317="No conforme",$J317="Requiere reemplazo"),"SÍ — verificar destino","")</f>
        <v/>
      </c>
    </row>
    <row r="318" ht="36" customHeight="1">
      <c r="A318" s="20" t="inlineStr">
        <is>
          <t>APSA-370 (SO2)</t>
        </is>
      </c>
      <c r="B318" s="26" t="inlineStr">
        <is>
          <t>9.1.1</t>
        </is>
      </c>
      <c r="C318" s="22" t="inlineStr">
        <is>
          <t>Temperatura de la celda (CELL)</t>
        </is>
      </c>
      <c r="D318" s="24" t="inlineStr">
        <is>
          <t>Bloqueante</t>
        </is>
      </c>
      <c r="E318" s="22" t="inlineStr">
        <is>
          <t>Temperatura de sala fuera de rango, termistor dañado, o lazo de calentamiento inoperante</t>
        </is>
      </c>
      <c r="F318" s="20" t="n">
        <v>2</v>
      </c>
      <c r="G318" s="26" t="inlineStr">
        <is>
          <t>7.1.5</t>
        </is>
      </c>
      <c r="H318" s="22" t="inlineStr">
        <is>
          <t>LED de tensión +24 V en tarjeta ADC (AP-ADC-05)</t>
        </is>
      </c>
      <c r="I318" s="22" t="inlineStr">
        <is>
          <t>Descartar primero la sala; una lectura absurda apunta al termistor de la celda</t>
        </is>
      </c>
      <c r="J318" s="20">
        <f>IFERROR(INDEX('APSA-370 (SO2)'!$U$9:$U$104,MATCH($B318,'APSA-370 (SO2)'!$A$9:$A$104,0)),"")</f>
        <v/>
      </c>
      <c r="K318" s="20">
        <f>IF(OR($J318="No conforme",$J318="Requiere reemplazo"),"SÍ — verificar destino","")</f>
        <v/>
      </c>
    </row>
    <row r="319" ht="36" customHeight="1">
      <c r="A319" s="20" t="inlineStr">
        <is>
          <t>APSA-370 (SO2)</t>
        </is>
      </c>
      <c r="B319" s="26" t="inlineStr">
        <is>
          <t>9.1.1</t>
        </is>
      </c>
      <c r="C319" s="22" t="inlineStr">
        <is>
          <t>Temperatura de la celda (CELL)</t>
        </is>
      </c>
      <c r="D319" s="24" t="inlineStr">
        <is>
          <t>Bloqueante</t>
        </is>
      </c>
      <c r="E319" s="22" t="inlineStr">
        <is>
          <t>Temperatura de sala fuera de rango, termistor dañado, o lazo de calentamiento inoperante</t>
        </is>
      </c>
      <c r="F319" s="20" t="n">
        <v>3</v>
      </c>
      <c r="G319" s="26" t="inlineStr">
        <is>
          <t>10.4.1</t>
        </is>
      </c>
      <c r="H319" s="22" t="inlineStr">
        <is>
          <t>Ventilador de enfriamiento posterior (Fan)</t>
        </is>
      </c>
      <c r="I319" s="22" t="inlineStr">
        <is>
          <t>Descartar primero la sala; una lectura absurda apunta al termistor de la celda</t>
        </is>
      </c>
      <c r="J319" s="20">
        <f>IFERROR(INDEX('APSA-370 (SO2)'!$U$9:$U$104,MATCH($B319,'APSA-370 (SO2)'!$A$9:$A$104,0)),"")</f>
        <v/>
      </c>
      <c r="K319" s="20">
        <f>IF(OR($J319="No conforme",$J319="Requiere reemplazo"),"SÍ — verificar destino","")</f>
        <v/>
      </c>
    </row>
    <row r="320" ht="36" customHeight="1">
      <c r="A320" s="20" t="inlineStr">
        <is>
          <t>APSA-370 (SO2)</t>
        </is>
      </c>
      <c r="B320" s="26" t="inlineStr">
        <is>
          <t>9.2.1</t>
        </is>
      </c>
      <c r="C320" s="22" t="inlineStr">
        <is>
          <t>Sensor de presión atmosférica (AMBIENT)</t>
        </is>
      </c>
      <c r="D320" s="24" t="inlineStr">
        <is>
          <t>Bloqueante</t>
        </is>
      </c>
      <c r="E320" s="22" t="inlineStr">
        <is>
          <t>Transductor descalibrado por la altitud del sitio, o dañado</t>
        </is>
      </c>
      <c r="F320" s="20" t="n">
        <v>1</v>
      </c>
      <c r="G320" s="26" t="inlineStr">
        <is>
          <t>9.2.2</t>
        </is>
      </c>
      <c r="H320" s="22" t="inlineStr">
        <is>
          <t>Sensor de presión de la bomba (PUMP)</t>
        </is>
      </c>
      <c r="I320" s="22" t="inlineStr">
        <is>
          <t>Comparar contra barómetro patrón y compensar el intercepto por software</t>
        </is>
      </c>
      <c r="J320" s="20">
        <f>IFERROR(INDEX('APSA-370 (SO2)'!$U$9:$U$104,MATCH($B320,'APSA-370 (SO2)'!$A$9:$A$104,0)),"")</f>
        <v/>
      </c>
      <c r="K320" s="20">
        <f>IF(OR($J320="No conforme",$J320="Requiere reemplazo"),"SÍ — verificar destino","")</f>
        <v/>
      </c>
    </row>
    <row r="321" ht="36" customHeight="1">
      <c r="A321" s="20" t="inlineStr">
        <is>
          <t>APSA-370 (SO2)</t>
        </is>
      </c>
      <c r="B321" s="26" t="inlineStr">
        <is>
          <t>9.2.2</t>
        </is>
      </c>
      <c r="C321" s="22" t="inlineStr">
        <is>
          <t>Sensor de presión de la bomba (PUMP)</t>
        </is>
      </c>
      <c r="D321" s="24" t="inlineStr">
        <is>
          <t>Bloqueante</t>
        </is>
      </c>
      <c r="E321" s="22" t="inlineStr">
        <is>
          <t>Transductor descalibrado, o presión real fuera de rango</t>
        </is>
      </c>
      <c r="F321" s="20" t="n">
        <v>1</v>
      </c>
      <c r="G321" s="26" t="inlineStr">
        <is>
          <t>5.1.2</t>
        </is>
      </c>
      <c r="H321" s="22" t="inlineStr">
        <is>
          <t>Presión de succión de la bomba (PUMP)</t>
        </is>
      </c>
      <c r="I321" s="22" t="inlineStr">
        <is>
          <t>Discriminar entre lectura falsa y presión real antes de intervenir el circuito neumático</t>
        </is>
      </c>
      <c r="J321" s="20">
        <f>IFERROR(INDEX('APSA-370 (SO2)'!$U$9:$U$104,MATCH($B321,'APSA-370 (SO2)'!$A$9:$A$104,0)),"")</f>
        <v/>
      </c>
      <c r="K321" s="20">
        <f>IF(OR($J321="No conforme",$J321="Requiere reemplazo"),"SÍ — verificar destino","")</f>
        <v/>
      </c>
    </row>
    <row r="322" ht="36" customHeight="1">
      <c r="A322" s="20" t="inlineStr">
        <is>
          <t>APSA-370 (SO2)</t>
        </is>
      </c>
      <c r="B322" s="26" t="inlineStr">
        <is>
          <t>9.2.2</t>
        </is>
      </c>
      <c r="C322" s="22" t="inlineStr">
        <is>
          <t>Sensor de presión de la bomba (PUMP)</t>
        </is>
      </c>
      <c r="D322" s="24" t="inlineStr">
        <is>
          <t>Bloqueante</t>
        </is>
      </c>
      <c r="E322" s="22" t="inlineStr">
        <is>
          <t>Transductor descalibrado, o presión real fuera de rango</t>
        </is>
      </c>
      <c r="F322" s="20" t="n">
        <v>2</v>
      </c>
      <c r="G322" s="26" t="inlineStr">
        <is>
          <t>9.2.1</t>
        </is>
      </c>
      <c r="H322" s="22" t="inlineStr">
        <is>
          <t>Sensor de presión atmosférica (AMBIENT)</t>
        </is>
      </c>
      <c r="I322" s="22" t="inlineStr">
        <is>
          <t>Discriminar entre lectura falsa y presión real antes de intervenir el circuito neumático</t>
        </is>
      </c>
      <c r="J322" s="20">
        <f>IFERROR(INDEX('APSA-370 (SO2)'!$U$9:$U$104,MATCH($B322,'APSA-370 (SO2)'!$A$9:$A$104,0)),"")</f>
        <v/>
      </c>
      <c r="K322" s="20">
        <f>IF(OR($J322="No conforme",$J322="Requiere reemplazo"),"SÍ — verificar destino","")</f>
        <v/>
      </c>
    </row>
    <row r="323" ht="36" customHeight="1">
      <c r="A323" s="20" t="inlineStr">
        <is>
          <t>APSA-370 (SO2)</t>
        </is>
      </c>
      <c r="B323" s="26" t="inlineStr">
        <is>
          <t>9.3.1</t>
        </is>
      </c>
      <c r="C323" s="22" t="inlineStr">
        <is>
          <t>Sensor de caudal de muestra (SAMPLE)</t>
        </is>
      </c>
      <c r="D323" s="24" t="inlineStr">
        <is>
          <t>Bloqueante</t>
        </is>
      </c>
      <c r="E323" s="22" t="inlineStr">
        <is>
          <t>Transductor de caudal opcional descalibrado o en falla</t>
        </is>
      </c>
      <c r="F323" s="20" t="n">
        <v>1</v>
      </c>
      <c r="G323" s="26" t="inlineStr">
        <is>
          <t>5.1.1</t>
        </is>
      </c>
      <c r="H323" s="22" t="inlineStr">
        <is>
          <t>Caudal de gas de muestra (SAMPLE)</t>
        </is>
      </c>
      <c r="I323" s="22" t="inlineStr">
        <is>
          <t>Contrastar con flujómetro de burbuja: si el caudal real es correcto, el problema es el sensor</t>
        </is>
      </c>
      <c r="J323" s="20">
        <f>IFERROR(INDEX('APSA-370 (SO2)'!$U$9:$U$104,MATCH($B323,'APSA-370 (SO2)'!$A$9:$A$104,0)),"")</f>
        <v/>
      </c>
      <c r="K323" s="20">
        <f>IF(OR($J323="No conforme",$J323="Requiere reemplazo"),"SÍ — verificar destino","")</f>
        <v/>
      </c>
    </row>
    <row r="324" ht="36" customHeight="1">
      <c r="A324" s="20" t="inlineStr">
        <is>
          <t>APSA-370 (SO2)</t>
        </is>
      </c>
      <c r="B324" s="26" t="inlineStr">
        <is>
          <t>9.4.1</t>
        </is>
      </c>
      <c r="C324" s="22" t="inlineStr">
        <is>
          <t>Tensión de suministro de CC de 24 V</t>
        </is>
      </c>
      <c r="D324" s="24" t="inlineStr">
        <is>
          <t>Bloqueante</t>
        </is>
      </c>
      <c r="E324" s="22" t="inlineStr">
        <is>
          <t>Fuente degradada o carga excesiva sobre el riel</t>
        </is>
      </c>
      <c r="F324" s="20" t="n">
        <v>1</v>
      </c>
      <c r="G324" s="26" t="inlineStr">
        <is>
          <t>7.7.1</t>
        </is>
      </c>
      <c r="H324" s="22" t="inlineStr">
        <is>
          <t>Fusible de alimentación posterior de CA</t>
        </is>
      </c>
      <c r="I324" s="22" t="inlineStr">
        <is>
          <t>Medir en el punto de prueba de la tarjeta; si la fuente no regula, reemplazarla</t>
        </is>
      </c>
      <c r="J324" s="20">
        <f>IFERROR(INDEX('APSA-370 (SO2)'!$U$9:$U$104,MATCH($B324,'APSA-370 (SO2)'!$A$9:$A$104,0)),"")</f>
        <v/>
      </c>
      <c r="K324" s="20">
        <f>IF(OR($J324="No conforme",$J324="Requiere reemplazo"),"SÍ — verificar destino","")</f>
        <v/>
      </c>
    </row>
    <row r="325" ht="36" customHeight="1">
      <c r="A325" s="20" t="inlineStr">
        <is>
          <t>APSA-370 (SO2)</t>
        </is>
      </c>
      <c r="B325" s="26" t="inlineStr">
        <is>
          <t>9.4.2</t>
        </is>
      </c>
      <c r="C325" s="22" t="inlineStr">
        <is>
          <t>Tensión de suministro de CC de 5 V</t>
        </is>
      </c>
      <c r="D325" s="24" t="inlineStr">
        <is>
          <t>Bloqueante</t>
        </is>
      </c>
      <c r="E325" s="22" t="inlineStr">
        <is>
          <t>Regulador de la fuente fuera de tolerancia</t>
        </is>
      </c>
      <c r="F325" s="20" t="n">
        <v>1</v>
      </c>
      <c r="G325" s="26" t="inlineStr">
        <is>
          <t>7.7.1</t>
        </is>
      </c>
      <c r="H325" s="22" t="inlineStr">
        <is>
          <t>Fusible de alimentación posterior de CA</t>
        </is>
      </c>
      <c r="I325" s="22" t="inlineStr">
        <is>
          <t>Medir en el punto de prueba; si está fuera de ±0,5 V, reemplazar la fuente</t>
        </is>
      </c>
      <c r="J325" s="20">
        <f>IFERROR(INDEX('APSA-370 (SO2)'!$U$9:$U$104,MATCH($B325,'APSA-370 (SO2)'!$A$9:$A$104,0)),"")</f>
        <v/>
      </c>
      <c r="K325" s="20">
        <f>IF(OR($J325="No conforme",$J325="Requiere reemplazo"),"SÍ — verificar destino","")</f>
        <v/>
      </c>
    </row>
    <row r="326" ht="36" customHeight="1">
      <c r="A326" s="20" t="inlineStr">
        <is>
          <t>APSA-370 (SO2)</t>
        </is>
      </c>
      <c r="B326" s="26" t="inlineStr">
        <is>
          <t>10.1.1</t>
        </is>
      </c>
      <c r="C326" s="22" t="inlineStr">
        <is>
          <t>Temperatura ambiente de la cabina</t>
        </is>
      </c>
      <c r="D326" s="23" t="inlineStr">
        <is>
          <t>Alerta</t>
        </is>
      </c>
      <c r="E326" s="22" t="inlineStr">
        <is>
          <t>Aire acondicionado insuficiente o en falla</t>
        </is>
      </c>
      <c r="F326" s="20" t="n">
        <v>1</v>
      </c>
      <c r="G326" s="26" t="inlineStr">
        <is>
          <t>9.1.1</t>
        </is>
      </c>
      <c r="H326" s="22" t="inlineStr">
        <is>
          <t>Temperatura de la celda (CELL)</t>
        </is>
      </c>
      <c r="I326" s="22" t="inlineStr">
        <is>
          <t>Corregir la climatización del shelter; la deriva no se juzga hasta estabilizar la sala</t>
        </is>
      </c>
      <c r="J326" s="20">
        <f>IFERROR(INDEX('APSA-370 (SO2)'!$U$9:$U$104,MATCH($B326,'APSA-370 (SO2)'!$A$9:$A$104,0)),"")</f>
        <v/>
      </c>
      <c r="K326" s="20">
        <f>IF(OR($J326="No conforme",$J326="Requiere reemplazo"),"SÍ — verificar destino","")</f>
        <v/>
      </c>
    </row>
    <row r="327" ht="36" customHeight="1">
      <c r="A327" s="20" t="inlineStr">
        <is>
          <t>APSA-370 (SO2)</t>
        </is>
      </c>
      <c r="B327" s="26" t="inlineStr">
        <is>
          <t>10.1.1</t>
        </is>
      </c>
      <c r="C327" s="22" t="inlineStr">
        <is>
          <t>Temperatura ambiente de la cabina</t>
        </is>
      </c>
      <c r="D327" s="23" t="inlineStr">
        <is>
          <t>Alerta</t>
        </is>
      </c>
      <c r="E327" s="22" t="inlineStr">
        <is>
          <t>Aire acondicionado insuficiente o en falla</t>
        </is>
      </c>
      <c r="F327" s="20" t="n">
        <v>2</v>
      </c>
      <c r="G327" s="26" t="inlineStr">
        <is>
          <t>10.1.2</t>
        </is>
      </c>
      <c r="H327" s="22" t="inlineStr">
        <is>
          <t>Humedad relativa del sitio</t>
        </is>
      </c>
      <c r="I327" s="22" t="inlineStr">
        <is>
          <t>Corregir la climatización del shelter; la deriva no se juzga hasta estabilizar la sala</t>
        </is>
      </c>
      <c r="J327" s="20">
        <f>IFERROR(INDEX('APSA-370 (SO2)'!$U$9:$U$104,MATCH($B327,'APSA-370 (SO2)'!$A$9:$A$104,0)),"")</f>
        <v/>
      </c>
      <c r="K327" s="20">
        <f>IF(OR($J327="No conforme",$J327="Requiere reemplazo"),"SÍ — verificar destino","")</f>
        <v/>
      </c>
    </row>
    <row r="328" ht="36" customHeight="1">
      <c r="A328" s="20" t="inlineStr">
        <is>
          <t>APSA-370 (SO2)</t>
        </is>
      </c>
      <c r="B328" s="26" t="inlineStr">
        <is>
          <t>10.1.2</t>
        </is>
      </c>
      <c r="C328" s="22" t="inlineStr">
        <is>
          <t>Humedad relativa del sitio</t>
        </is>
      </c>
      <c r="D328" s="23" t="inlineStr">
        <is>
          <t>Alerta</t>
        </is>
      </c>
      <c r="E328" s="22" t="inlineStr">
        <is>
          <t>Humedad alta: riesgo de condensación óptica y de delaminación del panel táctil</t>
        </is>
      </c>
      <c r="F328" s="20" t="n">
        <v>1</v>
      </c>
      <c r="G328" s="26" t="inlineStr">
        <is>
          <t>4.1.3</t>
        </is>
      </c>
      <c r="H328" s="22" t="inlineStr">
        <is>
          <t>Humedad en el portafiltros</t>
        </is>
      </c>
      <c r="I328" s="22" t="inlineStr">
        <is>
          <t>Deshumidificar la cabina y revisar la línea de muestreo</t>
        </is>
      </c>
      <c r="J328" s="20">
        <f>IFERROR(INDEX('APSA-370 (SO2)'!$U$9:$U$104,MATCH($B328,'APSA-370 (SO2)'!$A$9:$A$104,0)),"")</f>
        <v/>
      </c>
      <c r="K328" s="20">
        <f>IF(OR($J328="No conforme",$J328="Requiere reemplazo"),"SÍ — verificar destino","")</f>
        <v/>
      </c>
    </row>
    <row r="329" ht="36" customHeight="1">
      <c r="A329" s="20" t="inlineStr">
        <is>
          <t>APSA-370 (SO2)</t>
        </is>
      </c>
      <c r="B329" s="26" t="inlineStr">
        <is>
          <t>10.1.2</t>
        </is>
      </c>
      <c r="C329" s="22" t="inlineStr">
        <is>
          <t>Humedad relativa del sitio</t>
        </is>
      </c>
      <c r="D329" s="23" t="inlineStr">
        <is>
          <t>Alerta</t>
        </is>
      </c>
      <c r="E329" s="22" t="inlineStr">
        <is>
          <t>Humedad alta: riesgo de condensación óptica y de delaminación del panel táctil</t>
        </is>
      </c>
      <c r="F329" s="20" t="n">
        <v>2</v>
      </c>
      <c r="G329" s="26" t="inlineStr">
        <is>
          <t>7.4.1</t>
        </is>
      </c>
      <c r="H329" s="22" t="inlineStr">
        <is>
          <t>Respuesta táctil de la pantalla LCD (Touch Panel)</t>
        </is>
      </c>
      <c r="I329" s="22" t="inlineStr">
        <is>
          <t>Deshumidificar la cabina y revisar la línea de muestreo</t>
        </is>
      </c>
      <c r="J329" s="20">
        <f>IFERROR(INDEX('APSA-370 (SO2)'!$U$9:$U$104,MATCH($B329,'APSA-370 (SO2)'!$A$9:$A$104,0)),"")</f>
        <v/>
      </c>
      <c r="K329" s="20">
        <f>IF(OR($J329="No conforme",$J329="Requiere reemplazo"),"SÍ — verificar destino","")</f>
        <v/>
      </c>
    </row>
    <row r="330" ht="36" customHeight="1">
      <c r="A330" s="20" t="inlineStr">
        <is>
          <t>APSA-370 (SO2)</t>
        </is>
      </c>
      <c r="B330" s="26" t="inlineStr">
        <is>
          <t>10.1.3</t>
        </is>
      </c>
      <c r="C330" s="22" t="inlineStr">
        <is>
          <t>Nivel de polvo de la cabina</t>
        </is>
      </c>
      <c r="D330" s="23" t="inlineStr">
        <is>
          <t>Alerta</t>
        </is>
      </c>
      <c r="E330" s="22" t="inlineStr">
        <is>
          <t>Ambiente polvoriento: colmata filtros y esponjas con rapidez</t>
        </is>
      </c>
      <c r="F330" s="20" t="n">
        <v>1</v>
      </c>
      <c r="G330" s="26" t="inlineStr">
        <is>
          <t>4.1.1</t>
        </is>
      </c>
      <c r="H330" s="22" t="inlineStr">
        <is>
          <t>Estado del elemento filtrante PA-10L</t>
        </is>
      </c>
      <c r="I330" s="22" t="inlineStr">
        <is>
          <t>Mejorar el sellado de la cabina y acortar el intervalo de cambio de filtro</t>
        </is>
      </c>
      <c r="J330" s="20">
        <f>IFERROR(INDEX('APSA-370 (SO2)'!$U$9:$U$104,MATCH($B330,'APSA-370 (SO2)'!$A$9:$A$104,0)),"")</f>
        <v/>
      </c>
      <c r="K330" s="20">
        <f>IF(OR($J330="No conforme",$J330="Requiere reemplazo"),"SÍ — verificar destino","")</f>
        <v/>
      </c>
    </row>
    <row r="331" ht="36" customHeight="1">
      <c r="A331" s="20" t="inlineStr">
        <is>
          <t>APSA-370 (SO2)</t>
        </is>
      </c>
      <c r="B331" s="26" t="inlineStr">
        <is>
          <t>10.1.3</t>
        </is>
      </c>
      <c r="C331" s="22" t="inlineStr">
        <is>
          <t>Nivel de polvo de la cabina</t>
        </is>
      </c>
      <c r="D331" s="23" t="inlineStr">
        <is>
          <t>Alerta</t>
        </is>
      </c>
      <c r="E331" s="22" t="inlineStr">
        <is>
          <t>Ambiente polvoriento: colmata filtros y esponjas con rapidez</t>
        </is>
      </c>
      <c r="F331" s="20" t="n">
        <v>2</v>
      </c>
      <c r="G331" s="26" t="inlineStr">
        <is>
          <t>10.4.1</t>
        </is>
      </c>
      <c r="H331" s="22" t="inlineStr">
        <is>
          <t>Ventilador de enfriamiento posterior (Fan)</t>
        </is>
      </c>
      <c r="I331" s="22" t="inlineStr">
        <is>
          <t>Mejorar el sellado de la cabina y acortar el intervalo de cambio de filtro</t>
        </is>
      </c>
      <c r="J331" s="20">
        <f>IFERROR(INDEX('APSA-370 (SO2)'!$U$9:$U$104,MATCH($B331,'APSA-370 (SO2)'!$A$9:$A$104,0)),"")</f>
        <v/>
      </c>
      <c r="K331" s="20">
        <f>IF(OR($J331="No conforme",$J331="Requiere reemplazo"),"SÍ — verificar destino","")</f>
        <v/>
      </c>
    </row>
    <row r="332" ht="36" customHeight="1">
      <c r="A332" s="20" t="inlineStr">
        <is>
          <t>APSA-370 (SO2)</t>
        </is>
      </c>
      <c r="B332" s="26" t="inlineStr">
        <is>
          <t>10.2.2</t>
        </is>
      </c>
      <c r="C332" s="22" t="inlineStr">
        <is>
          <t>Espacio posterior para ventilación y servicio</t>
        </is>
      </c>
      <c r="D332" s="23" t="inlineStr">
        <is>
          <t>Alerta</t>
        </is>
      </c>
      <c r="E332" s="22" t="inlineStr">
        <is>
          <t>Espacio insuficiente: mangueras dobladas y ventilación restringida</t>
        </is>
      </c>
      <c r="F332" s="20" t="n">
        <v>1</v>
      </c>
      <c r="G332" s="26" t="inlineStr">
        <is>
          <t>4.2.1</t>
        </is>
      </c>
      <c r="H332" s="22" t="inlineStr">
        <is>
          <t>Integridad de la línea de teflón</t>
        </is>
      </c>
      <c r="I332" s="22" t="inlineStr">
        <is>
          <t>Reubicar el equipo para dejar al menos 150 mm libres detrás</t>
        </is>
      </c>
      <c r="J332" s="20">
        <f>IFERROR(INDEX('APSA-370 (SO2)'!$U$9:$U$104,MATCH($B332,'APSA-370 (SO2)'!$A$9:$A$104,0)),"")</f>
        <v/>
      </c>
      <c r="K332" s="20">
        <f>IF(OR($J332="No conforme",$J332="Requiere reemplazo"),"SÍ — verificar destino","")</f>
        <v/>
      </c>
    </row>
    <row r="333" ht="36" customHeight="1">
      <c r="A333" s="20" t="inlineStr">
        <is>
          <t>APSA-370 (SO2)</t>
        </is>
      </c>
      <c r="B333" s="26" t="inlineStr">
        <is>
          <t>10.2.2</t>
        </is>
      </c>
      <c r="C333" s="22" t="inlineStr">
        <is>
          <t>Espacio posterior para ventilación y servicio</t>
        </is>
      </c>
      <c r="D333" s="23" t="inlineStr">
        <is>
          <t>Alerta</t>
        </is>
      </c>
      <c r="E333" s="22" t="inlineStr">
        <is>
          <t>Espacio insuficiente: mangueras dobladas y ventilación restringida</t>
        </is>
      </c>
      <c r="F333" s="20" t="n">
        <v>2</v>
      </c>
      <c r="G333" s="26" t="inlineStr">
        <is>
          <t>10.4.1</t>
        </is>
      </c>
      <c r="H333" s="22" t="inlineStr">
        <is>
          <t>Ventilador de enfriamiento posterior (Fan)</t>
        </is>
      </c>
      <c r="I333" s="22" t="inlineStr">
        <is>
          <t>Reubicar el equipo para dejar al menos 150 mm libres detrás</t>
        </is>
      </c>
      <c r="J333" s="20">
        <f>IFERROR(INDEX('APSA-370 (SO2)'!$U$9:$U$104,MATCH($B333,'APSA-370 (SO2)'!$A$9:$A$104,0)),"")</f>
        <v/>
      </c>
      <c r="K333" s="20">
        <f>IF(OR($J333="No conforme",$J333="Requiere reemplazo"),"SÍ — verificar destino","")</f>
        <v/>
      </c>
    </row>
    <row r="334" ht="36" customHeight="1">
      <c r="A334" s="20" t="inlineStr">
        <is>
          <t>APSA-370 (SO2)</t>
        </is>
      </c>
      <c r="B334" s="26" t="inlineStr">
        <is>
          <t>10.3.1</t>
        </is>
      </c>
      <c r="C334" s="22" t="inlineStr">
        <is>
          <t>Casquillos de bisagra de la puerta delantera</t>
        </is>
      </c>
      <c r="D334" s="25" t="inlineStr">
        <is>
          <t>Cobrable</t>
        </is>
      </c>
      <c r="E334" s="22" t="inlineStr">
        <is>
          <t>Casquillo desgastado: la puerta se descuelga y desalinea la pantalla</t>
        </is>
      </c>
      <c r="F334" s="20" t="n">
        <v>1</v>
      </c>
      <c r="G334" s="26" t="inlineStr">
        <is>
          <t>7.4.1</t>
        </is>
      </c>
      <c r="H334" s="22" t="inlineStr">
        <is>
          <t>Respuesta táctil de la pantalla LCD (Touch Panel)</t>
        </is>
      </c>
      <c r="I334" s="22" t="inlineStr">
        <is>
          <t>Reemplazar los casquillos de bisagra y realinear la puerta</t>
        </is>
      </c>
      <c r="J334" s="20">
        <f>IFERROR(INDEX('APSA-370 (SO2)'!$U$9:$U$104,MATCH($B334,'APSA-370 (SO2)'!$A$9:$A$104,0)),"")</f>
        <v/>
      </c>
      <c r="K334" s="20">
        <f>IF(OR($J334="No conforme",$J334="Requiere reemplazo"),"SÍ — verificar destino","")</f>
        <v/>
      </c>
    </row>
    <row r="335" ht="36" customHeight="1">
      <c r="A335" s="20" t="inlineStr">
        <is>
          <t>APSA-370 (SO2)</t>
        </is>
      </c>
      <c r="B335" s="26" t="inlineStr">
        <is>
          <t>10.4.1</t>
        </is>
      </c>
      <c r="C335" s="22" t="inlineStr">
        <is>
          <t>Ventilador de enfriamiento posterior (Fan)</t>
        </is>
      </c>
      <c r="D335" s="24" t="inlineStr">
        <is>
          <t>Bloqueante</t>
        </is>
      </c>
      <c r="E335" s="22" t="inlineStr">
        <is>
          <t>Rodamiento desgastado o ventilador obstruido por polvo</t>
        </is>
      </c>
      <c r="F335" s="20" t="n">
        <v>1</v>
      </c>
      <c r="G335" s="26" t="inlineStr">
        <is>
          <t>10.1.3</t>
        </is>
      </c>
      <c r="H335" s="22" t="inlineStr">
        <is>
          <t>Nivel de polvo de la cabina</t>
        </is>
      </c>
      <c r="I335" s="22" t="inlineStr">
        <is>
          <t>Reemplazar el ventilador; el equipo no se libera con la refrigeración comprometida</t>
        </is>
      </c>
      <c r="J335" s="20">
        <f>IFERROR(INDEX('APSA-370 (SO2)'!$U$9:$U$104,MATCH($B335,'APSA-370 (SO2)'!$A$9:$A$104,0)),"")</f>
        <v/>
      </c>
      <c r="K335" s="20">
        <f>IF(OR($J335="No conforme",$J335="Requiere reemplazo"),"SÍ — verificar destino","")</f>
        <v/>
      </c>
    </row>
    <row r="336" ht="36" customHeight="1">
      <c r="A336" s="20" t="inlineStr">
        <is>
          <t>APSA-370 (SO2)</t>
        </is>
      </c>
      <c r="B336" s="26" t="inlineStr">
        <is>
          <t>10.4.1</t>
        </is>
      </c>
      <c r="C336" s="22" t="inlineStr">
        <is>
          <t>Ventilador de enfriamiento posterior (Fan)</t>
        </is>
      </c>
      <c r="D336" s="24" t="inlineStr">
        <is>
          <t>Bloqueante</t>
        </is>
      </c>
      <c r="E336" s="22" t="inlineStr">
        <is>
          <t>Rodamiento desgastado o ventilador obstruido por polvo</t>
        </is>
      </c>
      <c r="F336" s="20" t="n">
        <v>2</v>
      </c>
      <c r="G336" s="26" t="inlineStr">
        <is>
          <t>9.1.1</t>
        </is>
      </c>
      <c r="H336" s="22" t="inlineStr">
        <is>
          <t>Temperatura de la celda (CELL)</t>
        </is>
      </c>
      <c r="I336" s="22" t="inlineStr">
        <is>
          <t>Reemplazar el ventilador; el equipo no se libera con la refrigeración comprometida</t>
        </is>
      </c>
      <c r="J336" s="20">
        <f>IFERROR(INDEX('APSA-370 (SO2)'!$U$9:$U$104,MATCH($B336,'APSA-370 (SO2)'!$A$9:$A$104,0)),"")</f>
        <v/>
      </c>
      <c r="K336" s="20">
        <f>IF(OR($J336="No conforme",$J336="Requiere reemplazo"),"SÍ — verificar destino","")</f>
        <v/>
      </c>
    </row>
    <row r="337" ht="36" customHeight="1">
      <c r="A337" s="20" t="inlineStr">
        <is>
          <t>APSA-370 (SO2)</t>
        </is>
      </c>
      <c r="B337" s="26" t="inlineStr">
        <is>
          <t>10.4.2</t>
        </is>
      </c>
      <c r="C337" s="22" t="inlineStr">
        <is>
          <t>Calefactor de la cámara o del HC Cutter (Heater)</t>
        </is>
      </c>
      <c r="D337" s="24" t="inlineStr">
        <is>
          <t>Bloqueante</t>
        </is>
      </c>
      <c r="E337" s="22" t="inlineStr">
        <is>
          <t>Resistencia abierta, termocupla dañada, o relé de estado sólido en falla</t>
        </is>
      </c>
      <c r="F337" s="20" t="n">
        <v>1</v>
      </c>
      <c r="G337" s="26" t="inlineStr">
        <is>
          <t>6.3.1</t>
        </is>
      </c>
      <c r="H337" s="22" t="inlineStr">
        <is>
          <t>Estado del eliminador de hidrocarburos (HC Cutter)</t>
        </is>
      </c>
      <c r="I337" s="22" t="inlineStr">
        <is>
          <t>Medir continuidad de la resistencia y de la termocupla antes de intervenir la tarjeta</t>
        </is>
      </c>
      <c r="J337" s="20">
        <f>IFERROR(INDEX('APSA-370 (SO2)'!$U$9:$U$104,MATCH($B337,'APSA-370 (SO2)'!$A$9:$A$104,0)),"")</f>
        <v/>
      </c>
      <c r="K337" s="20">
        <f>IF(OR($J337="No conforme",$J337="Requiere reemplazo"),"SÍ — verificar destino","")</f>
        <v/>
      </c>
    </row>
    <row r="338" ht="36" customHeight="1">
      <c r="A338" s="20" t="inlineStr">
        <is>
          <t>APSA-370 (SO2)</t>
        </is>
      </c>
      <c r="B338" s="26" t="inlineStr">
        <is>
          <t>10.4.2</t>
        </is>
      </c>
      <c r="C338" s="22" t="inlineStr">
        <is>
          <t>Calefactor de la cámara o del HC Cutter (Heater)</t>
        </is>
      </c>
      <c r="D338" s="24" t="inlineStr">
        <is>
          <t>Bloqueante</t>
        </is>
      </c>
      <c r="E338" s="22" t="inlineStr">
        <is>
          <t>Resistencia abierta, termocupla dañada, o relé de estado sólido en falla</t>
        </is>
      </c>
      <c r="F338" s="20" t="n">
        <v>2</v>
      </c>
      <c r="G338" s="26" t="inlineStr">
        <is>
          <t>9.1.1</t>
        </is>
      </c>
      <c r="H338" s="22" t="inlineStr">
        <is>
          <t>Temperatura de la celda (CELL)</t>
        </is>
      </c>
      <c r="I338" s="22" t="inlineStr">
        <is>
          <t>Medir continuidad de la resistencia y de la termocupla antes de intervenir la tarjeta</t>
        </is>
      </c>
      <c r="J338" s="20">
        <f>IFERROR(INDEX('APSA-370 (SO2)'!$U$9:$U$104,MATCH($B338,'APSA-370 (SO2)'!$A$9:$A$104,0)),"")</f>
        <v/>
      </c>
      <c r="K338" s="20">
        <f>IF(OR($J338="No conforme",$J338="Requiere reemplazo"),"SÍ — verificar destino","")</f>
        <v/>
      </c>
    </row>
    <row r="339" ht="36" customHeight="1">
      <c r="A339" s="20" t="inlineStr">
        <is>
          <t>APOA-370 (O3)</t>
        </is>
      </c>
      <c r="B339" s="26" t="inlineStr">
        <is>
          <t>1.1.1</t>
        </is>
      </c>
      <c r="C339" s="22" t="inlineStr">
        <is>
          <t>LED de alimentación (panel frontal)</t>
        </is>
      </c>
      <c r="D339" s="23" t="inlineStr">
        <is>
          <t>Alerta</t>
        </is>
      </c>
      <c r="E339" s="22" t="inlineStr">
        <is>
          <t>LED en rojo: hay al menos una alarma activa en el equipo</t>
        </is>
      </c>
      <c r="F339" s="20" t="n">
        <v>1</v>
      </c>
      <c r="G339" s="26" t="inlineStr">
        <is>
          <t>1.2.1</t>
        </is>
      </c>
      <c r="H339" s="22" t="inlineStr">
        <is>
          <t>Iconos y botones de alarma en pantalla</t>
        </is>
      </c>
      <c r="I339" s="22" t="inlineStr">
        <is>
          <t>Registrar el color y pasar al listado de alarmas antes de continuar</t>
        </is>
      </c>
      <c r="J339" s="20">
        <f>IFERROR(INDEX('APOA-370 (O3)'!$U$9:$U$88,MATCH($B339,'APOA-370 (O3)'!$A$9:$A$88,0)),"")</f>
        <v/>
      </c>
      <c r="K339" s="20">
        <f>IF(OR($J339="No conforme",$J339="Requiere reemplazo"),"SÍ — verificar destino","")</f>
        <v/>
      </c>
    </row>
    <row r="340" ht="36" customHeight="1">
      <c r="A340" s="20" t="inlineStr">
        <is>
          <t>APOA-370 (O3)</t>
        </is>
      </c>
      <c r="B340" s="26" t="inlineStr">
        <is>
          <t>1.1.2</t>
        </is>
      </c>
      <c r="C340" s="22" t="inlineStr">
        <is>
          <t>Inicialización del visualizador táctil</t>
        </is>
      </c>
      <c r="D340" s="25" t="inlineStr">
        <is>
          <t>Cobrable</t>
        </is>
      </c>
      <c r="E340" s="22" t="inlineStr">
        <is>
          <t>Unidad LCD o bus de datos de la pantalla en falla</t>
        </is>
      </c>
      <c r="F340" s="20" t="n">
        <v>1</v>
      </c>
      <c r="G340" s="26" t="inlineStr">
        <is>
          <t>7.3.1</t>
        </is>
      </c>
      <c r="H340" s="22" t="inlineStr">
        <is>
          <t>Respuesta al toque del panel táctil</t>
        </is>
      </c>
      <c r="I340" s="22" t="inlineStr">
        <is>
          <t>Prueba cruzada con unidad LCD de servicio antes de reemplazar</t>
        </is>
      </c>
      <c r="J340" s="20">
        <f>IFERROR(INDEX('APOA-370 (O3)'!$U$9:$U$88,MATCH($B340,'APOA-370 (O3)'!$A$9:$A$88,0)),"")</f>
        <v/>
      </c>
      <c r="K340" s="20">
        <f>IF(OR($J340="No conforme",$J340="Requiere reemplazo"),"SÍ — verificar destino","")</f>
        <v/>
      </c>
    </row>
    <row r="341" ht="36" customHeight="1">
      <c r="A341" s="20" t="inlineStr">
        <is>
          <t>APOA-370 (O3)</t>
        </is>
      </c>
      <c r="B341" s="26" t="inlineStr">
        <is>
          <t>1.1.2</t>
        </is>
      </c>
      <c r="C341" s="22" t="inlineStr">
        <is>
          <t>Inicialización del visualizador táctil</t>
        </is>
      </c>
      <c r="D341" s="25" t="inlineStr">
        <is>
          <t>Cobrable</t>
        </is>
      </c>
      <c r="E341" s="22" t="inlineStr">
        <is>
          <t>Unidad LCD o bus de datos de la pantalla en falla</t>
        </is>
      </c>
      <c r="F341" s="20" t="n">
        <v>2</v>
      </c>
      <c r="G341" s="26" t="inlineStr">
        <is>
          <t>7.2.2</t>
        </is>
      </c>
      <c r="H341" s="22" t="inlineStr">
        <is>
          <t>LED de estado de CPU (AP-CPU-02)</t>
        </is>
      </c>
      <c r="I341" s="22" t="inlineStr">
        <is>
          <t>Prueba cruzada con unidad LCD de servicio antes de reemplazar</t>
        </is>
      </c>
      <c r="J341" s="20">
        <f>IFERROR(INDEX('APOA-370 (O3)'!$U$9:$U$88,MATCH($B341,'APOA-370 (O3)'!$A$9:$A$88,0)),"")</f>
        <v/>
      </c>
      <c r="K341" s="20">
        <f>IF(OR($J341="No conforme",$J341="Requiere reemplazo"),"SÍ — verificar destino","")</f>
        <v/>
      </c>
    </row>
    <row r="342" ht="36" customHeight="1">
      <c r="A342" s="20" t="inlineStr">
        <is>
          <t>APOA-370 (O3)</t>
        </is>
      </c>
      <c r="B342" s="26" t="inlineStr">
        <is>
          <t>1.1.3</t>
        </is>
      </c>
      <c r="C342" s="22" t="inlineStr">
        <is>
          <t>Verificación de la pantalla de inicio</t>
        </is>
      </c>
      <c r="D342" s="25" t="inlineStr">
        <is>
          <t>Cobrable</t>
        </is>
      </c>
      <c r="E342" s="22" t="inlineStr">
        <is>
          <t>Corrupción gráfica por bus de datos flojo o memoria dañada</t>
        </is>
      </c>
      <c r="F342" s="20" t="n">
        <v>1</v>
      </c>
      <c r="G342" s="26" t="inlineStr">
        <is>
          <t>1.1.2</t>
        </is>
      </c>
      <c r="H342" s="22" t="inlineStr">
        <is>
          <t>Inicialización del visualizador táctil</t>
        </is>
      </c>
      <c r="I342" s="22" t="inlineStr">
        <is>
          <t>Reasentar el bus de datos; si persiste, inicializar la CPU y recargar la configuración</t>
        </is>
      </c>
      <c r="J342" s="20">
        <f>IFERROR(INDEX('APOA-370 (O3)'!$U$9:$U$88,MATCH($B342,'APOA-370 (O3)'!$A$9:$A$88,0)),"")</f>
        <v/>
      </c>
      <c r="K342" s="20">
        <f>IF(OR($J342="No conforme",$J342="Requiere reemplazo"),"SÍ — verificar destino","")</f>
        <v/>
      </c>
    </row>
    <row r="343" ht="36" customHeight="1">
      <c r="A343" s="20" t="inlineStr">
        <is>
          <t>APOA-370 (O3)</t>
        </is>
      </c>
      <c r="B343" s="26" t="inlineStr">
        <is>
          <t>1.1.3</t>
        </is>
      </c>
      <c r="C343" s="22" t="inlineStr">
        <is>
          <t>Verificación de la pantalla de inicio</t>
        </is>
      </c>
      <c r="D343" s="25" t="inlineStr">
        <is>
          <t>Cobrable</t>
        </is>
      </c>
      <c r="E343" s="22" t="inlineStr">
        <is>
          <t>Corrupción gráfica por bus de datos flojo o memoria dañada</t>
        </is>
      </c>
      <c r="F343" s="20" t="n">
        <v>2</v>
      </c>
      <c r="G343" s="26" t="inlineStr">
        <is>
          <t>7.2.2</t>
        </is>
      </c>
      <c r="H343" s="22" t="inlineStr">
        <is>
          <t>LED de estado de CPU (AP-CPU-02)</t>
        </is>
      </c>
      <c r="I343" s="22" t="inlineStr">
        <is>
          <t>Reasentar el bus de datos; si persiste, inicializar la CPU y recargar la configuración</t>
        </is>
      </c>
      <c r="J343" s="20">
        <f>IFERROR(INDEX('APOA-370 (O3)'!$U$9:$U$88,MATCH($B343,'APOA-370 (O3)'!$A$9:$A$88,0)),"")</f>
        <v/>
      </c>
      <c r="K343" s="20">
        <f>IF(OR($J343="No conforme",$J343="Requiere reemplazo"),"SÍ — verificar destino","")</f>
        <v/>
      </c>
    </row>
    <row r="344" ht="36" customHeight="1">
      <c r="A344" s="20" t="inlineStr">
        <is>
          <t>APOA-370 (O3)</t>
        </is>
      </c>
      <c r="B344" s="26" t="inlineStr">
        <is>
          <t>1.2.1</t>
        </is>
      </c>
      <c r="C344" s="22" t="inlineStr">
        <is>
          <t>Iconos y botones de alarma en pantalla</t>
        </is>
      </c>
      <c r="D344" s="24" t="inlineStr">
        <is>
          <t>Bloqueante</t>
        </is>
      </c>
      <c r="E344" s="22" t="inlineStr">
        <is>
          <t>Alarma activa de proceso, de calibración o de tarjeta</t>
        </is>
      </c>
      <c r="F344" s="20" t="n">
        <v>1</v>
      </c>
      <c r="G344" s="26" t="inlineStr">
        <is>
          <t>6.1.1</t>
        </is>
      </c>
      <c r="H344" s="22" t="inlineStr">
        <is>
          <t>Intensidad de la lámpara UV (LAMP)</t>
        </is>
      </c>
      <c r="I344" s="22" t="inlineStr">
        <is>
          <t>Anotar el código en MENU/ALARM y entrar por la rama que corresponda</t>
        </is>
      </c>
      <c r="J344" s="20">
        <f>IFERROR(INDEX('APOA-370 (O3)'!$U$9:$U$88,MATCH($B344,'APOA-370 (O3)'!$A$9:$A$88,0)),"")</f>
        <v/>
      </c>
      <c r="K344" s="20">
        <f>IF(OR($J344="No conforme",$J344="Requiere reemplazo"),"SÍ — verificar destino","")</f>
        <v/>
      </c>
    </row>
    <row r="345" ht="36" customHeight="1">
      <c r="A345" s="20" t="inlineStr">
        <is>
          <t>APOA-370 (O3)</t>
        </is>
      </c>
      <c r="B345" s="26" t="inlineStr">
        <is>
          <t>1.2.1</t>
        </is>
      </c>
      <c r="C345" s="22" t="inlineStr">
        <is>
          <t>Iconos y botones de alarma en pantalla</t>
        </is>
      </c>
      <c r="D345" s="24" t="inlineStr">
        <is>
          <t>Bloqueante</t>
        </is>
      </c>
      <c r="E345" s="22" t="inlineStr">
        <is>
          <t>Alarma activa de proceso, de calibración o de tarjeta</t>
        </is>
      </c>
      <c r="F345" s="20" t="n">
        <v>2</v>
      </c>
      <c r="G345" s="26" t="inlineStr">
        <is>
          <t>5.3.1</t>
        </is>
      </c>
      <c r="H345" s="22" t="inlineStr">
        <is>
          <t>Caudal de muestra en display (SAMPLE)</t>
        </is>
      </c>
      <c r="I345" s="22" t="inlineStr">
        <is>
          <t>Anotar el código en MENU/ALARM y entrar por la rama que corresponda</t>
        </is>
      </c>
      <c r="J345" s="20">
        <f>IFERROR(INDEX('APOA-370 (O3)'!$U$9:$U$88,MATCH($B345,'APOA-370 (O3)'!$A$9:$A$88,0)),"")</f>
        <v/>
      </c>
      <c r="K345" s="20">
        <f>IF(OR($J345="No conforme",$J345="Requiere reemplazo"),"SÍ — verificar destino","")</f>
        <v/>
      </c>
    </row>
    <row r="346" ht="36" customHeight="1">
      <c r="A346" s="20" t="inlineStr">
        <is>
          <t>APOA-370 (O3)</t>
        </is>
      </c>
      <c r="B346" s="26" t="inlineStr">
        <is>
          <t>1.2.1</t>
        </is>
      </c>
      <c r="C346" s="22" t="inlineStr">
        <is>
          <t>Iconos y botones de alarma en pantalla</t>
        </is>
      </c>
      <c r="D346" s="24" t="inlineStr">
        <is>
          <t>Bloqueante</t>
        </is>
      </c>
      <c r="E346" s="22" t="inlineStr">
        <is>
          <t>Alarma activa de proceso, de calibración o de tarjeta</t>
        </is>
      </c>
      <c r="F346" s="20" t="n">
        <v>3</v>
      </c>
      <c r="G346" s="26" t="inlineStr">
        <is>
          <t>5.2.1</t>
        </is>
      </c>
      <c r="H346" s="22" t="inlineStr">
        <is>
          <t>Presión absoluta de la bomba (PUMP)</t>
        </is>
      </c>
      <c r="I346" s="22" t="inlineStr">
        <is>
          <t>Anotar el código en MENU/ALARM y entrar por la rama que corresponda</t>
        </is>
      </c>
      <c r="J346" s="20">
        <f>IFERROR(INDEX('APOA-370 (O3)'!$U$9:$U$88,MATCH($B346,'APOA-370 (O3)'!$A$9:$A$88,0)),"")</f>
        <v/>
      </c>
      <c r="K346" s="20">
        <f>IF(OR($J346="No conforme",$J346="Requiere reemplazo"),"SÍ — verificar destino","")</f>
        <v/>
      </c>
    </row>
    <row r="347" ht="36" customHeight="1">
      <c r="A347" s="20" t="inlineStr">
        <is>
          <t>APOA-370 (O3)</t>
        </is>
      </c>
      <c r="B347" s="26" t="inlineStr">
        <is>
          <t>1.2.1</t>
        </is>
      </c>
      <c r="C347" s="22" t="inlineStr">
        <is>
          <t>Iconos y botones de alarma en pantalla</t>
        </is>
      </c>
      <c r="D347" s="24" t="inlineStr">
        <is>
          <t>Bloqueante</t>
        </is>
      </c>
      <c r="E347" s="22" t="inlineStr">
        <is>
          <t>Alarma activa de proceso, de calibración o de tarjeta</t>
        </is>
      </c>
      <c r="F347" s="20" t="n">
        <v>4</v>
      </c>
      <c r="G347" s="26" t="inlineStr">
        <is>
          <t>6.1.2</t>
        </is>
      </c>
      <c r="H347" s="22" t="inlineStr">
        <is>
          <t>Temperatura de la celda (CELL)</t>
        </is>
      </c>
      <c r="I347" s="22" t="inlineStr">
        <is>
          <t>Anotar el código en MENU/ALARM y entrar por la rama que corresponda</t>
        </is>
      </c>
      <c r="J347" s="20">
        <f>IFERROR(INDEX('APOA-370 (O3)'!$U$9:$U$88,MATCH($B347,'APOA-370 (O3)'!$A$9:$A$88,0)),"")</f>
        <v/>
      </c>
      <c r="K347" s="20">
        <f>IF(OR($J347="No conforme",$J347="Requiere reemplazo"),"SÍ — verificar destino","")</f>
        <v/>
      </c>
    </row>
    <row r="348" ht="36" customHeight="1">
      <c r="A348" s="20" t="inlineStr">
        <is>
          <t>APOA-370 (O3)</t>
        </is>
      </c>
      <c r="B348" s="26" t="inlineStr">
        <is>
          <t>1.2.2</t>
        </is>
      </c>
      <c r="C348" s="22" t="inlineStr">
        <is>
          <t>Verificación de intensidad inicial de la lámpara</t>
        </is>
      </c>
      <c r="D348" s="24" t="inlineStr">
        <is>
          <t>Bloqueante</t>
        </is>
      </c>
      <c r="E348" s="22" t="inlineStr">
        <is>
          <t>Lámpara UV agotada, desalineada, u óptica sucia</t>
        </is>
      </c>
      <c r="F348" s="20" t="n">
        <v>1</v>
      </c>
      <c r="G348" s="26" t="inlineStr">
        <is>
          <t>6.1.1</t>
        </is>
      </c>
      <c r="H348" s="22" t="inlineStr">
        <is>
          <t>Intensidad de la lámpara UV (LAMP)</t>
        </is>
      </c>
      <c r="I348" s="22" t="inlineStr">
        <is>
          <t>Ajustar primero la orientación de la lámpara; si sigue baja, reemplazarla</t>
        </is>
      </c>
      <c r="J348" s="20">
        <f>IFERROR(INDEX('APOA-370 (O3)'!$U$9:$U$88,MATCH($B348,'APOA-370 (O3)'!$A$9:$A$88,0)),"")</f>
        <v/>
      </c>
      <c r="K348" s="20">
        <f>IF(OR($J348="No conforme",$J348="Requiere reemplazo"),"SÍ — verificar destino","")</f>
        <v/>
      </c>
    </row>
    <row r="349" ht="36" customHeight="1">
      <c r="A349" s="20" t="inlineStr">
        <is>
          <t>APOA-370 (O3)</t>
        </is>
      </c>
      <c r="B349" s="26" t="inlineStr">
        <is>
          <t>1.2.2</t>
        </is>
      </c>
      <c r="C349" s="22" t="inlineStr">
        <is>
          <t>Verificación de intensidad inicial de la lámpara</t>
        </is>
      </c>
      <c r="D349" s="24" t="inlineStr">
        <is>
          <t>Bloqueante</t>
        </is>
      </c>
      <c r="E349" s="22" t="inlineStr">
        <is>
          <t>Lámpara UV agotada, desalineada, u óptica sucia</t>
        </is>
      </c>
      <c r="F349" s="20" t="n">
        <v>2</v>
      </c>
      <c r="G349" s="26" t="inlineStr">
        <is>
          <t>6.2.3</t>
        </is>
      </c>
      <c r="H349" s="22" t="inlineStr">
        <is>
          <t>Alineación de la lámpara UV</t>
        </is>
      </c>
      <c r="I349" s="22" t="inlineStr">
        <is>
          <t>Ajustar primero la orientación de la lámpara; si sigue baja, reemplazarla</t>
        </is>
      </c>
      <c r="J349" s="20">
        <f>IFERROR(INDEX('APOA-370 (O3)'!$U$9:$U$88,MATCH($B349,'APOA-370 (O3)'!$A$9:$A$88,0)),"")</f>
        <v/>
      </c>
      <c r="K349" s="20">
        <f>IF(OR($J349="No conforme",$J349="Requiere reemplazo"),"SÍ — verificar destino","")</f>
        <v/>
      </c>
    </row>
    <row r="350" ht="36" customHeight="1">
      <c r="A350" s="20" t="inlineStr">
        <is>
          <t>APOA-370 (O3)</t>
        </is>
      </c>
      <c r="B350" s="26" t="inlineStr">
        <is>
          <t>1.2.2</t>
        </is>
      </c>
      <c r="C350" s="22" t="inlineStr">
        <is>
          <t>Verificación de intensidad inicial de la lámpara</t>
        </is>
      </c>
      <c r="D350" s="24" t="inlineStr">
        <is>
          <t>Bloqueante</t>
        </is>
      </c>
      <c r="E350" s="22" t="inlineStr">
        <is>
          <t>Lámpara UV agotada, desalineada, u óptica sucia</t>
        </is>
      </c>
      <c r="F350" s="20" t="n">
        <v>3</v>
      </c>
      <c r="G350" s="26" t="inlineStr">
        <is>
          <t>6.2.1</t>
        </is>
      </c>
      <c r="H350" s="22" t="inlineStr">
        <is>
          <t>Ventanas de cuarzo de la celda</t>
        </is>
      </c>
      <c r="I350" s="22" t="inlineStr">
        <is>
          <t>Ajustar primero la orientación de la lámpara; si sigue baja, reemplazarla</t>
        </is>
      </c>
      <c r="J350" s="20">
        <f>IFERROR(INDEX('APOA-370 (O3)'!$U$9:$U$88,MATCH($B350,'APOA-370 (O3)'!$A$9:$A$88,0)),"")</f>
        <v/>
      </c>
      <c r="K350" s="20">
        <f>IF(OR($J350="No conforme",$J350="Requiere reemplazo"),"SÍ — verificar destino","")</f>
        <v/>
      </c>
    </row>
    <row r="351" ht="36" customHeight="1">
      <c r="A351" s="20" t="inlineStr">
        <is>
          <t>APOA-370 (O3)</t>
        </is>
      </c>
      <c r="B351" s="26" t="inlineStr">
        <is>
          <t>1.2.3</t>
        </is>
      </c>
      <c r="C351" s="22" t="inlineStr">
        <is>
          <t>Modulación de flujo cruzado a 1 Hz</t>
        </is>
      </c>
      <c r="D351" s="24" t="inlineStr">
        <is>
          <t>Bloqueante</t>
        </is>
      </c>
      <c r="E351" s="22" t="inlineStr">
        <is>
          <t>Electroválvula SV-2 atascada, bobina quemada, o sin alimentación</t>
        </is>
      </c>
      <c r="F351" s="20" t="n">
        <v>1</v>
      </c>
      <c r="G351" s="26" t="inlineStr">
        <is>
          <t>6.5.1</t>
        </is>
      </c>
      <c r="H351" s="22" t="inlineStr">
        <is>
          <t>Unidad de solenoide de modulación (SV-2)</t>
        </is>
      </c>
      <c r="I351" s="22" t="inlineStr">
        <is>
          <t>Sin modulación no hay medición diferencial: reemplazar la electroválvula</t>
        </is>
      </c>
      <c r="J351" s="20">
        <f>IFERROR(INDEX('APOA-370 (O3)'!$U$9:$U$88,MATCH($B351,'APOA-370 (O3)'!$A$9:$A$88,0)),"")</f>
        <v/>
      </c>
      <c r="K351" s="20">
        <f>IF(OR($J351="No conforme",$J351="Requiere reemplazo"),"SÍ — verificar destino","")</f>
        <v/>
      </c>
    </row>
    <row r="352" ht="36" customHeight="1">
      <c r="A352" s="20" t="inlineStr">
        <is>
          <t>APOA-370 (O3)</t>
        </is>
      </c>
      <c r="B352" s="26" t="inlineStr">
        <is>
          <t>1.2.3</t>
        </is>
      </c>
      <c r="C352" s="22" t="inlineStr">
        <is>
          <t>Modulación de flujo cruzado a 1 Hz</t>
        </is>
      </c>
      <c r="D352" s="24" t="inlineStr">
        <is>
          <t>Bloqueante</t>
        </is>
      </c>
      <c r="E352" s="22" t="inlineStr">
        <is>
          <t>Electroválvula SV-2 atascada, bobina quemada, o sin alimentación</t>
        </is>
      </c>
      <c r="F352" s="20" t="n">
        <v>2</v>
      </c>
      <c r="G352" s="26" t="inlineStr">
        <is>
          <t>7.1.1</t>
        </is>
      </c>
      <c r="H352" s="22" t="inlineStr">
        <is>
          <t>Riel de voltaje interno de 24 V (DC 24V)</t>
        </is>
      </c>
      <c r="I352" s="22" t="inlineStr">
        <is>
          <t>Sin modulación no hay medición diferencial: reemplazar la electroválvula</t>
        </is>
      </c>
      <c r="J352" s="20">
        <f>IFERROR(INDEX('APOA-370 (O3)'!$U$9:$U$88,MATCH($B352,'APOA-370 (O3)'!$A$9:$A$88,0)),"")</f>
        <v/>
      </c>
      <c r="K352" s="20">
        <f>IF(OR($J352="No conforme",$J352="Requiere reemplazo"),"SÍ — verificar destino","")</f>
        <v/>
      </c>
    </row>
    <row r="353" ht="36" customHeight="1">
      <c r="A353" s="20" t="inlineStr">
        <is>
          <t>APOA-370 (O3)</t>
        </is>
      </c>
      <c r="B353" s="26" t="inlineStr">
        <is>
          <t>1.2.3</t>
        </is>
      </c>
      <c r="C353" s="22" t="inlineStr">
        <is>
          <t>Modulación de flujo cruzado a 1 Hz</t>
        </is>
      </c>
      <c r="D353" s="24" t="inlineStr">
        <is>
          <t>Bloqueante</t>
        </is>
      </c>
      <c r="E353" s="22" t="inlineStr">
        <is>
          <t>Electroválvula SV-2 atascada, bobina quemada, o sin alimentación</t>
        </is>
      </c>
      <c r="F353" s="20" t="n">
        <v>3</v>
      </c>
      <c r="G353" s="26" t="inlineStr">
        <is>
          <t>6.1.3</t>
        </is>
      </c>
      <c r="H353" s="22" t="inlineStr">
        <is>
          <t>Ruido de la señal analógica (SIGNAL)</t>
        </is>
      </c>
      <c r="I353" s="22" t="inlineStr">
        <is>
          <t>Sin modulación no hay medición diferencial: reemplazar la electroválvula</t>
        </is>
      </c>
      <c r="J353" s="20">
        <f>IFERROR(INDEX('APOA-370 (O3)'!$U$9:$U$88,MATCH($B353,'APOA-370 (O3)'!$A$9:$A$88,0)),"")</f>
        <v/>
      </c>
      <c r="K353" s="20">
        <f>IF(OR($J353="No conforme",$J353="Requiere reemplazo"),"SÍ — verificar destino","")</f>
        <v/>
      </c>
    </row>
    <row r="354" ht="36" customHeight="1">
      <c r="A354" s="20" t="inlineStr">
        <is>
          <t>APOA-370 (O3)</t>
        </is>
      </c>
      <c r="B354" s="26" t="inlineStr">
        <is>
          <t>1.3.1</t>
        </is>
      </c>
      <c r="C354" s="22" t="inlineStr">
        <is>
          <t>Calentamiento inicial (warm-up)</t>
        </is>
      </c>
      <c r="D354" s="23" t="inlineStr">
        <is>
          <t>Alerta</t>
        </is>
      </c>
      <c r="E354" s="22" t="inlineStr">
        <is>
          <t>Equipo encendido hace menos de 3 h: lámpara, celda y deozonizador aún inestables</t>
        </is>
      </c>
      <c r="F354" s="20" t="n">
        <v>1</v>
      </c>
      <c r="G354" s="26" t="inlineStr">
        <is>
          <t>6.1.1</t>
        </is>
      </c>
      <c r="H354" s="22" t="inlineStr">
        <is>
          <t>Intensidad de la lámpara UV (LAMP)</t>
        </is>
      </c>
      <c r="I354" s="22" t="inlineStr">
        <is>
          <t>Esperar el calentamiento completo antes de calibrar o de juzgar la estabilidad del cero</t>
        </is>
      </c>
      <c r="J354" s="20">
        <f>IFERROR(INDEX('APOA-370 (O3)'!$U$9:$U$88,MATCH($B354,'APOA-370 (O3)'!$A$9:$A$88,0)),"")</f>
        <v/>
      </c>
      <c r="K354" s="20">
        <f>IF(OR($J354="No conforme",$J354="Requiere reemplazo"),"SÍ — verificar destino","")</f>
        <v/>
      </c>
    </row>
    <row r="355" ht="36" customHeight="1">
      <c r="A355" s="20" t="inlineStr">
        <is>
          <t>APOA-370 (O3)</t>
        </is>
      </c>
      <c r="B355" s="26" t="inlineStr">
        <is>
          <t>1.3.1</t>
        </is>
      </c>
      <c r="C355" s="22" t="inlineStr">
        <is>
          <t>Calentamiento inicial (warm-up)</t>
        </is>
      </c>
      <c r="D355" s="23" t="inlineStr">
        <is>
          <t>Alerta</t>
        </is>
      </c>
      <c r="E355" s="22" t="inlineStr">
        <is>
          <t>Equipo encendido hace menos de 3 h: lámpara, celda y deozonizador aún inestables</t>
        </is>
      </c>
      <c r="F355" s="20" t="n">
        <v>2</v>
      </c>
      <c r="G355" s="26" t="inlineStr">
        <is>
          <t>6.1.2</t>
        </is>
      </c>
      <c r="H355" s="22" t="inlineStr">
        <is>
          <t>Temperatura de la celda (CELL)</t>
        </is>
      </c>
      <c r="I355" s="22" t="inlineStr">
        <is>
          <t>Esperar el calentamiento completo antes de calibrar o de juzgar la estabilidad del cero</t>
        </is>
      </c>
      <c r="J355" s="20">
        <f>IFERROR(INDEX('APOA-370 (O3)'!$U$9:$U$88,MATCH($B355,'APOA-370 (O3)'!$A$9:$A$88,0)),"")</f>
        <v/>
      </c>
      <c r="K355" s="20">
        <f>IF(OR($J355="No conforme",$J355="Requiere reemplazo"),"SÍ — verificar destino","")</f>
        <v/>
      </c>
    </row>
    <row r="356" ht="36" customHeight="1">
      <c r="A356" s="20" t="inlineStr">
        <is>
          <t>APOA-370 (O3)</t>
        </is>
      </c>
      <c r="B356" s="26" t="inlineStr">
        <is>
          <t>1.3.1</t>
        </is>
      </c>
      <c r="C356" s="22" t="inlineStr">
        <is>
          <t>Calentamiento inicial (warm-up)</t>
        </is>
      </c>
      <c r="D356" s="23" t="inlineStr">
        <is>
          <t>Alerta</t>
        </is>
      </c>
      <c r="E356" s="22" t="inlineStr">
        <is>
          <t>Equipo encendido hace menos de 3 h: lámpara, celda y deozonizador aún inestables</t>
        </is>
      </c>
      <c r="F356" s="20" t="n">
        <v>3</v>
      </c>
      <c r="G356" s="26" t="inlineStr">
        <is>
          <t>9.2.2</t>
        </is>
      </c>
      <c r="H356" s="22" t="inlineStr">
        <is>
          <t>Termistor de temperatura del deozonizador</t>
        </is>
      </c>
      <c r="I356" s="22" t="inlineStr">
        <is>
          <t>Esperar el calentamiento completo antes de calibrar o de juzgar la estabilidad del cero</t>
        </is>
      </c>
      <c r="J356" s="20">
        <f>IFERROR(INDEX('APOA-370 (O3)'!$U$9:$U$88,MATCH($B356,'APOA-370 (O3)'!$A$9:$A$88,0)),"")</f>
        <v/>
      </c>
      <c r="K356" s="20">
        <f>IF(OR($J356="No conforme",$J356="Requiere reemplazo"),"SÍ — verificar destino","")</f>
        <v/>
      </c>
    </row>
    <row r="357" ht="36" customHeight="1">
      <c r="A357" s="20" t="inlineStr">
        <is>
          <t>APOA-370 (O3)</t>
        </is>
      </c>
      <c r="B357" s="26" t="inlineStr">
        <is>
          <t>2.1.1</t>
        </is>
      </c>
      <c r="C357" s="22" t="inlineStr">
        <is>
          <t>Número de serie del analizador</t>
        </is>
      </c>
      <c r="D357" s="23" t="inlineStr">
        <is>
          <t>Alerta</t>
        </is>
      </c>
      <c r="E357" s="22" t="inlineStr">
        <is>
          <t>Placa ilegible, o equipo distinto al de la orden de servicio</t>
        </is>
      </c>
      <c r="F357" s="20" t="n">
        <v>1</v>
      </c>
      <c r="G357" s="26" t="inlineStr">
        <is>
          <t>2.2.2</t>
        </is>
      </c>
      <c r="H357" s="22" t="inlineStr">
        <is>
          <t>Código HGS del sistema</t>
        </is>
      </c>
      <c r="I357" s="22" t="inlineStr">
        <is>
          <t>Registrar el serial real, fotografiarlo y corregir la hoja de vida</t>
        </is>
      </c>
      <c r="J357" s="20">
        <f>IFERROR(INDEX('APOA-370 (O3)'!$U$9:$U$88,MATCH($B357,'APOA-370 (O3)'!$A$9:$A$88,0)),"")</f>
        <v/>
      </c>
      <c r="K357" s="20">
        <f>IF(OR($J357="No conforme",$J357="Requiere reemplazo"),"SÍ — verificar destino","")</f>
        <v/>
      </c>
    </row>
    <row r="358" ht="36" customHeight="1">
      <c r="A358" s="20" t="inlineStr">
        <is>
          <t>APOA-370 (O3)</t>
        </is>
      </c>
      <c r="B358" s="26" t="inlineStr">
        <is>
          <t>2.2.1</t>
        </is>
      </c>
      <c r="C358" s="22" t="inlineStr">
        <is>
          <t>Versión del firmware (ROM)</t>
        </is>
      </c>
      <c r="D358" s="23" t="inlineStr">
        <is>
          <t>Alerta</t>
        </is>
      </c>
      <c r="E358" s="22" t="inlineStr">
        <is>
          <t>Programa no homologado, o CPU sustituida sin recargar la configuración</t>
        </is>
      </c>
      <c r="F358" s="20" t="n">
        <v>1</v>
      </c>
      <c r="G358" s="26" t="inlineStr">
        <is>
          <t>2.2.2</t>
        </is>
      </c>
      <c r="H358" s="22" t="inlineStr">
        <is>
          <t>Código HGS del sistema</t>
        </is>
      </c>
      <c r="I358" s="22" t="inlineStr">
        <is>
          <t>Confirmar el HGS con fábrica y recargar la configuración desde la CF antes de calibrar</t>
        </is>
      </c>
      <c r="J358" s="20">
        <f>IFERROR(INDEX('APOA-370 (O3)'!$U$9:$U$88,MATCH($B358,'APOA-370 (O3)'!$A$9:$A$88,0)),"")</f>
        <v/>
      </c>
      <c r="K358" s="20">
        <f>IF(OR($J358="No conforme",$J358="Requiere reemplazo"),"SÍ — verificar destino","")</f>
        <v/>
      </c>
    </row>
    <row r="359" ht="36" customHeight="1">
      <c r="A359" s="20" t="inlineStr">
        <is>
          <t>APOA-370 (O3)</t>
        </is>
      </c>
      <c r="B359" s="26" t="inlineStr">
        <is>
          <t>2.2.1</t>
        </is>
      </c>
      <c r="C359" s="22" t="inlineStr">
        <is>
          <t>Versión del firmware (ROM)</t>
        </is>
      </c>
      <c r="D359" s="23" t="inlineStr">
        <is>
          <t>Alerta</t>
        </is>
      </c>
      <c r="E359" s="22" t="inlineStr">
        <is>
          <t>Programa no homologado, o CPU sustituida sin recargar la configuración</t>
        </is>
      </c>
      <c r="F359" s="20" t="n">
        <v>2</v>
      </c>
      <c r="G359" s="26" t="inlineStr">
        <is>
          <t>7.2.2</t>
        </is>
      </c>
      <c r="H359" s="22" t="inlineStr">
        <is>
          <t>LED de estado de CPU (AP-CPU-02)</t>
        </is>
      </c>
      <c r="I359" s="22" t="inlineStr">
        <is>
          <t>Confirmar el HGS con fábrica y recargar la configuración desde la CF antes de calibrar</t>
        </is>
      </c>
      <c r="J359" s="20">
        <f>IFERROR(INDEX('APOA-370 (O3)'!$U$9:$U$88,MATCH($B359,'APOA-370 (O3)'!$A$9:$A$88,0)),"")</f>
        <v/>
      </c>
      <c r="K359" s="20">
        <f>IF(OR($J359="No conforme",$J359="Requiere reemplazo"),"SÍ — verificar destino","")</f>
        <v/>
      </c>
    </row>
    <row r="360" ht="36" customHeight="1">
      <c r="A360" s="20" t="inlineStr">
        <is>
          <t>APOA-370 (O3)</t>
        </is>
      </c>
      <c r="B360" s="26" t="inlineStr">
        <is>
          <t>2.2.2</t>
        </is>
      </c>
      <c r="C360" s="22" t="inlineStr">
        <is>
          <t>Código HGS del sistema</t>
        </is>
      </c>
      <c r="D360" s="23" t="inlineStr">
        <is>
          <t>Alerta</t>
        </is>
      </c>
      <c r="E360" s="22" t="inlineStr">
        <is>
          <t>HGS no documentado: impide pedir repuestos con la configuración correcta</t>
        </is>
      </c>
      <c r="F360" s="20" t="n">
        <v>1</v>
      </c>
      <c r="G360" s="26" t="inlineStr">
        <is>
          <t>2.1.1</t>
        </is>
      </c>
      <c r="H360" s="22" t="inlineStr">
        <is>
          <t>Número de serie del analizador</t>
        </is>
      </c>
      <c r="I360" s="22" t="inlineStr">
        <is>
          <t>Solicitar el HGS a fábrica y registrarlo en la hoja de vida</t>
        </is>
      </c>
      <c r="J360" s="20">
        <f>IFERROR(INDEX('APOA-370 (O3)'!$U$9:$U$88,MATCH($B360,'APOA-370 (O3)'!$A$9:$A$88,0)),"")</f>
        <v/>
      </c>
      <c r="K360" s="20">
        <f>IF(OR($J360="No conforme",$J360="Requiere reemplazo"),"SÍ — verificar destino","")</f>
        <v/>
      </c>
    </row>
    <row r="361" ht="36" customHeight="1">
      <c r="A361" s="20" t="inlineStr">
        <is>
          <t>APOA-370 (O3)</t>
        </is>
      </c>
      <c r="B361" s="26" t="inlineStr">
        <is>
          <t>2.4.1</t>
        </is>
      </c>
      <c r="C361" s="22" t="inlineStr">
        <is>
          <t>Marcación de conectores en el panel trasero</t>
        </is>
      </c>
      <c r="D361" s="23" t="inlineStr">
        <is>
          <t>Alerta</t>
        </is>
      </c>
      <c r="E361" s="22" t="inlineStr">
        <is>
          <t>Serigrafía borrada o cubierta por etiquetas ajenas</t>
        </is>
      </c>
      <c r="F361" s="20" t="n">
        <v>1</v>
      </c>
      <c r="G361" s="26" t="inlineStr">
        <is>
          <t>4.3.3</t>
        </is>
      </c>
      <c r="H361" s="22" t="inlineStr">
        <is>
          <t>Racor de entrada frontal de muestra</t>
        </is>
      </c>
      <c r="I361" s="22" t="inlineStr">
        <is>
          <t>Rotular de nuevo los puertos: una conexión cruzada invalida toda la medición</t>
        </is>
      </c>
      <c r="J361" s="20">
        <f>IFERROR(INDEX('APOA-370 (O3)'!$U$9:$U$88,MATCH($B361,'APOA-370 (O3)'!$A$9:$A$88,0)),"")</f>
        <v/>
      </c>
      <c r="K361" s="20">
        <f>IF(OR($J361="No conforme",$J361="Requiere reemplazo"),"SÍ — verificar destino","")</f>
        <v/>
      </c>
    </row>
    <row r="362" ht="48" customHeight="1">
      <c r="A362" s="20" t="inlineStr">
        <is>
          <t>APOA-370 (O3)</t>
        </is>
      </c>
      <c r="B362" s="26" t="inlineStr">
        <is>
          <t>3.1.1</t>
        </is>
      </c>
      <c r="C362" s="22" t="inlineStr">
        <is>
          <t>Coeficiente de calibración de cero (User Zero)</t>
        </is>
      </c>
      <c r="D362" s="24" t="inlineStr">
        <is>
          <t>Bloqueante</t>
        </is>
      </c>
      <c r="E362" s="22" t="inlineStr">
        <is>
          <t>Aire cero contaminado, deozonizador agotado, o fuga neumática</t>
        </is>
      </c>
      <c r="F362" s="20" t="n">
        <v>1</v>
      </c>
      <c r="G362" s="26" t="inlineStr">
        <is>
          <t>1.3.1</t>
        </is>
      </c>
      <c r="H362" s="22" t="inlineStr">
        <is>
          <t>Calentamiento inicial (warm-up)</t>
        </is>
      </c>
      <c r="I362" s="22" t="inlineStr">
        <is>
          <t>Inyectar aire cero certificado para descartar el generador; si persiste, seguir la rama del deozonizador</t>
        </is>
      </c>
      <c r="J362" s="20">
        <f>IFERROR(INDEX('APOA-370 (O3)'!$U$9:$U$88,MATCH($B362,'APOA-370 (O3)'!$A$9:$A$88,0)),"")</f>
        <v/>
      </c>
      <c r="K362" s="20">
        <f>IF(OR($J362="No conforme",$J362="Requiere reemplazo"),"SÍ — verificar destino","")</f>
        <v/>
      </c>
    </row>
    <row r="363" ht="48" customHeight="1">
      <c r="A363" s="20" t="inlineStr">
        <is>
          <t>APOA-370 (O3)</t>
        </is>
      </c>
      <c r="B363" s="26" t="inlineStr">
        <is>
          <t>3.1.1</t>
        </is>
      </c>
      <c r="C363" s="22" t="inlineStr">
        <is>
          <t>Coeficiente de calibración de cero (User Zero)</t>
        </is>
      </c>
      <c r="D363" s="24" t="inlineStr">
        <is>
          <t>Bloqueante</t>
        </is>
      </c>
      <c r="E363" s="22" t="inlineStr">
        <is>
          <t>Aire cero contaminado, deozonizador agotado, o fuga neumática</t>
        </is>
      </c>
      <c r="F363" s="20" t="n">
        <v>2</v>
      </c>
      <c r="G363" s="26" t="inlineStr">
        <is>
          <t>6.3.1</t>
        </is>
      </c>
      <c r="H363" s="22" t="inlineStr">
        <is>
          <t>Unidad catalítica calentada (DO pipe)</t>
        </is>
      </c>
      <c r="I363" s="22" t="inlineStr">
        <is>
          <t>Inyectar aire cero certificado para descartar el generador; si persiste, seguir la rama del deozonizador</t>
        </is>
      </c>
      <c r="J363" s="20">
        <f>IFERROR(INDEX('APOA-370 (O3)'!$U$9:$U$88,MATCH($B363,'APOA-370 (O3)'!$A$9:$A$88,0)),"")</f>
        <v/>
      </c>
      <c r="K363" s="20">
        <f>IF(OR($J363="No conforme",$J363="Requiere reemplazo"),"SÍ — verificar destino","")</f>
        <v/>
      </c>
    </row>
    <row r="364" ht="48" customHeight="1">
      <c r="A364" s="20" t="inlineStr">
        <is>
          <t>APOA-370 (O3)</t>
        </is>
      </c>
      <c r="B364" s="26" t="inlineStr">
        <is>
          <t>3.1.1</t>
        </is>
      </c>
      <c r="C364" s="22" t="inlineStr">
        <is>
          <t>Coeficiente de calibración de cero (User Zero)</t>
        </is>
      </c>
      <c r="D364" s="24" t="inlineStr">
        <is>
          <t>Bloqueante</t>
        </is>
      </c>
      <c r="E364" s="22" t="inlineStr">
        <is>
          <t>Aire cero contaminado, deozonizador agotado, o fuga neumática</t>
        </is>
      </c>
      <c r="F364" s="20" t="n">
        <v>3</v>
      </c>
      <c r="G364" s="26" t="inlineStr">
        <is>
          <t>4.3.1</t>
        </is>
      </c>
      <c r="H364" s="22" t="inlineStr">
        <is>
          <t>Férula de teflón (Sleeve / SO2001-6)</t>
        </is>
      </c>
      <c r="I364" s="22" t="inlineStr">
        <is>
          <t>Inyectar aire cero certificado para descartar el generador; si persiste, seguir la rama del deozonizador</t>
        </is>
      </c>
      <c r="J364" s="20">
        <f>IFERROR(INDEX('APOA-370 (O3)'!$U$9:$U$88,MATCH($B364,'APOA-370 (O3)'!$A$9:$A$88,0)),"")</f>
        <v/>
      </c>
      <c r="K364" s="20">
        <f>IF(OR($J364="No conforme",$J364="Requiere reemplazo"),"SÍ — verificar destino","")</f>
        <v/>
      </c>
    </row>
    <row r="365" ht="48" customHeight="1">
      <c r="A365" s="20" t="inlineStr">
        <is>
          <t>APOA-370 (O3)</t>
        </is>
      </c>
      <c r="B365" s="26" t="inlineStr">
        <is>
          <t>3.1.1</t>
        </is>
      </c>
      <c r="C365" s="22" t="inlineStr">
        <is>
          <t>Coeficiente de calibración de cero (User Zero)</t>
        </is>
      </c>
      <c r="D365" s="24" t="inlineStr">
        <is>
          <t>Bloqueante</t>
        </is>
      </c>
      <c r="E365" s="22" t="inlineStr">
        <is>
          <t>Aire cero contaminado, deozonizador agotado, o fuga neumática</t>
        </is>
      </c>
      <c r="F365" s="20" t="n">
        <v>4</v>
      </c>
      <c r="G365" s="26" t="inlineStr">
        <is>
          <t>3.3.1</t>
        </is>
      </c>
      <c r="H365" s="22" t="inlineStr">
        <is>
          <t>Presión de entrega de gas cero y de span</t>
        </is>
      </c>
      <c r="I365" s="22" t="inlineStr">
        <is>
          <t>Inyectar aire cero certificado para descartar el generador; si persiste, seguir la rama del deozonizador</t>
        </is>
      </c>
      <c r="J365" s="20">
        <f>IFERROR(INDEX('APOA-370 (O3)'!$U$9:$U$88,MATCH($B365,'APOA-370 (O3)'!$A$9:$A$88,0)),"")</f>
        <v/>
      </c>
      <c r="K365" s="20">
        <f>IF(OR($J365="No conforme",$J365="Requiere reemplazo"),"SÍ — verificar destino","")</f>
        <v/>
      </c>
    </row>
    <row r="366" ht="48" customHeight="1">
      <c r="A366" s="20" t="inlineStr">
        <is>
          <t>APOA-370 (O3)</t>
        </is>
      </c>
      <c r="B366" s="26" t="inlineStr">
        <is>
          <t>3.1.1</t>
        </is>
      </c>
      <c r="C366" s="22" t="inlineStr">
        <is>
          <t>Coeficiente de calibración de cero (User Zero)</t>
        </is>
      </c>
      <c r="D366" s="24" t="inlineStr">
        <is>
          <t>Bloqueante</t>
        </is>
      </c>
      <c r="E366" s="22" t="inlineStr">
        <is>
          <t>Aire cero contaminado, deozonizador agotado, o fuga neumática</t>
        </is>
      </c>
      <c r="F366" s="20" t="n">
        <v>5</v>
      </c>
      <c r="G366" s="26" t="inlineStr">
        <is>
          <t>3.4.1</t>
        </is>
      </c>
      <c r="H366" s="22" t="inlineStr">
        <is>
          <t>Estabilidad de la lectura de cero</t>
        </is>
      </c>
      <c r="I366" s="22" t="inlineStr">
        <is>
          <t>Inyectar aire cero certificado para descartar el generador; si persiste, seguir la rama del deozonizador</t>
        </is>
      </c>
      <c r="J366" s="20">
        <f>IFERROR(INDEX('APOA-370 (O3)'!$U$9:$U$88,MATCH($B366,'APOA-370 (O3)'!$A$9:$A$88,0)),"")</f>
        <v/>
      </c>
      <c r="K366" s="20">
        <f>IF(OR($J366="No conforme",$J366="Requiere reemplazo"),"SÍ — verificar destino","")</f>
        <v/>
      </c>
    </row>
    <row r="367" ht="36" customHeight="1">
      <c r="A367" s="20" t="inlineStr">
        <is>
          <t>APOA-370 (O3)</t>
        </is>
      </c>
      <c r="B367" s="26" t="inlineStr">
        <is>
          <t>3.1.2</t>
        </is>
      </c>
      <c r="C367" s="22" t="inlineStr">
        <is>
          <t>Coeficiente de calibración de span (User Span)</t>
        </is>
      </c>
      <c r="D367" s="24" t="inlineStr">
        <is>
          <t>Bloqueante</t>
        </is>
      </c>
      <c r="E367" s="22" t="inlineStr">
        <is>
          <t>Concentración del patrón mal configurada, lámpara degradada, o deozonizador ineficiente</t>
        </is>
      </c>
      <c r="F367" s="20" t="n">
        <v>1</v>
      </c>
      <c r="G367" s="26" t="inlineStr">
        <is>
          <t>3.3.1</t>
        </is>
      </c>
      <c r="H367" s="22" t="inlineStr">
        <is>
          <t>Presión de entrega de gas cero y de span</t>
        </is>
      </c>
      <c r="I367" s="22" t="inlineStr">
        <is>
          <t>Confirmar el valor de span contra el patrón de ozono y volver a calibrar</t>
        </is>
      </c>
      <c r="J367" s="20">
        <f>IFERROR(INDEX('APOA-370 (O3)'!$U$9:$U$88,MATCH($B367,'APOA-370 (O3)'!$A$9:$A$88,0)),"")</f>
        <v/>
      </c>
      <c r="K367" s="20">
        <f>IF(OR($J367="No conforme",$J367="Requiere reemplazo"),"SÍ — verificar destino","")</f>
        <v/>
      </c>
    </row>
    <row r="368" ht="36" customHeight="1">
      <c r="A368" s="20" t="inlineStr">
        <is>
          <t>APOA-370 (O3)</t>
        </is>
      </c>
      <c r="B368" s="26" t="inlineStr">
        <is>
          <t>3.1.2</t>
        </is>
      </c>
      <c r="C368" s="22" t="inlineStr">
        <is>
          <t>Coeficiente de calibración de span (User Span)</t>
        </is>
      </c>
      <c r="D368" s="24" t="inlineStr">
        <is>
          <t>Bloqueante</t>
        </is>
      </c>
      <c r="E368" s="22" t="inlineStr">
        <is>
          <t>Concentración del patrón mal configurada, lámpara degradada, o deozonizador ineficiente</t>
        </is>
      </c>
      <c r="F368" s="20" t="n">
        <v>2</v>
      </c>
      <c r="G368" s="26" t="inlineStr">
        <is>
          <t>6.1.1</t>
        </is>
      </c>
      <c r="H368" s="22" t="inlineStr">
        <is>
          <t>Intensidad de la lámpara UV (LAMP)</t>
        </is>
      </c>
      <c r="I368" s="22" t="inlineStr">
        <is>
          <t>Confirmar el valor de span contra el patrón de ozono y volver a calibrar</t>
        </is>
      </c>
      <c r="J368" s="20">
        <f>IFERROR(INDEX('APOA-370 (O3)'!$U$9:$U$88,MATCH($B368,'APOA-370 (O3)'!$A$9:$A$88,0)),"")</f>
        <v/>
      </c>
      <c r="K368" s="20">
        <f>IF(OR($J368="No conforme",$J368="Requiere reemplazo"),"SÍ — verificar destino","")</f>
        <v/>
      </c>
    </row>
    <row r="369" ht="36" customHeight="1">
      <c r="A369" s="20" t="inlineStr">
        <is>
          <t>APOA-370 (O3)</t>
        </is>
      </c>
      <c r="B369" s="26" t="inlineStr">
        <is>
          <t>3.1.2</t>
        </is>
      </c>
      <c r="C369" s="22" t="inlineStr">
        <is>
          <t>Coeficiente de calibración de span (User Span)</t>
        </is>
      </c>
      <c r="D369" s="24" t="inlineStr">
        <is>
          <t>Bloqueante</t>
        </is>
      </c>
      <c r="E369" s="22" t="inlineStr">
        <is>
          <t>Concentración del patrón mal configurada, lámpara degradada, o deozonizador ineficiente</t>
        </is>
      </c>
      <c r="F369" s="20" t="n">
        <v>3</v>
      </c>
      <c r="G369" s="26" t="inlineStr">
        <is>
          <t>6.3.1</t>
        </is>
      </c>
      <c r="H369" s="22" t="inlineStr">
        <is>
          <t>Unidad catalítica calentada (DO pipe)</t>
        </is>
      </c>
      <c r="I369" s="22" t="inlineStr">
        <is>
          <t>Confirmar el valor de span contra el patrón de ozono y volver a calibrar</t>
        </is>
      </c>
      <c r="J369" s="20">
        <f>IFERROR(INDEX('APOA-370 (O3)'!$U$9:$U$88,MATCH($B369,'APOA-370 (O3)'!$A$9:$A$88,0)),"")</f>
        <v/>
      </c>
      <c r="K369" s="20">
        <f>IF(OR($J369="No conforme",$J369="Requiere reemplazo"),"SÍ — verificar destino","")</f>
        <v/>
      </c>
    </row>
    <row r="370" ht="36" customHeight="1">
      <c r="A370" s="20" t="inlineStr">
        <is>
          <t>APOA-370 (O3)</t>
        </is>
      </c>
      <c r="B370" s="26" t="inlineStr">
        <is>
          <t>3.1.2</t>
        </is>
      </c>
      <c r="C370" s="22" t="inlineStr">
        <is>
          <t>Coeficiente de calibración de span (User Span)</t>
        </is>
      </c>
      <c r="D370" s="24" t="inlineStr">
        <is>
          <t>Bloqueante</t>
        </is>
      </c>
      <c r="E370" s="22" t="inlineStr">
        <is>
          <t>Concentración del patrón mal configurada, lámpara degradada, o deozonizador ineficiente</t>
        </is>
      </c>
      <c r="F370" s="20" t="n">
        <v>4</v>
      </c>
      <c r="G370" s="26" t="inlineStr">
        <is>
          <t>6.1.2</t>
        </is>
      </c>
      <c r="H370" s="22" t="inlineStr">
        <is>
          <t>Temperatura de la celda (CELL)</t>
        </is>
      </c>
      <c r="I370" s="22" t="inlineStr">
        <is>
          <t>Confirmar el valor de span contra el patrón de ozono y volver a calibrar</t>
        </is>
      </c>
      <c r="J370" s="20">
        <f>IFERROR(INDEX('APOA-370 (O3)'!$U$9:$U$88,MATCH($B370,'APOA-370 (O3)'!$A$9:$A$88,0)),"")</f>
        <v/>
      </c>
      <c r="K370" s="20">
        <f>IF(OR($J370="No conforme",$J370="Requiere reemplazo"),"SÍ — verificar destino","")</f>
        <v/>
      </c>
    </row>
    <row r="371" ht="36" customHeight="1">
      <c r="A371" s="20" t="inlineStr">
        <is>
          <t>APOA-370 (O3)</t>
        </is>
      </c>
      <c r="B371" s="26" t="inlineStr">
        <is>
          <t>3.2.1</t>
        </is>
      </c>
      <c r="C371" s="22" t="inlineStr">
        <is>
          <t>Coeficiente de cero de fábrica (Factory Zero)</t>
        </is>
      </c>
      <c r="D371" s="24" t="inlineStr">
        <is>
          <t>Bloqueante</t>
        </is>
      </c>
      <c r="E371" s="22" t="inlineStr">
        <is>
          <t>Cuenta ADC saturada: el detector o el preamplificador están fuera de su punto de trabajo</t>
        </is>
      </c>
      <c r="F371" s="20" t="n">
        <v>1</v>
      </c>
      <c r="G371" s="26" t="inlineStr">
        <is>
          <t>6.4.1</t>
        </is>
      </c>
      <c r="H371" s="22" t="inlineStr">
        <is>
          <t>Fotodiodo detector de medición</t>
        </is>
      </c>
      <c r="I371" s="22" t="inlineStr">
        <is>
          <t>Trabajo de modo servicio: no ajustar en campo sin descartar antes detector y preamplificador</t>
        </is>
      </c>
      <c r="J371" s="20">
        <f>IFERROR(INDEX('APOA-370 (O3)'!$U$9:$U$88,MATCH($B371,'APOA-370 (O3)'!$A$9:$A$88,0)),"")</f>
        <v/>
      </c>
      <c r="K371" s="20">
        <f>IF(OR($J371="No conforme",$J371="Requiere reemplazo"),"SÍ — verificar destino","")</f>
        <v/>
      </c>
    </row>
    <row r="372" ht="36" customHeight="1">
      <c r="A372" s="20" t="inlineStr">
        <is>
          <t>APOA-370 (O3)</t>
        </is>
      </c>
      <c r="B372" s="26" t="inlineStr">
        <is>
          <t>3.2.1</t>
        </is>
      </c>
      <c r="C372" s="22" t="inlineStr">
        <is>
          <t>Coeficiente de cero de fábrica (Factory Zero)</t>
        </is>
      </c>
      <c r="D372" s="24" t="inlineStr">
        <is>
          <t>Bloqueante</t>
        </is>
      </c>
      <c r="E372" s="22" t="inlineStr">
        <is>
          <t>Cuenta ADC saturada: el detector o el preamplificador están fuera de su punto de trabajo</t>
        </is>
      </c>
      <c r="F372" s="20" t="n">
        <v>2</v>
      </c>
      <c r="G372" s="26" t="inlineStr">
        <is>
          <t>6.4.2</t>
        </is>
      </c>
      <c r="H372" s="22" t="inlineStr">
        <is>
          <t>Tarjeta preamplificadora (AP-AMP-06)</t>
        </is>
      </c>
      <c r="I372" s="22" t="inlineStr">
        <is>
          <t>Trabajo de modo servicio: no ajustar en campo sin descartar antes detector y preamplificador</t>
        </is>
      </c>
      <c r="J372" s="20">
        <f>IFERROR(INDEX('APOA-370 (O3)'!$U$9:$U$88,MATCH($B372,'APOA-370 (O3)'!$A$9:$A$88,0)),"")</f>
        <v/>
      </c>
      <c r="K372" s="20">
        <f>IF(OR($J372="No conforme",$J372="Requiere reemplazo"),"SÍ — verificar destino","")</f>
        <v/>
      </c>
    </row>
    <row r="373" ht="36" customHeight="1">
      <c r="A373" s="20" t="inlineStr">
        <is>
          <t>APOA-370 (O3)</t>
        </is>
      </c>
      <c r="B373" s="26" t="inlineStr">
        <is>
          <t>3.2.1</t>
        </is>
      </c>
      <c r="C373" s="22" t="inlineStr">
        <is>
          <t>Coeficiente de cero de fábrica (Factory Zero)</t>
        </is>
      </c>
      <c r="D373" s="24" t="inlineStr">
        <is>
          <t>Bloqueante</t>
        </is>
      </c>
      <c r="E373" s="22" t="inlineStr">
        <is>
          <t>Cuenta ADC saturada: el detector o el preamplificador están fuera de su punto de trabajo</t>
        </is>
      </c>
      <c r="F373" s="20" t="n">
        <v>3</v>
      </c>
      <c r="G373" s="26" t="inlineStr">
        <is>
          <t>6.1.1</t>
        </is>
      </c>
      <c r="H373" s="22" t="inlineStr">
        <is>
          <t>Intensidad de la lámpara UV (LAMP)</t>
        </is>
      </c>
      <c r="I373" s="22" t="inlineStr">
        <is>
          <t>Trabajo de modo servicio: no ajustar en campo sin descartar antes detector y preamplificador</t>
        </is>
      </c>
      <c r="J373" s="20">
        <f>IFERROR(INDEX('APOA-370 (O3)'!$U$9:$U$88,MATCH($B373,'APOA-370 (O3)'!$A$9:$A$88,0)),"")</f>
        <v/>
      </c>
      <c r="K373" s="20">
        <f>IF(OR($J373="No conforme",$J373="Requiere reemplazo"),"SÍ — verificar destino","")</f>
        <v/>
      </c>
    </row>
    <row r="374" ht="36" customHeight="1">
      <c r="A374" s="20" t="inlineStr">
        <is>
          <t>APOA-370 (O3)</t>
        </is>
      </c>
      <c r="B374" s="26" t="inlineStr">
        <is>
          <t>3.2.2</t>
        </is>
      </c>
      <c r="C374" s="22" t="inlineStr">
        <is>
          <t>Coeficiente de span de fábrica (Factory Span)</t>
        </is>
      </c>
      <c r="D374" s="24" t="inlineStr">
        <is>
          <t>Bloqueante</t>
        </is>
      </c>
      <c r="E374" s="22" t="inlineStr">
        <is>
          <t>Ganancia de fábrica fuera de 0,7 a 1,3: pérdida de sensibilidad del banco óptico</t>
        </is>
      </c>
      <c r="F374" s="20" t="n">
        <v>1</v>
      </c>
      <c r="G374" s="26" t="inlineStr">
        <is>
          <t>6.1.1</t>
        </is>
      </c>
      <c r="H374" s="22" t="inlineStr">
        <is>
          <t>Intensidad de la lámpara UV (LAMP)</t>
        </is>
      </c>
      <c r="I374" s="22" t="inlineStr">
        <is>
          <t>Recorrer la rama óptica antes de tocar el coeficiente de fábrica</t>
        </is>
      </c>
      <c r="J374" s="20">
        <f>IFERROR(INDEX('APOA-370 (O3)'!$U$9:$U$88,MATCH($B374,'APOA-370 (O3)'!$A$9:$A$88,0)),"")</f>
        <v/>
      </c>
      <c r="K374" s="20">
        <f>IF(OR($J374="No conforme",$J374="Requiere reemplazo"),"SÍ — verificar destino","")</f>
        <v/>
      </c>
    </row>
    <row r="375" ht="36" customHeight="1">
      <c r="A375" s="20" t="inlineStr">
        <is>
          <t>APOA-370 (O3)</t>
        </is>
      </c>
      <c r="B375" s="26" t="inlineStr">
        <is>
          <t>3.2.2</t>
        </is>
      </c>
      <c r="C375" s="22" t="inlineStr">
        <is>
          <t>Coeficiente de span de fábrica (Factory Span)</t>
        </is>
      </c>
      <c r="D375" s="24" t="inlineStr">
        <is>
          <t>Bloqueante</t>
        </is>
      </c>
      <c r="E375" s="22" t="inlineStr">
        <is>
          <t>Ganancia de fábrica fuera de 0,7 a 1,3: pérdida de sensibilidad del banco óptico</t>
        </is>
      </c>
      <c r="F375" s="20" t="n">
        <v>2</v>
      </c>
      <c r="G375" s="26" t="inlineStr">
        <is>
          <t>6.2.1</t>
        </is>
      </c>
      <c r="H375" s="22" t="inlineStr">
        <is>
          <t>Ventanas de cuarzo de la celda</t>
        </is>
      </c>
      <c r="I375" s="22" t="inlineStr">
        <is>
          <t>Recorrer la rama óptica antes de tocar el coeficiente de fábrica</t>
        </is>
      </c>
      <c r="J375" s="20">
        <f>IFERROR(INDEX('APOA-370 (O3)'!$U$9:$U$88,MATCH($B375,'APOA-370 (O3)'!$A$9:$A$88,0)),"")</f>
        <v/>
      </c>
      <c r="K375" s="20">
        <f>IF(OR($J375="No conforme",$J375="Requiere reemplazo"),"SÍ — verificar destino","")</f>
        <v/>
      </c>
    </row>
    <row r="376" ht="36" customHeight="1">
      <c r="A376" s="20" t="inlineStr">
        <is>
          <t>APOA-370 (O3)</t>
        </is>
      </c>
      <c r="B376" s="26" t="inlineStr">
        <is>
          <t>3.2.2</t>
        </is>
      </c>
      <c r="C376" s="22" t="inlineStr">
        <is>
          <t>Coeficiente de span de fábrica (Factory Span)</t>
        </is>
      </c>
      <c r="D376" s="24" t="inlineStr">
        <is>
          <t>Bloqueante</t>
        </is>
      </c>
      <c r="E376" s="22" t="inlineStr">
        <is>
          <t>Ganancia de fábrica fuera de 0,7 a 1,3: pérdida de sensibilidad del banco óptico</t>
        </is>
      </c>
      <c r="F376" s="20" t="n">
        <v>3</v>
      </c>
      <c r="G376" s="26" t="inlineStr">
        <is>
          <t>6.4.1</t>
        </is>
      </c>
      <c r="H376" s="22" t="inlineStr">
        <is>
          <t>Fotodiodo detector de medición</t>
        </is>
      </c>
      <c r="I376" s="22" t="inlineStr">
        <is>
          <t>Recorrer la rama óptica antes de tocar el coeficiente de fábrica</t>
        </is>
      </c>
      <c r="J376" s="20">
        <f>IFERROR(INDEX('APOA-370 (O3)'!$U$9:$U$88,MATCH($B376,'APOA-370 (O3)'!$A$9:$A$88,0)),"")</f>
        <v/>
      </c>
      <c r="K376" s="20">
        <f>IF(OR($J376="No conforme",$J376="Requiere reemplazo"),"SÍ — verificar destino","")</f>
        <v/>
      </c>
    </row>
    <row r="377" ht="36" customHeight="1">
      <c r="A377" s="20" t="inlineStr">
        <is>
          <t>APOA-370 (O3)</t>
        </is>
      </c>
      <c r="B377" s="26" t="inlineStr">
        <is>
          <t>3.3.1</t>
        </is>
      </c>
      <c r="C377" s="22" t="inlineStr">
        <is>
          <t>Presión de entrega de gas cero y de span</t>
        </is>
      </c>
      <c r="D377" s="24" t="inlineStr">
        <is>
          <t>Bloqueante</t>
        </is>
      </c>
      <c r="E377" s="22" t="inlineStr">
        <is>
          <t>Regulador mal ajustado o cilindro despresurizado</t>
        </is>
      </c>
      <c r="F377" s="20" t="n">
        <v>1</v>
      </c>
      <c r="G377" s="26" t="inlineStr">
        <is>
          <t>3.1.2</t>
        </is>
      </c>
      <c r="H377" s="22" t="inlineStr">
        <is>
          <t>Coeficiente de calibración de span (User Span)</t>
        </is>
      </c>
      <c r="I377" s="22" t="inlineStr">
        <is>
          <t>Reajustar el regulador para una entrega estable respecto a la atmósfera</t>
        </is>
      </c>
      <c r="J377" s="20">
        <f>IFERROR(INDEX('APOA-370 (O3)'!$U$9:$U$88,MATCH($B377,'APOA-370 (O3)'!$A$9:$A$88,0)),"")</f>
        <v/>
      </c>
      <c r="K377" s="20">
        <f>IF(OR($J377="No conforme",$J377="Requiere reemplazo"),"SÍ — verificar destino","")</f>
        <v/>
      </c>
    </row>
    <row r="378" ht="36" customHeight="1">
      <c r="A378" s="20" t="inlineStr">
        <is>
          <t>APOA-370 (O3)</t>
        </is>
      </c>
      <c r="B378" s="26" t="inlineStr">
        <is>
          <t>3.3.2</t>
        </is>
      </c>
      <c r="C378" s="22" t="inlineStr">
        <is>
          <t>Lámpara del ozonizador interno (opcional)</t>
        </is>
      </c>
      <c r="D378" s="25" t="inlineStr">
        <is>
          <t>Cobrable</t>
        </is>
      </c>
      <c r="E378" s="22" t="inlineStr">
        <is>
          <t>Lámpara del generador de span agotada o sin alimentación</t>
        </is>
      </c>
      <c r="F378" s="20" t="n">
        <v>1</v>
      </c>
      <c r="G378" s="26" t="inlineStr">
        <is>
          <t>3.1.2</t>
        </is>
      </c>
      <c r="H378" s="22" t="inlineStr">
        <is>
          <t>Coeficiente de calibración de span (User Span)</t>
        </is>
      </c>
      <c r="I378" s="22" t="inlineStr">
        <is>
          <t>Reemplazar la lámpara del ozonizador interno o calibrar con patrón externo</t>
        </is>
      </c>
      <c r="J378" s="20">
        <f>IFERROR(INDEX('APOA-370 (O3)'!$U$9:$U$88,MATCH($B378,'APOA-370 (O3)'!$A$9:$A$88,0)),"")</f>
        <v/>
      </c>
      <c r="K378" s="20">
        <f>IF(OR($J378="No conforme",$J378="Requiere reemplazo"),"SÍ — verificar destino","")</f>
        <v/>
      </c>
    </row>
    <row r="379" ht="36" customHeight="1">
      <c r="A379" s="20" t="inlineStr">
        <is>
          <t>APOA-370 (O3)</t>
        </is>
      </c>
      <c r="B379" s="26" t="inlineStr">
        <is>
          <t>3.4.1</t>
        </is>
      </c>
      <c r="C379" s="22" t="inlineStr">
        <is>
          <t>Estabilidad de la lectura de cero</t>
        </is>
      </c>
      <c r="D379" s="24" t="inlineStr">
        <is>
          <t>Bloqueante</t>
        </is>
      </c>
      <c r="E379" s="22" t="inlineStr">
        <is>
          <t>Deozonizador agotado, fuga neumática, o ruido óptico</t>
        </is>
      </c>
      <c r="F379" s="20" t="n">
        <v>1</v>
      </c>
      <c r="G379" s="26" t="inlineStr">
        <is>
          <t>6.3.1</t>
        </is>
      </c>
      <c r="H379" s="22" t="inlineStr">
        <is>
          <t>Unidad catalítica calentada (DO pipe)</t>
        </is>
      </c>
      <c r="I379" s="22" t="inlineStr">
        <is>
          <t>Recorrer la rama de referencia y la óptica antes de recalibrar el cero</t>
        </is>
      </c>
      <c r="J379" s="20">
        <f>IFERROR(INDEX('APOA-370 (O3)'!$U$9:$U$88,MATCH($B379,'APOA-370 (O3)'!$A$9:$A$88,0)),"")</f>
        <v/>
      </c>
      <c r="K379" s="20">
        <f>IF(OR($J379="No conforme",$J379="Requiere reemplazo"),"SÍ — verificar destino","")</f>
        <v/>
      </c>
    </row>
    <row r="380" ht="36" customHeight="1">
      <c r="A380" s="20" t="inlineStr">
        <is>
          <t>APOA-370 (O3)</t>
        </is>
      </c>
      <c r="B380" s="26" t="inlineStr">
        <is>
          <t>3.4.1</t>
        </is>
      </c>
      <c r="C380" s="22" t="inlineStr">
        <is>
          <t>Estabilidad de la lectura de cero</t>
        </is>
      </c>
      <c r="D380" s="24" t="inlineStr">
        <is>
          <t>Bloqueante</t>
        </is>
      </c>
      <c r="E380" s="22" t="inlineStr">
        <is>
          <t>Deozonizador agotado, fuga neumática, o ruido óptico</t>
        </is>
      </c>
      <c r="F380" s="20" t="n">
        <v>2</v>
      </c>
      <c r="G380" s="26" t="inlineStr">
        <is>
          <t>6.1.3</t>
        </is>
      </c>
      <c r="H380" s="22" t="inlineStr">
        <is>
          <t>Ruido de la señal analógica (SIGNAL)</t>
        </is>
      </c>
      <c r="I380" s="22" t="inlineStr">
        <is>
          <t>Recorrer la rama de referencia y la óptica antes de recalibrar el cero</t>
        </is>
      </c>
      <c r="J380" s="20">
        <f>IFERROR(INDEX('APOA-370 (O3)'!$U$9:$U$88,MATCH($B380,'APOA-370 (O3)'!$A$9:$A$88,0)),"")</f>
        <v/>
      </c>
      <c r="K380" s="20">
        <f>IF(OR($J380="No conforme",$J380="Requiere reemplazo"),"SÍ — verificar destino","")</f>
        <v/>
      </c>
    </row>
    <row r="381" ht="36" customHeight="1">
      <c r="A381" s="20" t="inlineStr">
        <is>
          <t>APOA-370 (O3)</t>
        </is>
      </c>
      <c r="B381" s="26" t="inlineStr">
        <is>
          <t>3.4.1</t>
        </is>
      </c>
      <c r="C381" s="22" t="inlineStr">
        <is>
          <t>Estabilidad de la lectura de cero</t>
        </is>
      </c>
      <c r="D381" s="24" t="inlineStr">
        <is>
          <t>Bloqueante</t>
        </is>
      </c>
      <c r="E381" s="22" t="inlineStr">
        <is>
          <t>Deozonizador agotado, fuga neumática, o ruido óptico</t>
        </is>
      </c>
      <c r="F381" s="20" t="n">
        <v>3</v>
      </c>
      <c r="G381" s="26" t="inlineStr">
        <is>
          <t>4.3.1</t>
        </is>
      </c>
      <c r="H381" s="22" t="inlineStr">
        <is>
          <t>Férula de teflón (Sleeve / SO2001-6)</t>
        </is>
      </c>
      <c r="I381" s="22" t="inlineStr">
        <is>
          <t>Recorrer la rama de referencia y la óptica antes de recalibrar el cero</t>
        </is>
      </c>
      <c r="J381" s="20">
        <f>IFERROR(INDEX('APOA-370 (O3)'!$U$9:$U$88,MATCH($B381,'APOA-370 (O3)'!$A$9:$A$88,0)),"")</f>
        <v/>
      </c>
      <c r="K381" s="20">
        <f>IF(OR($J381="No conforme",$J381="Requiere reemplazo"),"SÍ — verificar destino","")</f>
        <v/>
      </c>
    </row>
    <row r="382" ht="36" customHeight="1">
      <c r="A382" s="20" t="inlineStr">
        <is>
          <t>APOA-370 (O3)</t>
        </is>
      </c>
      <c r="B382" s="26" t="inlineStr">
        <is>
          <t>3.4.1</t>
        </is>
      </c>
      <c r="C382" s="22" t="inlineStr">
        <is>
          <t>Estabilidad de la lectura de cero</t>
        </is>
      </c>
      <c r="D382" s="24" t="inlineStr">
        <is>
          <t>Bloqueante</t>
        </is>
      </c>
      <c r="E382" s="22" t="inlineStr">
        <is>
          <t>Deozonizador agotado, fuga neumática, o ruido óptico</t>
        </is>
      </c>
      <c r="F382" s="20" t="n">
        <v>4</v>
      </c>
      <c r="G382" s="26" t="inlineStr">
        <is>
          <t>6.1.1</t>
        </is>
      </c>
      <c r="H382" s="22" t="inlineStr">
        <is>
          <t>Intensidad de la lámpara UV (LAMP)</t>
        </is>
      </c>
      <c r="I382" s="22" t="inlineStr">
        <is>
          <t>Recorrer la rama de referencia y la óptica antes de recalibrar el cero</t>
        </is>
      </c>
      <c r="J382" s="20">
        <f>IFERROR(INDEX('APOA-370 (O3)'!$U$9:$U$88,MATCH($B382,'APOA-370 (O3)'!$A$9:$A$88,0)),"")</f>
        <v/>
      </c>
      <c r="K382" s="20">
        <f>IF(OR($J382="No conforme",$J382="Requiere reemplazo"),"SÍ — verificar destino","")</f>
        <v/>
      </c>
    </row>
    <row r="383" ht="36" customHeight="1">
      <c r="A383" s="20" t="inlineStr">
        <is>
          <t>APOA-370 (O3)</t>
        </is>
      </c>
      <c r="B383" s="26" t="inlineStr">
        <is>
          <t>4.1.1</t>
        </is>
      </c>
      <c r="C383" s="22" t="inlineStr">
        <is>
          <t>Filtro de partículas de teflón (PA-10L)</t>
        </is>
      </c>
      <c r="D383" s="25" t="inlineStr">
        <is>
          <t>Cobrable</t>
        </is>
      </c>
      <c r="E383" s="22" t="inlineStr">
        <is>
          <t>Filtro saturado de material particulado o humedecido</t>
        </is>
      </c>
      <c r="F383" s="20" t="n">
        <v>1</v>
      </c>
      <c r="G383" s="26" t="inlineStr">
        <is>
          <t>5.2.1</t>
        </is>
      </c>
      <c r="H383" s="22" t="inlineStr">
        <is>
          <t>Presión absoluta de la bomba (PUMP)</t>
        </is>
      </c>
      <c r="I383" s="22" t="inlineStr">
        <is>
          <t>Reemplazar el elemento filtrante y reiniciar su horómetro</t>
        </is>
      </c>
      <c r="J383" s="20">
        <f>IFERROR(INDEX('APOA-370 (O3)'!$U$9:$U$88,MATCH($B383,'APOA-370 (O3)'!$A$9:$A$88,0)),"")</f>
        <v/>
      </c>
      <c r="K383" s="20">
        <f>IF(OR($J383="No conforme",$J383="Requiere reemplazo"),"SÍ — verificar destino","")</f>
        <v/>
      </c>
    </row>
    <row r="384" ht="36" customHeight="1">
      <c r="A384" s="20" t="inlineStr">
        <is>
          <t>APOA-370 (O3)</t>
        </is>
      </c>
      <c r="B384" s="26" t="inlineStr">
        <is>
          <t>4.1.1</t>
        </is>
      </c>
      <c r="C384" s="22" t="inlineStr">
        <is>
          <t>Filtro de partículas de teflón (PA-10L)</t>
        </is>
      </c>
      <c r="D384" s="25" t="inlineStr">
        <is>
          <t>Cobrable</t>
        </is>
      </c>
      <c r="E384" s="22" t="inlineStr">
        <is>
          <t>Filtro saturado de material particulado o humedecido</t>
        </is>
      </c>
      <c r="F384" s="20" t="n">
        <v>2</v>
      </c>
      <c r="G384" s="26" t="inlineStr">
        <is>
          <t>5.3.1</t>
        </is>
      </c>
      <c r="H384" s="22" t="inlineStr">
        <is>
          <t>Caudal de muestra en display (SAMPLE)</t>
        </is>
      </c>
      <c r="I384" s="22" t="inlineStr">
        <is>
          <t>Reemplazar el elemento filtrante y reiniciar su horómetro</t>
        </is>
      </c>
      <c r="J384" s="20">
        <f>IFERROR(INDEX('APOA-370 (O3)'!$U$9:$U$88,MATCH($B384,'APOA-370 (O3)'!$A$9:$A$88,0)),"")</f>
        <v/>
      </c>
      <c r="K384" s="20">
        <f>IF(OR($J384="No conforme",$J384="Requiere reemplazo"),"SÍ — verificar destino","")</f>
        <v/>
      </c>
    </row>
    <row r="385" ht="36" customHeight="1">
      <c r="A385" s="20" t="inlineStr">
        <is>
          <t>APOA-370 (O3)</t>
        </is>
      </c>
      <c r="B385" s="26" t="inlineStr">
        <is>
          <t>4.1.1</t>
        </is>
      </c>
      <c r="C385" s="22" t="inlineStr">
        <is>
          <t>Filtro de partículas de teflón (PA-10L)</t>
        </is>
      </c>
      <c r="D385" s="25" t="inlineStr">
        <is>
          <t>Cobrable</t>
        </is>
      </c>
      <c r="E385" s="22" t="inlineStr">
        <is>
          <t>Filtro saturado de material particulado o humedecido</t>
        </is>
      </c>
      <c r="F385" s="20" t="n">
        <v>3</v>
      </c>
      <c r="G385" s="26" t="inlineStr">
        <is>
          <t>8.1.1</t>
        </is>
      </c>
      <c r="H385" s="22" t="inlineStr">
        <is>
          <t>Reemplazo del elemento filtrante PA-10L</t>
        </is>
      </c>
      <c r="I385" s="22" t="inlineStr">
        <is>
          <t>Reemplazar el elemento filtrante y reiniciar su horómetro</t>
        </is>
      </c>
      <c r="J385" s="20">
        <f>IFERROR(INDEX('APOA-370 (O3)'!$U$9:$U$88,MATCH($B385,'APOA-370 (O3)'!$A$9:$A$88,0)),"")</f>
        <v/>
      </c>
      <c r="K385" s="20">
        <f>IF(OR($J385="No conforme",$J385="Requiere reemplazo"),"SÍ — verificar destino","")</f>
        <v/>
      </c>
    </row>
    <row r="386" ht="36" customHeight="1">
      <c r="A386" s="20" t="inlineStr">
        <is>
          <t>APOA-370 (O3)</t>
        </is>
      </c>
      <c r="B386" s="26" t="inlineStr">
        <is>
          <t>4.1.2</t>
        </is>
      </c>
      <c r="C386" s="22" t="inlineStr">
        <is>
          <t>Junta tórica del portafiltros (O-Ring G50)</t>
        </is>
      </c>
      <c r="D386" s="25" t="inlineStr">
        <is>
          <t>Cobrable</t>
        </is>
      </c>
      <c r="E386" s="22" t="inlineStr">
        <is>
          <t>Junta reseca o aplastada: fuga en la tapa del portafiltros</t>
        </is>
      </c>
      <c r="F386" s="20" t="n">
        <v>1</v>
      </c>
      <c r="G386" s="26" t="inlineStr">
        <is>
          <t>5.2.1</t>
        </is>
      </c>
      <c r="H386" s="22" t="inlineStr">
        <is>
          <t>Presión absoluta de la bomba (PUMP)</t>
        </is>
      </c>
      <c r="I386" s="22" t="inlineStr">
        <is>
          <t>Reemplazar la junta tórica G50 y repetir la prueba de hermeticidad</t>
        </is>
      </c>
      <c r="J386" s="20">
        <f>IFERROR(INDEX('APOA-370 (O3)'!$U$9:$U$88,MATCH($B386,'APOA-370 (O3)'!$A$9:$A$88,0)),"")</f>
        <v/>
      </c>
      <c r="K386" s="20">
        <f>IF(OR($J386="No conforme",$J386="Requiere reemplazo"),"SÍ — verificar destino","")</f>
        <v/>
      </c>
    </row>
    <row r="387" ht="36" customHeight="1">
      <c r="A387" s="20" t="inlineStr">
        <is>
          <t>APOA-370 (O3)</t>
        </is>
      </c>
      <c r="B387" s="26" t="inlineStr">
        <is>
          <t>4.1.3</t>
        </is>
      </c>
      <c r="C387" s="22" t="inlineStr">
        <is>
          <t>Empaque de teflón del filtro</t>
        </is>
      </c>
      <c r="D387" s="25" t="inlineStr">
        <is>
          <t>Cobrable</t>
        </is>
      </c>
      <c r="E387" s="22" t="inlineStr">
        <is>
          <t>Empaque deformado o con residuos: asiento imperfecto del filtro</t>
        </is>
      </c>
      <c r="F387" s="20" t="n">
        <v>1</v>
      </c>
      <c r="G387" s="26" t="inlineStr">
        <is>
          <t>4.1.2</t>
        </is>
      </c>
      <c r="H387" s="22" t="inlineStr">
        <is>
          <t>Junta tórica del portafiltros (O-Ring G50)</t>
        </is>
      </c>
      <c r="I387" s="22" t="inlineStr">
        <is>
          <t>Reemplazar el empaque plano y verificar el asiento del elemento</t>
        </is>
      </c>
      <c r="J387" s="20">
        <f>IFERROR(INDEX('APOA-370 (O3)'!$U$9:$U$88,MATCH($B387,'APOA-370 (O3)'!$A$9:$A$88,0)),"")</f>
        <v/>
      </c>
      <c r="K387" s="20">
        <f>IF(OR($J387="No conforme",$J387="Requiere reemplazo"),"SÍ — verificar destino","")</f>
        <v/>
      </c>
    </row>
    <row r="388" ht="36" customHeight="1">
      <c r="A388" s="20" t="inlineStr">
        <is>
          <t>APOA-370 (O3)</t>
        </is>
      </c>
      <c r="B388" s="26" t="inlineStr">
        <is>
          <t>4.1.3</t>
        </is>
      </c>
      <c r="C388" s="22" t="inlineStr">
        <is>
          <t>Empaque de teflón del filtro</t>
        </is>
      </c>
      <c r="D388" s="25" t="inlineStr">
        <is>
          <t>Cobrable</t>
        </is>
      </c>
      <c r="E388" s="22" t="inlineStr">
        <is>
          <t>Empaque deformado o con residuos: asiento imperfecto del filtro</t>
        </is>
      </c>
      <c r="F388" s="20" t="n">
        <v>2</v>
      </c>
      <c r="G388" s="26" t="inlineStr">
        <is>
          <t>5.2.1</t>
        </is>
      </c>
      <c r="H388" s="22" t="inlineStr">
        <is>
          <t>Presión absoluta de la bomba (PUMP)</t>
        </is>
      </c>
      <c r="I388" s="22" t="inlineStr">
        <is>
          <t>Reemplazar el empaque plano y verificar el asiento del elemento</t>
        </is>
      </c>
      <c r="J388" s="20">
        <f>IFERROR(INDEX('APOA-370 (O3)'!$U$9:$U$88,MATCH($B388,'APOA-370 (O3)'!$A$9:$A$88,0)),"")</f>
        <v/>
      </c>
      <c r="K388" s="20">
        <f>IF(OR($J388="No conforme",$J388="Requiere reemplazo"),"SÍ — verificar destino","")</f>
        <v/>
      </c>
    </row>
    <row r="389" ht="48" customHeight="1">
      <c r="A389" s="20" t="inlineStr">
        <is>
          <t>APOA-370 (O3)</t>
        </is>
      </c>
      <c r="B389" s="26" t="inlineStr">
        <is>
          <t>4.2.1</t>
        </is>
      </c>
      <c r="C389" s="22" t="inlineStr">
        <is>
          <t>Humedad o condensación en el portafiltros</t>
        </is>
      </c>
      <c r="D389" s="24" t="inlineStr">
        <is>
          <t>Bloqueante</t>
        </is>
      </c>
      <c r="E389" s="22" t="inlineStr">
        <is>
          <t>Ingreso de agua por la sonda, o caída de temperatura bajo el punto de rocío</t>
        </is>
      </c>
      <c r="F389" s="20" t="n">
        <v>1</v>
      </c>
      <c r="G389" s="26" t="inlineStr">
        <is>
          <t>4.4.1</t>
        </is>
      </c>
      <c r="H389" s="22" t="inlineStr">
        <is>
          <t>Línea de teflón (PTFE) de entrada</t>
        </is>
      </c>
      <c r="I389" s="22" t="inlineStr">
        <is>
          <t>Apagar la bomba, secar y purgar el circuito con aire seco, y dejar calentar el equipo antes de volver a medir</t>
        </is>
      </c>
      <c r="J389" s="20">
        <f>IFERROR(INDEX('APOA-370 (O3)'!$U$9:$U$88,MATCH($B389,'APOA-370 (O3)'!$A$9:$A$88,0)),"")</f>
        <v/>
      </c>
      <c r="K389" s="20">
        <f>IF(OR($J389="No conforme",$J389="Requiere reemplazo"),"SÍ — verificar destino","")</f>
        <v/>
      </c>
    </row>
    <row r="390" ht="48" customHeight="1">
      <c r="A390" s="20" t="inlineStr">
        <is>
          <t>APOA-370 (O3)</t>
        </is>
      </c>
      <c r="B390" s="26" t="inlineStr">
        <is>
          <t>4.2.1</t>
        </is>
      </c>
      <c r="C390" s="22" t="inlineStr">
        <is>
          <t>Humedad o condensación en el portafiltros</t>
        </is>
      </c>
      <c r="D390" s="24" t="inlineStr">
        <is>
          <t>Bloqueante</t>
        </is>
      </c>
      <c r="E390" s="22" t="inlineStr">
        <is>
          <t>Ingreso de agua por la sonda, o caída de temperatura bajo el punto de rocío</t>
        </is>
      </c>
      <c r="F390" s="20" t="n">
        <v>2</v>
      </c>
      <c r="G390" s="26" t="inlineStr">
        <is>
          <t>10.3.1</t>
        </is>
      </c>
      <c r="H390" s="22" t="inlineStr">
        <is>
          <t>Temperatura ambiental del recinto (shelter)</t>
        </is>
      </c>
      <c r="I390" s="22" t="inlineStr">
        <is>
          <t>Apagar la bomba, secar y purgar el circuito con aire seco, y dejar calentar el equipo antes de volver a medir</t>
        </is>
      </c>
      <c r="J390" s="20">
        <f>IFERROR(INDEX('APOA-370 (O3)'!$U$9:$U$88,MATCH($B390,'APOA-370 (O3)'!$A$9:$A$88,0)),"")</f>
        <v/>
      </c>
      <c r="K390" s="20">
        <f>IF(OR($J390="No conforme",$J390="Requiere reemplazo"),"SÍ — verificar destino","")</f>
        <v/>
      </c>
    </row>
    <row r="391" ht="48" customHeight="1">
      <c r="A391" s="20" t="inlineStr">
        <is>
          <t>APOA-370 (O3)</t>
        </is>
      </c>
      <c r="B391" s="26" t="inlineStr">
        <is>
          <t>4.2.1</t>
        </is>
      </c>
      <c r="C391" s="22" t="inlineStr">
        <is>
          <t>Humedad o condensación en el portafiltros</t>
        </is>
      </c>
      <c r="D391" s="24" t="inlineStr">
        <is>
          <t>Bloqueante</t>
        </is>
      </c>
      <c r="E391" s="22" t="inlineStr">
        <is>
          <t>Ingreso de agua por la sonda, o caída de temperatura bajo el punto de rocío</t>
        </is>
      </c>
      <c r="F391" s="20" t="n">
        <v>3</v>
      </c>
      <c r="G391" s="26" t="inlineStr">
        <is>
          <t>6.2.1</t>
        </is>
      </c>
      <c r="H391" s="22" t="inlineStr">
        <is>
          <t>Ventanas de cuarzo de la celda</t>
        </is>
      </c>
      <c r="I391" s="22" t="inlineStr">
        <is>
          <t>Apagar la bomba, secar y purgar el circuito con aire seco, y dejar calentar el equipo antes de volver a medir</t>
        </is>
      </c>
      <c r="J391" s="20">
        <f>IFERROR(INDEX('APOA-370 (O3)'!$U$9:$U$88,MATCH($B391,'APOA-370 (O3)'!$A$9:$A$88,0)),"")</f>
        <v/>
      </c>
      <c r="K391" s="20">
        <f>IF(OR($J391="No conforme",$J391="Requiere reemplazo"),"SÍ — verificar destino","")</f>
        <v/>
      </c>
    </row>
    <row r="392" ht="48" customHeight="1">
      <c r="A392" s="20" t="inlineStr">
        <is>
          <t>APOA-370 (O3)</t>
        </is>
      </c>
      <c r="B392" s="26" t="inlineStr">
        <is>
          <t>4.2.1</t>
        </is>
      </c>
      <c r="C392" s="22" t="inlineStr">
        <is>
          <t>Humedad o condensación en el portafiltros</t>
        </is>
      </c>
      <c r="D392" s="24" t="inlineStr">
        <is>
          <t>Bloqueante</t>
        </is>
      </c>
      <c r="E392" s="22" t="inlineStr">
        <is>
          <t>Ingreso de agua por la sonda, o caída de temperatura bajo el punto de rocío</t>
        </is>
      </c>
      <c r="F392" s="20" t="n">
        <v>4</v>
      </c>
      <c r="G392" s="26" t="inlineStr">
        <is>
          <t>5.1.1</t>
        </is>
      </c>
      <c r="H392" s="22" t="inlineStr">
        <is>
          <t>Diafragma de la bomba (P-1-D)</t>
        </is>
      </c>
      <c r="I392" s="22" t="inlineStr">
        <is>
          <t>Apagar la bomba, secar y purgar el circuito con aire seco, y dejar calentar el equipo antes de volver a medir</t>
        </is>
      </c>
      <c r="J392" s="20">
        <f>IFERROR(INDEX('APOA-370 (O3)'!$U$9:$U$88,MATCH($B392,'APOA-370 (O3)'!$A$9:$A$88,0)),"")</f>
        <v/>
      </c>
      <c r="K392" s="20">
        <f>IF(OR($J392="No conforme",$J392="Requiere reemplazo"),"SÍ — verificar destino","")</f>
        <v/>
      </c>
    </row>
    <row r="393" ht="36" customHeight="1">
      <c r="A393" s="20" t="inlineStr">
        <is>
          <t>APOA-370 (O3)</t>
        </is>
      </c>
      <c r="B393" s="26" t="inlineStr">
        <is>
          <t>4.3.1</t>
        </is>
      </c>
      <c r="C393" s="22" t="inlineStr">
        <is>
          <t>Férula de teflón (Sleeve / SO2001-6)</t>
        </is>
      </c>
      <c r="D393" s="24" t="inlineStr">
        <is>
          <t>Bloqueante</t>
        </is>
      </c>
      <c r="E393" s="22" t="inlineStr">
        <is>
          <t>Férula ausente o mal montada: ingreso de aire falso</t>
        </is>
      </c>
      <c r="F393" s="20" t="n">
        <v>1</v>
      </c>
      <c r="G393" s="26" t="inlineStr">
        <is>
          <t>5.2.1</t>
        </is>
      </c>
      <c r="H393" s="22" t="inlineStr">
        <is>
          <t>Presión absoluta de la bomba (PUMP)</t>
        </is>
      </c>
      <c r="I393" s="22" t="inlineStr">
        <is>
          <t>Instalar las férulas de 6 mm en INLET, EXHAUST y filtro, y repetir la prueba de hermeticidad</t>
        </is>
      </c>
      <c r="J393" s="20">
        <f>IFERROR(INDEX('APOA-370 (O3)'!$U$9:$U$88,MATCH($B393,'APOA-370 (O3)'!$A$9:$A$88,0)),"")</f>
        <v/>
      </c>
      <c r="K393" s="20">
        <f>IF(OR($J393="No conforme",$J393="Requiere reemplazo"),"SÍ — verificar destino","")</f>
        <v/>
      </c>
    </row>
    <row r="394" ht="36" customHeight="1">
      <c r="A394" s="20" t="inlineStr">
        <is>
          <t>APOA-370 (O3)</t>
        </is>
      </c>
      <c r="B394" s="26" t="inlineStr">
        <is>
          <t>4.3.1</t>
        </is>
      </c>
      <c r="C394" s="22" t="inlineStr">
        <is>
          <t>Férula de teflón (Sleeve / SO2001-6)</t>
        </is>
      </c>
      <c r="D394" s="24" t="inlineStr">
        <is>
          <t>Bloqueante</t>
        </is>
      </c>
      <c r="E394" s="22" t="inlineStr">
        <is>
          <t>Férula ausente o mal montada: ingreso de aire falso</t>
        </is>
      </c>
      <c r="F394" s="20" t="n">
        <v>2</v>
      </c>
      <c r="G394" s="26" t="inlineStr">
        <is>
          <t>5.3.1</t>
        </is>
      </c>
      <c r="H394" s="22" t="inlineStr">
        <is>
          <t>Caudal de muestra en display (SAMPLE)</t>
        </is>
      </c>
      <c r="I394" s="22" t="inlineStr">
        <is>
          <t>Instalar las férulas de 6 mm en INLET, EXHAUST y filtro, y repetir la prueba de hermeticidad</t>
        </is>
      </c>
      <c r="J394" s="20">
        <f>IFERROR(INDEX('APOA-370 (O3)'!$U$9:$U$88,MATCH($B394,'APOA-370 (O3)'!$A$9:$A$88,0)),"")</f>
        <v/>
      </c>
      <c r="K394" s="20">
        <f>IF(OR($J394="No conforme",$J394="Requiere reemplazo"),"SÍ — verificar destino","")</f>
        <v/>
      </c>
    </row>
    <row r="395" ht="36" customHeight="1">
      <c r="A395" s="20" t="inlineStr">
        <is>
          <t>APOA-370 (O3)</t>
        </is>
      </c>
      <c r="B395" s="26" t="inlineStr">
        <is>
          <t>4.3.1</t>
        </is>
      </c>
      <c r="C395" s="22" t="inlineStr">
        <is>
          <t>Férula de teflón (Sleeve / SO2001-6)</t>
        </is>
      </c>
      <c r="D395" s="24" t="inlineStr">
        <is>
          <t>Bloqueante</t>
        </is>
      </c>
      <c r="E395" s="22" t="inlineStr">
        <is>
          <t>Férula ausente o mal montada: ingreso de aire falso</t>
        </is>
      </c>
      <c r="F395" s="20" t="n">
        <v>3</v>
      </c>
      <c r="G395" s="26" t="inlineStr">
        <is>
          <t>3.1.1</t>
        </is>
      </c>
      <c r="H395" s="22" t="inlineStr">
        <is>
          <t>Coeficiente de calibración de cero (User Zero)</t>
        </is>
      </c>
      <c r="I395" s="22" t="inlineStr">
        <is>
          <t>Instalar las férulas de 6 mm en INLET, EXHAUST y filtro, y repetir la prueba de hermeticidad</t>
        </is>
      </c>
      <c r="J395" s="20">
        <f>IFERROR(INDEX('APOA-370 (O3)'!$U$9:$U$88,MATCH($B395,'APOA-370 (O3)'!$A$9:$A$88,0)),"")</f>
        <v/>
      </c>
      <c r="K395" s="20">
        <f>IF(OR($J395="No conforme",$J395="Requiere reemplazo"),"SÍ — verificar destino","")</f>
        <v/>
      </c>
    </row>
    <row r="396" ht="24" customHeight="1">
      <c r="A396" s="20" t="inlineStr">
        <is>
          <t>APOA-370 (O3)</t>
        </is>
      </c>
      <c r="B396" s="26" t="inlineStr">
        <is>
          <t>4.3.2</t>
        </is>
      </c>
      <c r="C396" s="22" t="inlineStr">
        <is>
          <t>Tuerca de sellado PVDF (Cap Nut)</t>
        </is>
      </c>
      <c r="D396" s="24" t="inlineStr">
        <is>
          <t>Bloqueante</t>
        </is>
      </c>
      <c r="E396" s="22" t="inlineStr">
        <is>
          <t>Tuerca fisurada, con rosca barrida, o floja</t>
        </is>
      </c>
      <c r="F396" s="20" t="n">
        <v>1</v>
      </c>
      <c r="G396" s="26" t="inlineStr">
        <is>
          <t>4.3.1</t>
        </is>
      </c>
      <c r="H396" s="22" t="inlineStr">
        <is>
          <t>Férula de teflón (Sleeve / SO2001-6)</t>
        </is>
      </c>
      <c r="I396" s="22" t="inlineStr">
        <is>
          <t>Reponer la tuerca de PVDF y reapretar sin forzar</t>
        </is>
      </c>
      <c r="J396" s="20">
        <f>IFERROR(INDEX('APOA-370 (O3)'!$U$9:$U$88,MATCH($B396,'APOA-370 (O3)'!$A$9:$A$88,0)),"")</f>
        <v/>
      </c>
      <c r="K396" s="20">
        <f>IF(OR($J396="No conforme",$J396="Requiere reemplazo"),"SÍ — verificar destino","")</f>
        <v/>
      </c>
    </row>
    <row r="397" ht="24" customHeight="1">
      <c r="A397" s="20" t="inlineStr">
        <is>
          <t>APOA-370 (O3)</t>
        </is>
      </c>
      <c r="B397" s="26" t="inlineStr">
        <is>
          <t>4.3.2</t>
        </is>
      </c>
      <c r="C397" s="22" t="inlineStr">
        <is>
          <t>Tuerca de sellado PVDF (Cap Nut)</t>
        </is>
      </c>
      <c r="D397" s="24" t="inlineStr">
        <is>
          <t>Bloqueante</t>
        </is>
      </c>
      <c r="E397" s="22" t="inlineStr">
        <is>
          <t>Tuerca fisurada, con rosca barrida, o floja</t>
        </is>
      </c>
      <c r="F397" s="20" t="n">
        <v>2</v>
      </c>
      <c r="G397" s="26" t="inlineStr">
        <is>
          <t>5.2.1</t>
        </is>
      </c>
      <c r="H397" s="22" t="inlineStr">
        <is>
          <t>Presión absoluta de la bomba (PUMP)</t>
        </is>
      </c>
      <c r="I397" s="22" t="inlineStr">
        <is>
          <t>Reponer la tuerca de PVDF y reapretar sin forzar</t>
        </is>
      </c>
      <c r="J397" s="20">
        <f>IFERROR(INDEX('APOA-370 (O3)'!$U$9:$U$88,MATCH($B397,'APOA-370 (O3)'!$A$9:$A$88,0)),"")</f>
        <v/>
      </c>
      <c r="K397" s="20">
        <f>IF(OR($J397="No conforme",$J397="Requiere reemplazo"),"SÍ — verificar destino","")</f>
        <v/>
      </c>
    </row>
    <row r="398" ht="36" customHeight="1">
      <c r="A398" s="20" t="inlineStr">
        <is>
          <t>APOA-370 (O3)</t>
        </is>
      </c>
      <c r="B398" s="26" t="inlineStr">
        <is>
          <t>4.3.3</t>
        </is>
      </c>
      <c r="C398" s="22" t="inlineStr">
        <is>
          <t>Racor de entrada frontal de muestra</t>
        </is>
      </c>
      <c r="D398" s="24" t="inlineStr">
        <is>
          <t>Bloqueante</t>
        </is>
      </c>
      <c r="E398" s="22" t="inlineStr">
        <is>
          <t>Racor pasamuros fisurado o con fuga</t>
        </is>
      </c>
      <c r="F398" s="20" t="n">
        <v>1</v>
      </c>
      <c r="G398" s="26" t="inlineStr">
        <is>
          <t>4.3.1</t>
        </is>
      </c>
      <c r="H398" s="22" t="inlineStr">
        <is>
          <t>Férula de teflón (Sleeve / SO2001-6)</t>
        </is>
      </c>
      <c r="I398" s="22" t="inlineStr">
        <is>
          <t>Aplicar agua jabonosa para confirmar la fuga y reemplazar el racor</t>
        </is>
      </c>
      <c r="J398" s="20">
        <f>IFERROR(INDEX('APOA-370 (O3)'!$U$9:$U$88,MATCH($B398,'APOA-370 (O3)'!$A$9:$A$88,0)),"")</f>
        <v/>
      </c>
      <c r="K398" s="20">
        <f>IF(OR($J398="No conforme",$J398="Requiere reemplazo"),"SÍ — verificar destino","")</f>
        <v/>
      </c>
    </row>
    <row r="399" ht="36" customHeight="1">
      <c r="A399" s="20" t="inlineStr">
        <is>
          <t>APOA-370 (O3)</t>
        </is>
      </c>
      <c r="B399" s="26" t="inlineStr">
        <is>
          <t>4.3.3</t>
        </is>
      </c>
      <c r="C399" s="22" t="inlineStr">
        <is>
          <t>Racor de entrada frontal de muestra</t>
        </is>
      </c>
      <c r="D399" s="24" t="inlineStr">
        <is>
          <t>Bloqueante</t>
        </is>
      </c>
      <c r="E399" s="22" t="inlineStr">
        <is>
          <t>Racor pasamuros fisurado o con fuga</t>
        </is>
      </c>
      <c r="F399" s="20" t="n">
        <v>2</v>
      </c>
      <c r="G399" s="26" t="inlineStr">
        <is>
          <t>5.2.1</t>
        </is>
      </c>
      <c r="H399" s="22" t="inlineStr">
        <is>
          <t>Presión absoluta de la bomba (PUMP)</t>
        </is>
      </c>
      <c r="I399" s="22" t="inlineStr">
        <is>
          <t>Aplicar agua jabonosa para confirmar la fuga y reemplazar el racor</t>
        </is>
      </c>
      <c r="J399" s="20">
        <f>IFERROR(INDEX('APOA-370 (O3)'!$U$9:$U$88,MATCH($B399,'APOA-370 (O3)'!$A$9:$A$88,0)),"")</f>
        <v/>
      </c>
      <c r="K399" s="20">
        <f>IF(OR($J399="No conforme",$J399="Requiere reemplazo"),"SÍ — verificar destino","")</f>
        <v/>
      </c>
    </row>
    <row r="400" ht="36" customHeight="1">
      <c r="A400" s="20" t="inlineStr">
        <is>
          <t>APOA-370 (O3)</t>
        </is>
      </c>
      <c r="B400" s="26" t="inlineStr">
        <is>
          <t>4.4.1</t>
        </is>
      </c>
      <c r="C400" s="22" t="inlineStr">
        <is>
          <t>Línea de teflón (PTFE) de entrada</t>
        </is>
      </c>
      <c r="D400" s="25" t="inlineStr">
        <is>
          <t>Cobrable</t>
        </is>
      </c>
      <c r="E400" s="22" t="inlineStr">
        <is>
          <t>Manguera doblada, aplastada, o con empalmes improvisados</t>
        </is>
      </c>
      <c r="F400" s="20" t="n">
        <v>1</v>
      </c>
      <c r="G400" s="26" t="inlineStr">
        <is>
          <t>5.3.1</t>
        </is>
      </c>
      <c r="H400" s="22" t="inlineStr">
        <is>
          <t>Caudal de muestra en display (SAMPLE)</t>
        </is>
      </c>
      <c r="I400" s="22" t="inlineStr">
        <is>
          <t>Reemplazar el tramo afectado y rehacer la conexión</t>
        </is>
      </c>
      <c r="J400" s="20">
        <f>IFERROR(INDEX('APOA-370 (O3)'!$U$9:$U$88,MATCH($B400,'APOA-370 (O3)'!$A$9:$A$88,0)),"")</f>
        <v/>
      </c>
      <c r="K400" s="20">
        <f>IF(OR($J400="No conforme",$J400="Requiere reemplazo"),"SÍ — verificar destino","")</f>
        <v/>
      </c>
    </row>
    <row r="401" ht="36" customHeight="1">
      <c r="A401" s="20" t="inlineStr">
        <is>
          <t>APOA-370 (O3)</t>
        </is>
      </c>
      <c r="B401" s="26" t="inlineStr">
        <is>
          <t>4.4.1</t>
        </is>
      </c>
      <c r="C401" s="22" t="inlineStr">
        <is>
          <t>Línea de teflón (PTFE) de entrada</t>
        </is>
      </c>
      <c r="D401" s="25" t="inlineStr">
        <is>
          <t>Cobrable</t>
        </is>
      </c>
      <c r="E401" s="22" t="inlineStr">
        <is>
          <t>Manguera doblada, aplastada, o con empalmes improvisados</t>
        </is>
      </c>
      <c r="F401" s="20" t="n">
        <v>2</v>
      </c>
      <c r="G401" s="26" t="inlineStr">
        <is>
          <t>4.2.1</t>
        </is>
      </c>
      <c r="H401" s="22" t="inlineStr">
        <is>
          <t>Humedad o condensación en el portafiltros</t>
        </is>
      </c>
      <c r="I401" s="22" t="inlineStr">
        <is>
          <t>Reemplazar el tramo afectado y rehacer la conexión</t>
        </is>
      </c>
      <c r="J401" s="20">
        <f>IFERROR(INDEX('APOA-370 (O3)'!$U$9:$U$88,MATCH($B401,'APOA-370 (O3)'!$A$9:$A$88,0)),"")</f>
        <v/>
      </c>
      <c r="K401" s="20">
        <f>IF(OR($J401="No conforme",$J401="Requiere reemplazo"),"SÍ — verificar destino","")</f>
        <v/>
      </c>
    </row>
    <row r="402" ht="36" customHeight="1">
      <c r="A402" s="20" t="inlineStr">
        <is>
          <t>APOA-370 (O3)</t>
        </is>
      </c>
      <c r="B402" s="26" t="inlineStr">
        <is>
          <t>5.1.1</t>
        </is>
      </c>
      <c r="C402" s="22" t="inlineStr">
        <is>
          <t>Diafragma de la bomba (P-1-D)</t>
        </is>
      </c>
      <c r="D402" s="25" t="inlineStr">
        <is>
          <t>Cobrable</t>
        </is>
      </c>
      <c r="E402" s="22" t="inlineStr">
        <is>
          <t>Fatiga del EPDM por horas de servicio, o arrastre de condensado</t>
        </is>
      </c>
      <c r="F402" s="20" t="n">
        <v>1</v>
      </c>
      <c r="G402" s="26" t="inlineStr">
        <is>
          <t>8.2.1</t>
        </is>
      </c>
      <c r="H402" s="22" t="inlineStr">
        <is>
          <t>Horómetro del diafragma de bomba (P-1-D)</t>
        </is>
      </c>
      <c r="I402" s="22" t="inlineStr">
        <is>
          <t>Reemplazar el juego de diafragmas, reiniciar el horómetro y corregir el origen del condensado</t>
        </is>
      </c>
      <c r="J402" s="20">
        <f>IFERROR(INDEX('APOA-370 (O3)'!$U$9:$U$88,MATCH($B402,'APOA-370 (O3)'!$A$9:$A$88,0)),"")</f>
        <v/>
      </c>
      <c r="K402" s="20">
        <f>IF(OR($J402="No conforme",$J402="Requiere reemplazo"),"SÍ — verificar destino","")</f>
        <v/>
      </c>
    </row>
    <row r="403" ht="36" customHeight="1">
      <c r="A403" s="20" t="inlineStr">
        <is>
          <t>APOA-370 (O3)</t>
        </is>
      </c>
      <c r="B403" s="26" t="inlineStr">
        <is>
          <t>5.1.1</t>
        </is>
      </c>
      <c r="C403" s="22" t="inlineStr">
        <is>
          <t>Diafragma de la bomba (P-1-D)</t>
        </is>
      </c>
      <c r="D403" s="25" t="inlineStr">
        <is>
          <t>Cobrable</t>
        </is>
      </c>
      <c r="E403" s="22" t="inlineStr">
        <is>
          <t>Fatiga del EPDM por horas de servicio, o arrastre de condensado</t>
        </is>
      </c>
      <c r="F403" s="20" t="n">
        <v>2</v>
      </c>
      <c r="G403" s="26" t="inlineStr">
        <is>
          <t>4.2.1</t>
        </is>
      </c>
      <c r="H403" s="22" t="inlineStr">
        <is>
          <t>Humedad o condensación en el portafiltros</t>
        </is>
      </c>
      <c r="I403" s="22" t="inlineStr">
        <is>
          <t>Reemplazar el juego de diafragmas, reiniciar el horómetro y corregir el origen del condensado</t>
        </is>
      </c>
      <c r="J403" s="20">
        <f>IFERROR(INDEX('APOA-370 (O3)'!$U$9:$U$88,MATCH($B403,'APOA-370 (O3)'!$A$9:$A$88,0)),"")</f>
        <v/>
      </c>
      <c r="K403" s="20">
        <f>IF(OR($J403="No conforme",$J403="Requiere reemplazo"),"SÍ — verificar destino","")</f>
        <v/>
      </c>
    </row>
    <row r="404" ht="36" customHeight="1">
      <c r="A404" s="20" t="inlineStr">
        <is>
          <t>APOA-370 (O3)</t>
        </is>
      </c>
      <c r="B404" s="26" t="inlineStr">
        <is>
          <t>5.1.1</t>
        </is>
      </c>
      <c r="C404" s="22" t="inlineStr">
        <is>
          <t>Diafragma de la bomba (P-1-D)</t>
        </is>
      </c>
      <c r="D404" s="25" t="inlineStr">
        <is>
          <t>Cobrable</t>
        </is>
      </c>
      <c r="E404" s="22" t="inlineStr">
        <is>
          <t>Fatiga del EPDM por horas de servicio, o arrastre de condensado</t>
        </is>
      </c>
      <c r="F404" s="20" t="n">
        <v>3</v>
      </c>
      <c r="G404" s="26" t="inlineStr">
        <is>
          <t>5.1.2</t>
        </is>
      </c>
      <c r="H404" s="22" t="inlineStr">
        <is>
          <t>Válvulas de flapper de la bomba</t>
        </is>
      </c>
      <c r="I404" s="22" t="inlineStr">
        <is>
          <t>Reemplazar el juego de diafragmas, reiniciar el horómetro y corregir el origen del condensado</t>
        </is>
      </c>
      <c r="J404" s="20">
        <f>IFERROR(INDEX('APOA-370 (O3)'!$U$9:$U$88,MATCH($B404,'APOA-370 (O3)'!$A$9:$A$88,0)),"")</f>
        <v/>
      </c>
      <c r="K404" s="20">
        <f>IF(OR($J404="No conforme",$J404="Requiere reemplazo"),"SÍ — verificar destino","")</f>
        <v/>
      </c>
    </row>
    <row r="405" ht="36" customHeight="1">
      <c r="A405" s="20" t="inlineStr">
        <is>
          <t>APOA-370 (O3)</t>
        </is>
      </c>
      <c r="B405" s="26" t="inlineStr">
        <is>
          <t>5.1.2</t>
        </is>
      </c>
      <c r="C405" s="22" t="inlineStr">
        <is>
          <t>Válvulas de flapper de la bomba</t>
        </is>
      </c>
      <c r="D405" s="25" t="inlineStr">
        <is>
          <t>Cobrable</t>
        </is>
      </c>
      <c r="E405" s="22" t="inlineStr">
        <is>
          <t>Flapper deformado, endurecido, o con partículas atrapadas</t>
        </is>
      </c>
      <c r="F405" s="20" t="n">
        <v>1</v>
      </c>
      <c r="G405" s="26" t="inlineStr">
        <is>
          <t>5.1.1</t>
        </is>
      </c>
      <c r="H405" s="22" t="inlineStr">
        <is>
          <t>Diafragma de la bomba (P-1-D)</t>
        </is>
      </c>
      <c r="I405" s="22" t="inlineStr">
        <is>
          <t>Limpiar o reemplazar las válvulas junto con el juego de diafragmas</t>
        </is>
      </c>
      <c r="J405" s="20">
        <f>IFERROR(INDEX('APOA-370 (O3)'!$U$9:$U$88,MATCH($B405,'APOA-370 (O3)'!$A$9:$A$88,0)),"")</f>
        <v/>
      </c>
      <c r="K405" s="20">
        <f>IF(OR($J405="No conforme",$J405="Requiere reemplazo"),"SÍ — verificar destino","")</f>
        <v/>
      </c>
    </row>
    <row r="406" ht="36" customHeight="1">
      <c r="A406" s="20" t="inlineStr">
        <is>
          <t>APOA-370 (O3)</t>
        </is>
      </c>
      <c r="B406" s="26" t="inlineStr">
        <is>
          <t>5.1.2</t>
        </is>
      </c>
      <c r="C406" s="22" t="inlineStr">
        <is>
          <t>Válvulas de flapper de la bomba</t>
        </is>
      </c>
      <c r="D406" s="25" t="inlineStr">
        <is>
          <t>Cobrable</t>
        </is>
      </c>
      <c r="E406" s="22" t="inlineStr">
        <is>
          <t>Flapper deformado, endurecido, o con partículas atrapadas</t>
        </is>
      </c>
      <c r="F406" s="20" t="n">
        <v>2</v>
      </c>
      <c r="G406" s="26" t="inlineStr">
        <is>
          <t>4.1.1</t>
        </is>
      </c>
      <c r="H406" s="22" t="inlineStr">
        <is>
          <t>Filtro de partículas de teflón (PA-10L)</t>
        </is>
      </c>
      <c r="I406" s="22" t="inlineStr">
        <is>
          <t>Limpiar o reemplazar las válvulas junto con el juego de diafragmas</t>
        </is>
      </c>
      <c r="J406" s="20">
        <f>IFERROR(INDEX('APOA-370 (O3)'!$U$9:$U$88,MATCH($B406,'APOA-370 (O3)'!$A$9:$A$88,0)),"")</f>
        <v/>
      </c>
      <c r="K406" s="20">
        <f>IF(OR($J406="No conforme",$J406="Requiere reemplazo"),"SÍ — verificar destino","")</f>
        <v/>
      </c>
    </row>
    <row r="407" ht="36" customHeight="1">
      <c r="A407" s="20" t="inlineStr">
        <is>
          <t>APOA-370 (O3)</t>
        </is>
      </c>
      <c r="B407" s="26" t="inlineStr">
        <is>
          <t>5.1.3</t>
        </is>
      </c>
      <c r="C407" s="22" t="inlineStr">
        <is>
          <t>Montaje y base amortiguadora de la bomba</t>
        </is>
      </c>
      <c r="D407" s="25" t="inlineStr">
        <is>
          <t>Cobrable</t>
        </is>
      </c>
      <c r="E407" s="22" t="inlineStr">
        <is>
          <t>Base despegada del chasis por el calor de la bomba</t>
        </is>
      </c>
      <c r="F407" s="20" t="n">
        <v>1</v>
      </c>
      <c r="G407" s="26" t="inlineStr">
        <is>
          <t>6.1.3</t>
        </is>
      </c>
      <c r="H407" s="22" t="inlineStr">
        <is>
          <t>Ruido de la señal analógica (SIGNAL)</t>
        </is>
      </c>
      <c r="I407" s="22" t="inlineStr">
        <is>
          <t>Volver a fijar la bomba al chasis: la vibración transmitida ensucia la señal</t>
        </is>
      </c>
      <c r="J407" s="20">
        <f>IFERROR(INDEX('APOA-370 (O3)'!$U$9:$U$88,MATCH($B407,'APOA-370 (O3)'!$A$9:$A$88,0)),"")</f>
        <v/>
      </c>
      <c r="K407" s="20">
        <f>IF(OR($J407="No conforme",$J407="Requiere reemplazo"),"SÍ — verificar destino","")</f>
        <v/>
      </c>
    </row>
    <row r="408" ht="36" customHeight="1">
      <c r="A408" s="20" t="inlineStr">
        <is>
          <t>APOA-370 (O3)</t>
        </is>
      </c>
      <c r="B408" s="26" t="inlineStr">
        <is>
          <t>5.1.3</t>
        </is>
      </c>
      <c r="C408" s="22" t="inlineStr">
        <is>
          <t>Montaje y base amortiguadora de la bomba</t>
        </is>
      </c>
      <c r="D408" s="25" t="inlineStr">
        <is>
          <t>Cobrable</t>
        </is>
      </c>
      <c r="E408" s="22" t="inlineStr">
        <is>
          <t>Base despegada del chasis por el calor de la bomba</t>
        </is>
      </c>
      <c r="F408" s="20" t="n">
        <v>2</v>
      </c>
      <c r="G408" s="26" t="inlineStr">
        <is>
          <t>8.2.4</t>
        </is>
      </c>
      <c r="H408" s="22" t="inlineStr">
        <is>
          <t>Horómetro de la bomba completa (P-1-B)</t>
        </is>
      </c>
      <c r="I408" s="22" t="inlineStr">
        <is>
          <t>Volver a fijar la bomba al chasis: la vibración transmitida ensucia la señal</t>
        </is>
      </c>
      <c r="J408" s="20">
        <f>IFERROR(INDEX('APOA-370 (O3)'!$U$9:$U$88,MATCH($B408,'APOA-370 (O3)'!$A$9:$A$88,0)),"")</f>
        <v/>
      </c>
      <c r="K408" s="20">
        <f>IF(OR($J408="No conforme",$J408="Requiere reemplazo"),"SÍ — verificar destino","")</f>
        <v/>
      </c>
    </row>
    <row r="409" ht="36" customHeight="1">
      <c r="A409" s="20" t="inlineStr">
        <is>
          <t>APOA-370 (O3)</t>
        </is>
      </c>
      <c r="B409" s="26" t="inlineStr">
        <is>
          <t>5.2.1</t>
        </is>
      </c>
      <c r="C409" s="22" t="inlineStr">
        <is>
          <t>Presión absoluta de la bomba (PUMP)</t>
        </is>
      </c>
      <c r="D409" s="24" t="inlineStr">
        <is>
          <t>Bloqueante</t>
        </is>
      </c>
      <c r="E409" s="22" t="inlineStr">
        <is>
          <t>Vacío alto: obstrucción aguas arriba. Vacío bajo: fuga o diafragma roto</t>
        </is>
      </c>
      <c r="F409" s="20" t="n">
        <v>1</v>
      </c>
      <c r="G409" s="26" t="inlineStr">
        <is>
          <t>4.1.1</t>
        </is>
      </c>
      <c r="H409" s="22" t="inlineStr">
        <is>
          <t>Filtro de partículas de teflón (PA-10L)</t>
        </is>
      </c>
      <c r="I409" s="22" t="inlineStr">
        <is>
          <t>Desconectar la línea en INLET: si la presión cae, la obstrucción está aguas arriba</t>
        </is>
      </c>
      <c r="J409" s="20">
        <f>IFERROR(INDEX('APOA-370 (O3)'!$U$9:$U$88,MATCH($B409,'APOA-370 (O3)'!$A$9:$A$88,0)),"")</f>
        <v/>
      </c>
      <c r="K409" s="20">
        <f>IF(OR($J409="No conforme",$J409="Requiere reemplazo"),"SÍ — verificar destino","")</f>
        <v/>
      </c>
    </row>
    <row r="410" ht="36" customHeight="1">
      <c r="A410" s="20" t="inlineStr">
        <is>
          <t>APOA-370 (O3)</t>
        </is>
      </c>
      <c r="B410" s="26" t="inlineStr">
        <is>
          <t>5.2.1</t>
        </is>
      </c>
      <c r="C410" s="22" t="inlineStr">
        <is>
          <t>Presión absoluta de la bomba (PUMP)</t>
        </is>
      </c>
      <c r="D410" s="24" t="inlineStr">
        <is>
          <t>Bloqueante</t>
        </is>
      </c>
      <c r="E410" s="22" t="inlineStr">
        <is>
          <t>Vacío alto: obstrucción aguas arriba. Vacío bajo: fuga o diafragma roto</t>
        </is>
      </c>
      <c r="F410" s="20" t="n">
        <v>2</v>
      </c>
      <c r="G410" s="26" t="inlineStr">
        <is>
          <t>4.4.1</t>
        </is>
      </c>
      <c r="H410" s="22" t="inlineStr">
        <is>
          <t>Línea de teflón (PTFE) de entrada</t>
        </is>
      </c>
      <c r="I410" s="22" t="inlineStr">
        <is>
          <t>Desconectar la línea en INLET: si la presión cae, la obstrucción está aguas arriba</t>
        </is>
      </c>
      <c r="J410" s="20">
        <f>IFERROR(INDEX('APOA-370 (O3)'!$U$9:$U$88,MATCH($B410,'APOA-370 (O3)'!$A$9:$A$88,0)),"")</f>
        <v/>
      </c>
      <c r="K410" s="20">
        <f>IF(OR($J410="No conforme",$J410="Requiere reemplazo"),"SÍ — verificar destino","")</f>
        <v/>
      </c>
    </row>
    <row r="411" ht="36" customHeight="1">
      <c r="A411" s="20" t="inlineStr">
        <is>
          <t>APOA-370 (O3)</t>
        </is>
      </c>
      <c r="B411" s="26" t="inlineStr">
        <is>
          <t>5.2.1</t>
        </is>
      </c>
      <c r="C411" s="22" t="inlineStr">
        <is>
          <t>Presión absoluta de la bomba (PUMP)</t>
        </is>
      </c>
      <c r="D411" s="24" t="inlineStr">
        <is>
          <t>Bloqueante</t>
        </is>
      </c>
      <c r="E411" s="22" t="inlineStr">
        <is>
          <t>Vacío alto: obstrucción aguas arriba. Vacío bajo: fuga o diafragma roto</t>
        </is>
      </c>
      <c r="F411" s="20" t="n">
        <v>3</v>
      </c>
      <c r="G411" s="26" t="inlineStr">
        <is>
          <t>5.1.1</t>
        </is>
      </c>
      <c r="H411" s="22" t="inlineStr">
        <is>
          <t>Diafragma de la bomba (P-1-D)</t>
        </is>
      </c>
      <c r="I411" s="22" t="inlineStr">
        <is>
          <t>Desconectar la línea en INLET: si la presión cae, la obstrucción está aguas arriba</t>
        </is>
      </c>
      <c r="J411" s="20">
        <f>IFERROR(INDEX('APOA-370 (O3)'!$U$9:$U$88,MATCH($B411,'APOA-370 (O3)'!$A$9:$A$88,0)),"")</f>
        <v/>
      </c>
      <c r="K411" s="20">
        <f>IF(OR($J411="No conforme",$J411="Requiere reemplazo"),"SÍ — verificar destino","")</f>
        <v/>
      </c>
    </row>
    <row r="412" ht="36" customHeight="1">
      <c r="A412" s="20" t="inlineStr">
        <is>
          <t>APOA-370 (O3)</t>
        </is>
      </c>
      <c r="B412" s="26" t="inlineStr">
        <is>
          <t>5.2.1</t>
        </is>
      </c>
      <c r="C412" s="22" t="inlineStr">
        <is>
          <t>Presión absoluta de la bomba (PUMP)</t>
        </is>
      </c>
      <c r="D412" s="24" t="inlineStr">
        <is>
          <t>Bloqueante</t>
        </is>
      </c>
      <c r="E412" s="22" t="inlineStr">
        <is>
          <t>Vacío alto: obstrucción aguas arriba. Vacío bajo: fuga o diafragma roto</t>
        </is>
      </c>
      <c r="F412" s="20" t="n">
        <v>4</v>
      </c>
      <c r="G412" s="26" t="inlineStr">
        <is>
          <t>5.3.3</t>
        </is>
      </c>
      <c r="H412" s="22" t="inlineStr">
        <is>
          <t>Unidad de orificio crítico (Critical Orifice)</t>
        </is>
      </c>
      <c r="I412" s="22" t="inlineStr">
        <is>
          <t>Desconectar la línea en INLET: si la presión cae, la obstrucción está aguas arriba</t>
        </is>
      </c>
      <c r="J412" s="20">
        <f>IFERROR(INDEX('APOA-370 (O3)'!$U$9:$U$88,MATCH($B412,'APOA-370 (O3)'!$A$9:$A$88,0)),"")</f>
        <v/>
      </c>
      <c r="K412" s="20">
        <f>IF(OR($J412="No conforme",$J412="Requiere reemplazo"),"SÍ — verificar destino","")</f>
        <v/>
      </c>
    </row>
    <row r="413" ht="36" customHeight="1">
      <c r="A413" s="20" t="inlineStr">
        <is>
          <t>APOA-370 (O3)</t>
        </is>
      </c>
      <c r="B413" s="26" t="inlineStr">
        <is>
          <t>5.3.1</t>
        </is>
      </c>
      <c r="C413" s="22" t="inlineStr">
        <is>
          <t>Caudal de muestra en display (SAMPLE)</t>
        </is>
      </c>
      <c r="D413" s="24" t="inlineStr">
        <is>
          <t>Bloqueante</t>
        </is>
      </c>
      <c r="E413" s="22" t="inlineStr">
        <is>
          <t>Filtro colmatado, fuga, diafragma desgastado, u orificio crítico obstruido</t>
        </is>
      </c>
      <c r="F413" s="20" t="n">
        <v>1</v>
      </c>
      <c r="G413" s="26" t="inlineStr">
        <is>
          <t>4.1.1</t>
        </is>
      </c>
      <c r="H413" s="22" t="inlineStr">
        <is>
          <t>Filtro de partículas de teflón (PA-10L)</t>
        </is>
      </c>
      <c r="I413" s="22" t="inlineStr">
        <is>
          <t>Contrastar contra el caudal real medido con flujómetro antes de sospechar del sensor</t>
        </is>
      </c>
      <c r="J413" s="20">
        <f>IFERROR(INDEX('APOA-370 (O3)'!$U$9:$U$88,MATCH($B413,'APOA-370 (O3)'!$A$9:$A$88,0)),"")</f>
        <v/>
      </c>
      <c r="K413" s="20">
        <f>IF(OR($J413="No conforme",$J413="Requiere reemplazo"),"SÍ — verificar destino","")</f>
        <v/>
      </c>
    </row>
    <row r="414" ht="36" customHeight="1">
      <c r="A414" s="20" t="inlineStr">
        <is>
          <t>APOA-370 (O3)</t>
        </is>
      </c>
      <c r="B414" s="26" t="inlineStr">
        <is>
          <t>5.3.1</t>
        </is>
      </c>
      <c r="C414" s="22" t="inlineStr">
        <is>
          <t>Caudal de muestra en display (SAMPLE)</t>
        </is>
      </c>
      <c r="D414" s="24" t="inlineStr">
        <is>
          <t>Bloqueante</t>
        </is>
      </c>
      <c r="E414" s="22" t="inlineStr">
        <is>
          <t>Filtro colmatado, fuga, diafragma desgastado, u orificio crítico obstruido</t>
        </is>
      </c>
      <c r="F414" s="20" t="n">
        <v>2</v>
      </c>
      <c r="G414" s="26" t="inlineStr">
        <is>
          <t>5.2.1</t>
        </is>
      </c>
      <c r="H414" s="22" t="inlineStr">
        <is>
          <t>Presión absoluta de la bomba (PUMP)</t>
        </is>
      </c>
      <c r="I414" s="22" t="inlineStr">
        <is>
          <t>Contrastar contra el caudal real medido con flujómetro antes de sospechar del sensor</t>
        </is>
      </c>
      <c r="J414" s="20">
        <f>IFERROR(INDEX('APOA-370 (O3)'!$U$9:$U$88,MATCH($B414,'APOA-370 (O3)'!$A$9:$A$88,0)),"")</f>
        <v/>
      </c>
      <c r="K414" s="20">
        <f>IF(OR($J414="No conforme",$J414="Requiere reemplazo"),"SÍ — verificar destino","")</f>
        <v/>
      </c>
    </row>
    <row r="415" ht="36" customHeight="1">
      <c r="A415" s="20" t="inlineStr">
        <is>
          <t>APOA-370 (O3)</t>
        </is>
      </c>
      <c r="B415" s="26" t="inlineStr">
        <is>
          <t>5.3.1</t>
        </is>
      </c>
      <c r="C415" s="22" t="inlineStr">
        <is>
          <t>Caudal de muestra en display (SAMPLE)</t>
        </is>
      </c>
      <c r="D415" s="24" t="inlineStr">
        <is>
          <t>Bloqueante</t>
        </is>
      </c>
      <c r="E415" s="22" t="inlineStr">
        <is>
          <t>Filtro colmatado, fuga, diafragma desgastado, u orificio crítico obstruido</t>
        </is>
      </c>
      <c r="F415" s="20" t="n">
        <v>3</v>
      </c>
      <c r="G415" s="26" t="inlineStr">
        <is>
          <t>5.3.2</t>
        </is>
      </c>
      <c r="H415" s="22" t="inlineStr">
        <is>
          <t>Caudal de toma medido externamente</t>
        </is>
      </c>
      <c r="I415" s="22" t="inlineStr">
        <is>
          <t>Contrastar contra el caudal real medido con flujómetro antes de sospechar del sensor</t>
        </is>
      </c>
      <c r="J415" s="20">
        <f>IFERROR(INDEX('APOA-370 (O3)'!$U$9:$U$88,MATCH($B415,'APOA-370 (O3)'!$A$9:$A$88,0)),"")</f>
        <v/>
      </c>
      <c r="K415" s="20">
        <f>IF(OR($J415="No conforme",$J415="Requiere reemplazo"),"SÍ — verificar destino","")</f>
        <v/>
      </c>
    </row>
    <row r="416" ht="36" customHeight="1">
      <c r="A416" s="20" t="inlineStr">
        <is>
          <t>APOA-370 (O3)</t>
        </is>
      </c>
      <c r="B416" s="26" t="inlineStr">
        <is>
          <t>5.3.1</t>
        </is>
      </c>
      <c r="C416" s="22" t="inlineStr">
        <is>
          <t>Caudal de muestra en display (SAMPLE)</t>
        </is>
      </c>
      <c r="D416" s="24" t="inlineStr">
        <is>
          <t>Bloqueante</t>
        </is>
      </c>
      <c r="E416" s="22" t="inlineStr">
        <is>
          <t>Filtro colmatado, fuga, diafragma desgastado, u orificio crítico obstruido</t>
        </is>
      </c>
      <c r="F416" s="20" t="n">
        <v>4</v>
      </c>
      <c r="G416" s="26" t="inlineStr">
        <is>
          <t>5.3.3</t>
        </is>
      </c>
      <c r="H416" s="22" t="inlineStr">
        <is>
          <t>Unidad de orificio crítico (Critical Orifice)</t>
        </is>
      </c>
      <c r="I416" s="22" t="inlineStr">
        <is>
          <t>Contrastar contra el caudal real medido con flujómetro antes de sospechar del sensor</t>
        </is>
      </c>
      <c r="J416" s="20">
        <f>IFERROR(INDEX('APOA-370 (O3)'!$U$9:$U$88,MATCH($B416,'APOA-370 (O3)'!$A$9:$A$88,0)),"")</f>
        <v/>
      </c>
      <c r="K416" s="20">
        <f>IF(OR($J416="No conforme",$J416="Requiere reemplazo"),"SÍ — verificar destino","")</f>
        <v/>
      </c>
    </row>
    <row r="417" ht="36" customHeight="1">
      <c r="A417" s="20" t="inlineStr">
        <is>
          <t>APOA-370 (O3)</t>
        </is>
      </c>
      <c r="B417" s="26" t="inlineStr">
        <is>
          <t>5.3.2</t>
        </is>
      </c>
      <c r="C417" s="22" t="inlineStr">
        <is>
          <t>Caudal de toma medido externamente</t>
        </is>
      </c>
      <c r="D417" s="24" t="inlineStr">
        <is>
          <t>Bloqueante</t>
        </is>
      </c>
      <c r="E417" s="22" t="inlineStr">
        <is>
          <t>Caudal real fuera de 0,7 ± 0,05 L/min: restricción o fuga en el circuito</t>
        </is>
      </c>
      <c r="F417" s="20" t="n">
        <v>1</v>
      </c>
      <c r="G417" s="26" t="inlineStr">
        <is>
          <t>5.3.3</t>
        </is>
      </c>
      <c r="H417" s="22" t="inlineStr">
        <is>
          <t>Unidad de orificio crítico (Critical Orifice)</t>
        </is>
      </c>
      <c r="I417" s="22" t="inlineStr">
        <is>
          <t>Si el caudal real está bien y el display no, el problema es el sensor de caudal</t>
        </is>
      </c>
      <c r="J417" s="20">
        <f>IFERROR(INDEX('APOA-370 (O3)'!$U$9:$U$88,MATCH($B417,'APOA-370 (O3)'!$A$9:$A$88,0)),"")</f>
        <v/>
      </c>
      <c r="K417" s="20">
        <f>IF(OR($J417="No conforme",$J417="Requiere reemplazo"),"SÍ — verificar destino","")</f>
        <v/>
      </c>
    </row>
    <row r="418" ht="36" customHeight="1">
      <c r="A418" s="20" t="inlineStr">
        <is>
          <t>APOA-370 (O3)</t>
        </is>
      </c>
      <c r="B418" s="26" t="inlineStr">
        <is>
          <t>5.3.2</t>
        </is>
      </c>
      <c r="C418" s="22" t="inlineStr">
        <is>
          <t>Caudal de toma medido externamente</t>
        </is>
      </c>
      <c r="D418" s="24" t="inlineStr">
        <is>
          <t>Bloqueante</t>
        </is>
      </c>
      <c r="E418" s="22" t="inlineStr">
        <is>
          <t>Caudal real fuera de 0,7 ± 0,05 L/min: restricción o fuga en el circuito</t>
        </is>
      </c>
      <c r="F418" s="20" t="n">
        <v>2</v>
      </c>
      <c r="G418" s="26" t="inlineStr">
        <is>
          <t>5.1.1</t>
        </is>
      </c>
      <c r="H418" s="22" t="inlineStr">
        <is>
          <t>Diafragma de la bomba (P-1-D)</t>
        </is>
      </c>
      <c r="I418" s="22" t="inlineStr">
        <is>
          <t>Si el caudal real está bien y el display no, el problema es el sensor de caudal</t>
        </is>
      </c>
      <c r="J418" s="20">
        <f>IFERROR(INDEX('APOA-370 (O3)'!$U$9:$U$88,MATCH($B418,'APOA-370 (O3)'!$A$9:$A$88,0)),"")</f>
        <v/>
      </c>
      <c r="K418" s="20">
        <f>IF(OR($J418="No conforme",$J418="Requiere reemplazo"),"SÍ — verificar destino","")</f>
        <v/>
      </c>
    </row>
    <row r="419" ht="36" customHeight="1">
      <c r="A419" s="20" t="inlineStr">
        <is>
          <t>APOA-370 (O3)</t>
        </is>
      </c>
      <c r="B419" s="26" t="inlineStr">
        <is>
          <t>5.3.2</t>
        </is>
      </c>
      <c r="C419" s="22" t="inlineStr">
        <is>
          <t>Caudal de toma medido externamente</t>
        </is>
      </c>
      <c r="D419" s="24" t="inlineStr">
        <is>
          <t>Bloqueante</t>
        </is>
      </c>
      <c r="E419" s="22" t="inlineStr">
        <is>
          <t>Caudal real fuera de 0,7 ± 0,05 L/min: restricción o fuga en el circuito</t>
        </is>
      </c>
      <c r="F419" s="20" t="n">
        <v>3</v>
      </c>
      <c r="G419" s="26" t="inlineStr">
        <is>
          <t>4.3.1</t>
        </is>
      </c>
      <c r="H419" s="22" t="inlineStr">
        <is>
          <t>Férula de teflón (Sleeve / SO2001-6)</t>
        </is>
      </c>
      <c r="I419" s="22" t="inlineStr">
        <is>
          <t>Si el caudal real está bien y el display no, el problema es el sensor de caudal</t>
        </is>
      </c>
      <c r="J419" s="20">
        <f>IFERROR(INDEX('APOA-370 (O3)'!$U$9:$U$88,MATCH($B419,'APOA-370 (O3)'!$A$9:$A$88,0)),"")</f>
        <v/>
      </c>
      <c r="K419" s="20">
        <f>IF(OR($J419="No conforme",$J419="Requiere reemplazo"),"SÍ — verificar destino","")</f>
        <v/>
      </c>
    </row>
    <row r="420" ht="48" customHeight="1">
      <c r="A420" s="20" t="inlineStr">
        <is>
          <t>APOA-370 (O3)</t>
        </is>
      </c>
      <c r="B420" s="26" t="inlineStr">
        <is>
          <t>5.3.3</t>
        </is>
      </c>
      <c r="C420" s="22" t="inlineStr">
        <is>
          <t>Unidad de orificio crítico (Critical Orifice)</t>
        </is>
      </c>
      <c r="D420" s="24" t="inlineStr">
        <is>
          <t>Bloqueante</t>
        </is>
      </c>
      <c r="E420" s="22" t="inlineStr">
        <is>
          <t>Orificio obstruido por polvo que entró sin filtro, o depósitos cristalizados</t>
        </is>
      </c>
      <c r="F420" s="20" t="n">
        <v>1</v>
      </c>
      <c r="G420" s="26" t="inlineStr">
        <is>
          <t>5.3.2</t>
        </is>
      </c>
      <c r="H420" s="22" t="inlineStr">
        <is>
          <t>Caudal de toma medido externamente</t>
        </is>
      </c>
      <c r="I420" s="22" t="inlineStr">
        <is>
          <t>Limpiar el orificio en baño ultrasónico con alcohol isopropílico; si no se recupera, reemplazarlo</t>
        </is>
      </c>
      <c r="J420" s="20">
        <f>IFERROR(INDEX('APOA-370 (O3)'!$U$9:$U$88,MATCH($B420,'APOA-370 (O3)'!$A$9:$A$88,0)),"")</f>
        <v/>
      </c>
      <c r="K420" s="20">
        <f>IF(OR($J420="No conforme",$J420="Requiere reemplazo"),"SÍ — verificar destino","")</f>
        <v/>
      </c>
    </row>
    <row r="421" ht="48" customHeight="1">
      <c r="A421" s="20" t="inlineStr">
        <is>
          <t>APOA-370 (O3)</t>
        </is>
      </c>
      <c r="B421" s="26" t="inlineStr">
        <is>
          <t>5.3.3</t>
        </is>
      </c>
      <c r="C421" s="22" t="inlineStr">
        <is>
          <t>Unidad de orificio crítico (Critical Orifice)</t>
        </is>
      </c>
      <c r="D421" s="24" t="inlineStr">
        <is>
          <t>Bloqueante</t>
        </is>
      </c>
      <c r="E421" s="22" t="inlineStr">
        <is>
          <t>Orificio obstruido por polvo que entró sin filtro, o depósitos cristalizados</t>
        </is>
      </c>
      <c r="F421" s="20" t="n">
        <v>2</v>
      </c>
      <c r="G421" s="26" t="inlineStr">
        <is>
          <t>4.1.1</t>
        </is>
      </c>
      <c r="H421" s="22" t="inlineStr">
        <is>
          <t>Filtro de partículas de teflón (PA-10L)</t>
        </is>
      </c>
      <c r="I421" s="22" t="inlineStr">
        <is>
          <t>Limpiar el orificio en baño ultrasónico con alcohol isopropílico; si no se recupera, reemplazarlo</t>
        </is>
      </c>
      <c r="J421" s="20">
        <f>IFERROR(INDEX('APOA-370 (O3)'!$U$9:$U$88,MATCH($B421,'APOA-370 (O3)'!$A$9:$A$88,0)),"")</f>
        <v/>
      </c>
      <c r="K421" s="20">
        <f>IF(OR($J421="No conforme",$J421="Requiere reemplazo"),"SÍ — verificar destino","")</f>
        <v/>
      </c>
    </row>
    <row r="422" ht="36" customHeight="1">
      <c r="A422" s="20" t="inlineStr">
        <is>
          <t>APOA-370 (O3)</t>
        </is>
      </c>
      <c r="B422" s="26" t="inlineStr">
        <is>
          <t>6.1.1</t>
        </is>
      </c>
      <c r="C422" s="22" t="inlineStr">
        <is>
          <t>Intensidad de la lámpara UV (LAMP)</t>
        </is>
      </c>
      <c r="D422" s="24" t="inlineStr">
        <is>
          <t>Bloqueante</t>
        </is>
      </c>
      <c r="E422" s="22" t="inlineStr">
        <is>
          <t>Lámpara de mercurio al final de su vida, desalineada, u óptica sucia</t>
        </is>
      </c>
      <c r="F422" s="20" t="n">
        <v>1</v>
      </c>
      <c r="G422" s="26" t="inlineStr">
        <is>
          <t>6.2.3</t>
        </is>
      </c>
      <c r="H422" s="22" t="inlineStr">
        <is>
          <t>Alineación de la lámpara UV</t>
        </is>
      </c>
      <c r="I422" s="22" t="inlineStr">
        <is>
          <t>Rotar la lámpara buscando el máximo; si sigue por debajo de 200 mV, reemplazarla</t>
        </is>
      </c>
      <c r="J422" s="20">
        <f>IFERROR(INDEX('APOA-370 (O3)'!$U$9:$U$88,MATCH($B422,'APOA-370 (O3)'!$A$9:$A$88,0)),"")</f>
        <v/>
      </c>
      <c r="K422" s="20">
        <f>IF(OR($J422="No conforme",$J422="Requiere reemplazo"),"SÍ — verificar destino","")</f>
        <v/>
      </c>
    </row>
    <row r="423" ht="36" customHeight="1">
      <c r="A423" s="20" t="inlineStr">
        <is>
          <t>APOA-370 (O3)</t>
        </is>
      </c>
      <c r="B423" s="26" t="inlineStr">
        <is>
          <t>6.1.1</t>
        </is>
      </c>
      <c r="C423" s="22" t="inlineStr">
        <is>
          <t>Intensidad de la lámpara UV (LAMP)</t>
        </is>
      </c>
      <c r="D423" s="24" t="inlineStr">
        <is>
          <t>Bloqueante</t>
        </is>
      </c>
      <c r="E423" s="22" t="inlineStr">
        <is>
          <t>Lámpara de mercurio al final de su vida, desalineada, u óptica sucia</t>
        </is>
      </c>
      <c r="F423" s="20" t="n">
        <v>2</v>
      </c>
      <c r="G423" s="26" t="inlineStr">
        <is>
          <t>6.2.1</t>
        </is>
      </c>
      <c r="H423" s="22" t="inlineStr">
        <is>
          <t>Ventanas de cuarzo de la celda</t>
        </is>
      </c>
      <c r="I423" s="22" t="inlineStr">
        <is>
          <t>Rotar la lámpara buscando el máximo; si sigue por debajo de 200 mV, reemplazarla</t>
        </is>
      </c>
      <c r="J423" s="20">
        <f>IFERROR(INDEX('APOA-370 (O3)'!$U$9:$U$88,MATCH($B423,'APOA-370 (O3)'!$A$9:$A$88,0)),"")</f>
        <v/>
      </c>
      <c r="K423" s="20">
        <f>IF(OR($J423="No conforme",$J423="Requiere reemplazo"),"SÍ — verificar destino","")</f>
        <v/>
      </c>
    </row>
    <row r="424" ht="36" customHeight="1">
      <c r="A424" s="20" t="inlineStr">
        <is>
          <t>APOA-370 (O3)</t>
        </is>
      </c>
      <c r="B424" s="26" t="inlineStr">
        <is>
          <t>6.1.1</t>
        </is>
      </c>
      <c r="C424" s="22" t="inlineStr">
        <is>
          <t>Intensidad de la lámpara UV (LAMP)</t>
        </is>
      </c>
      <c r="D424" s="24" t="inlineStr">
        <is>
          <t>Bloqueante</t>
        </is>
      </c>
      <c r="E424" s="22" t="inlineStr">
        <is>
          <t>Lámpara de mercurio al final de su vida, desalineada, u óptica sucia</t>
        </is>
      </c>
      <c r="F424" s="20" t="n">
        <v>3</v>
      </c>
      <c r="G424" s="26" t="inlineStr">
        <is>
          <t>8.2.3</t>
        </is>
      </c>
      <c r="H424" s="22" t="inlineStr">
        <is>
          <t>Horómetro de la lámpara UV de medición (LAMP)</t>
        </is>
      </c>
      <c r="I424" s="22" t="inlineStr">
        <is>
          <t>Rotar la lámpara buscando el máximo; si sigue por debajo de 200 mV, reemplazarla</t>
        </is>
      </c>
      <c r="J424" s="20">
        <f>IFERROR(INDEX('APOA-370 (O3)'!$U$9:$U$88,MATCH($B424,'APOA-370 (O3)'!$A$9:$A$88,0)),"")</f>
        <v/>
      </c>
      <c r="K424" s="20">
        <f>IF(OR($J424="No conforme",$J424="Requiere reemplazo"),"SÍ — verificar destino","")</f>
        <v/>
      </c>
    </row>
    <row r="425" ht="36" customHeight="1">
      <c r="A425" s="20" t="inlineStr">
        <is>
          <t>APOA-370 (O3)</t>
        </is>
      </c>
      <c r="B425" s="26" t="inlineStr">
        <is>
          <t>6.1.1</t>
        </is>
      </c>
      <c r="C425" s="22" t="inlineStr">
        <is>
          <t>Intensidad de la lámpara UV (LAMP)</t>
        </is>
      </c>
      <c r="D425" s="24" t="inlineStr">
        <is>
          <t>Bloqueante</t>
        </is>
      </c>
      <c r="E425" s="22" t="inlineStr">
        <is>
          <t>Lámpara de mercurio al final de su vida, desalineada, u óptica sucia</t>
        </is>
      </c>
      <c r="F425" s="20" t="n">
        <v>4</v>
      </c>
      <c r="G425" s="26" t="inlineStr">
        <is>
          <t>6.4.1</t>
        </is>
      </c>
      <c r="H425" s="22" t="inlineStr">
        <is>
          <t>Fotodiodo detector de medición</t>
        </is>
      </c>
      <c r="I425" s="22" t="inlineStr">
        <is>
          <t>Rotar la lámpara buscando el máximo; si sigue por debajo de 200 mV, reemplazarla</t>
        </is>
      </c>
      <c r="J425" s="20">
        <f>IFERROR(INDEX('APOA-370 (O3)'!$U$9:$U$88,MATCH($B425,'APOA-370 (O3)'!$A$9:$A$88,0)),"")</f>
        <v/>
      </c>
      <c r="K425" s="20">
        <f>IF(OR($J425="No conforme",$J425="Requiere reemplazo"),"SÍ — verificar destino","")</f>
        <v/>
      </c>
    </row>
    <row r="426" ht="36" customHeight="1">
      <c r="A426" s="20" t="inlineStr">
        <is>
          <t>APOA-370 (O3)</t>
        </is>
      </c>
      <c r="B426" s="26" t="inlineStr">
        <is>
          <t>6.1.2</t>
        </is>
      </c>
      <c r="C426" s="22" t="inlineStr">
        <is>
          <t>Temperatura de la celda (CELL)</t>
        </is>
      </c>
      <c r="D426" s="24" t="inlineStr">
        <is>
          <t>Bloqueante</t>
        </is>
      </c>
      <c r="E426" s="22" t="inlineStr">
        <is>
          <t>Temperatura de sala fuera de rango, termistor dañado, o lazo de calentamiento inoperante</t>
        </is>
      </c>
      <c r="F426" s="20" t="n">
        <v>1</v>
      </c>
      <c r="G426" s="26" t="inlineStr">
        <is>
          <t>10.3.1</t>
        </is>
      </c>
      <c r="H426" s="22" t="inlineStr">
        <is>
          <t>Temperatura ambiental del recinto (shelter)</t>
        </is>
      </c>
      <c r="I426" s="22" t="inlineStr">
        <is>
          <t>Descartar primero la sala; una lectura absurda apunta al termistor</t>
        </is>
      </c>
      <c r="J426" s="20">
        <f>IFERROR(INDEX('APOA-370 (O3)'!$U$9:$U$88,MATCH($B426,'APOA-370 (O3)'!$A$9:$A$88,0)),"")</f>
        <v/>
      </c>
      <c r="K426" s="20">
        <f>IF(OR($J426="No conforme",$J426="Requiere reemplazo"),"SÍ — verificar destino","")</f>
        <v/>
      </c>
    </row>
    <row r="427" ht="36" customHeight="1">
      <c r="A427" s="20" t="inlineStr">
        <is>
          <t>APOA-370 (O3)</t>
        </is>
      </c>
      <c r="B427" s="26" t="inlineStr">
        <is>
          <t>6.1.2</t>
        </is>
      </c>
      <c r="C427" s="22" t="inlineStr">
        <is>
          <t>Temperatura de la celda (CELL)</t>
        </is>
      </c>
      <c r="D427" s="24" t="inlineStr">
        <is>
          <t>Bloqueante</t>
        </is>
      </c>
      <c r="E427" s="22" t="inlineStr">
        <is>
          <t>Temperatura de sala fuera de rango, termistor dañado, o lazo de calentamiento inoperante</t>
        </is>
      </c>
      <c r="F427" s="20" t="n">
        <v>2</v>
      </c>
      <c r="G427" s="26" t="inlineStr">
        <is>
          <t>9.2.1</t>
        </is>
      </c>
      <c r="H427" s="22" t="inlineStr">
        <is>
          <t>Termistor de temperatura de celda (TS_1)</t>
        </is>
      </c>
      <c r="I427" s="22" t="inlineStr">
        <is>
          <t>Descartar primero la sala; una lectura absurda apunta al termistor</t>
        </is>
      </c>
      <c r="J427" s="20">
        <f>IFERROR(INDEX('APOA-370 (O3)'!$U$9:$U$88,MATCH($B427,'APOA-370 (O3)'!$A$9:$A$88,0)),"")</f>
        <v/>
      </c>
      <c r="K427" s="20">
        <f>IF(OR($J427="No conforme",$J427="Requiere reemplazo"),"SÍ — verificar destino","")</f>
        <v/>
      </c>
    </row>
    <row r="428" ht="36" customHeight="1">
      <c r="A428" s="20" t="inlineStr">
        <is>
          <t>APOA-370 (O3)</t>
        </is>
      </c>
      <c r="B428" s="26" t="inlineStr">
        <is>
          <t>6.1.2</t>
        </is>
      </c>
      <c r="C428" s="22" t="inlineStr">
        <is>
          <t>Temperatura de la celda (CELL)</t>
        </is>
      </c>
      <c r="D428" s="24" t="inlineStr">
        <is>
          <t>Bloqueante</t>
        </is>
      </c>
      <c r="E428" s="22" t="inlineStr">
        <is>
          <t>Temperatura de sala fuera de rango, termistor dañado, o lazo de calentamiento inoperante</t>
        </is>
      </c>
      <c r="F428" s="20" t="n">
        <v>3</v>
      </c>
      <c r="G428" s="26" t="inlineStr">
        <is>
          <t>7.2.1</t>
        </is>
      </c>
      <c r="H428" s="22" t="inlineStr">
        <is>
          <t>LED de estado en placa AP-ADC-05</t>
        </is>
      </c>
      <c r="I428" s="22" t="inlineStr">
        <is>
          <t>Descartar primero la sala; una lectura absurda apunta al termistor</t>
        </is>
      </c>
      <c r="J428" s="20">
        <f>IFERROR(INDEX('APOA-370 (O3)'!$U$9:$U$88,MATCH($B428,'APOA-370 (O3)'!$A$9:$A$88,0)),"")</f>
        <v/>
      </c>
      <c r="K428" s="20">
        <f>IF(OR($J428="No conforme",$J428="Requiere reemplazo"),"SÍ — verificar destino","")</f>
        <v/>
      </c>
    </row>
    <row r="429" ht="36" customHeight="1">
      <c r="A429" s="20" t="inlineStr">
        <is>
          <t>APOA-370 (O3)</t>
        </is>
      </c>
      <c r="B429" s="26" t="inlineStr">
        <is>
          <t>6.1.3</t>
        </is>
      </c>
      <c r="C429" s="22" t="inlineStr">
        <is>
          <t>Ruido de la señal analógica (SIGNAL)</t>
        </is>
      </c>
      <c r="D429" s="24" t="inlineStr">
        <is>
          <t>Bloqueante</t>
        </is>
      </c>
      <c r="E429" s="22" t="inlineStr">
        <is>
          <t>Condensación en la celda, lámpara fluctuante, o electroválvula con fuga interna</t>
        </is>
      </c>
      <c r="F429" s="20" t="n">
        <v>1</v>
      </c>
      <c r="G429" s="26" t="inlineStr">
        <is>
          <t>4.2.1</t>
        </is>
      </c>
      <c r="H429" s="22" t="inlineStr">
        <is>
          <t>Humedad o condensación en el portafiltros</t>
        </is>
      </c>
      <c r="I429" s="22" t="inlineStr">
        <is>
          <t>Secar el circuito y estabilizar 24 a 48 h antes de juzgar la señal</t>
        </is>
      </c>
      <c r="J429" s="20">
        <f>IFERROR(INDEX('APOA-370 (O3)'!$U$9:$U$88,MATCH($B429,'APOA-370 (O3)'!$A$9:$A$88,0)),"")</f>
        <v/>
      </c>
      <c r="K429" s="20">
        <f>IF(OR($J429="No conforme",$J429="Requiere reemplazo"),"SÍ — verificar destino","")</f>
        <v/>
      </c>
    </row>
    <row r="430" ht="36" customHeight="1">
      <c r="A430" s="20" t="inlineStr">
        <is>
          <t>APOA-370 (O3)</t>
        </is>
      </c>
      <c r="B430" s="26" t="inlineStr">
        <is>
          <t>6.1.3</t>
        </is>
      </c>
      <c r="C430" s="22" t="inlineStr">
        <is>
          <t>Ruido de la señal analógica (SIGNAL)</t>
        </is>
      </c>
      <c r="D430" s="24" t="inlineStr">
        <is>
          <t>Bloqueante</t>
        </is>
      </c>
      <c r="E430" s="22" t="inlineStr">
        <is>
          <t>Condensación en la celda, lámpara fluctuante, o electroválvula con fuga interna</t>
        </is>
      </c>
      <c r="F430" s="20" t="n">
        <v>2</v>
      </c>
      <c r="G430" s="26" t="inlineStr">
        <is>
          <t>6.1.1</t>
        </is>
      </c>
      <c r="H430" s="22" t="inlineStr">
        <is>
          <t>Intensidad de la lámpara UV (LAMP)</t>
        </is>
      </c>
      <c r="I430" s="22" t="inlineStr">
        <is>
          <t>Secar el circuito y estabilizar 24 a 48 h antes de juzgar la señal</t>
        </is>
      </c>
      <c r="J430" s="20">
        <f>IFERROR(INDEX('APOA-370 (O3)'!$U$9:$U$88,MATCH($B430,'APOA-370 (O3)'!$A$9:$A$88,0)),"")</f>
        <v/>
      </c>
      <c r="K430" s="20">
        <f>IF(OR($J430="No conforme",$J430="Requiere reemplazo"),"SÍ — verificar destino","")</f>
        <v/>
      </c>
    </row>
    <row r="431" ht="36" customHeight="1">
      <c r="A431" s="20" t="inlineStr">
        <is>
          <t>APOA-370 (O3)</t>
        </is>
      </c>
      <c r="B431" s="26" t="inlineStr">
        <is>
          <t>6.1.3</t>
        </is>
      </c>
      <c r="C431" s="22" t="inlineStr">
        <is>
          <t>Ruido de la señal analógica (SIGNAL)</t>
        </is>
      </c>
      <c r="D431" s="24" t="inlineStr">
        <is>
          <t>Bloqueante</t>
        </is>
      </c>
      <c r="E431" s="22" t="inlineStr">
        <is>
          <t>Condensación en la celda, lámpara fluctuante, o electroválvula con fuga interna</t>
        </is>
      </c>
      <c r="F431" s="20" t="n">
        <v>3</v>
      </c>
      <c r="G431" s="26" t="inlineStr">
        <is>
          <t>6.5.1</t>
        </is>
      </c>
      <c r="H431" s="22" t="inlineStr">
        <is>
          <t>Unidad de solenoide de modulación (SV-2)</t>
        </is>
      </c>
      <c r="I431" s="22" t="inlineStr">
        <is>
          <t>Secar el circuito y estabilizar 24 a 48 h antes de juzgar la señal</t>
        </is>
      </c>
      <c r="J431" s="20">
        <f>IFERROR(INDEX('APOA-370 (O3)'!$U$9:$U$88,MATCH($B431,'APOA-370 (O3)'!$A$9:$A$88,0)),"")</f>
        <v/>
      </c>
      <c r="K431" s="20">
        <f>IF(OR($J431="No conforme",$J431="Requiere reemplazo"),"SÍ — verificar destino","")</f>
        <v/>
      </c>
    </row>
    <row r="432" ht="36" customHeight="1">
      <c r="A432" s="20" t="inlineStr">
        <is>
          <t>APOA-370 (O3)</t>
        </is>
      </c>
      <c r="B432" s="26" t="inlineStr">
        <is>
          <t>6.1.3</t>
        </is>
      </c>
      <c r="C432" s="22" t="inlineStr">
        <is>
          <t>Ruido de la señal analógica (SIGNAL)</t>
        </is>
      </c>
      <c r="D432" s="24" t="inlineStr">
        <is>
          <t>Bloqueante</t>
        </is>
      </c>
      <c r="E432" s="22" t="inlineStr">
        <is>
          <t>Condensación en la celda, lámpara fluctuante, o electroválvula con fuga interna</t>
        </is>
      </c>
      <c r="F432" s="20" t="n">
        <v>4</v>
      </c>
      <c r="G432" s="26" t="inlineStr">
        <is>
          <t>5.1.3</t>
        </is>
      </c>
      <c r="H432" s="22" t="inlineStr">
        <is>
          <t>Montaje y base amortiguadora de la bomba</t>
        </is>
      </c>
      <c r="I432" s="22" t="inlineStr">
        <is>
          <t>Secar el circuito y estabilizar 24 a 48 h antes de juzgar la señal</t>
        </is>
      </c>
      <c r="J432" s="20">
        <f>IFERROR(INDEX('APOA-370 (O3)'!$U$9:$U$88,MATCH($B432,'APOA-370 (O3)'!$A$9:$A$88,0)),"")</f>
        <v/>
      </c>
      <c r="K432" s="20">
        <f>IF(OR($J432="No conforme",$J432="Requiere reemplazo"),"SÍ — verificar destino","")</f>
        <v/>
      </c>
    </row>
    <row r="433" ht="36" customHeight="1">
      <c r="A433" s="20" t="inlineStr">
        <is>
          <t>APOA-370 (O3)</t>
        </is>
      </c>
      <c r="B433" s="26" t="inlineStr">
        <is>
          <t>6.2.1</t>
        </is>
      </c>
      <c r="C433" s="22" t="inlineStr">
        <is>
          <t>Ventanas de cuarzo de la celda</t>
        </is>
      </c>
      <c r="D433" s="25" t="inlineStr">
        <is>
          <t>Cobrable</t>
        </is>
      </c>
      <c r="E433" s="22" t="inlineStr">
        <is>
          <t>Depósitos o condensación sobre el cuarzo: atenúan el haz</t>
        </is>
      </c>
      <c r="F433" s="20" t="n">
        <v>1</v>
      </c>
      <c r="G433" s="26" t="inlineStr">
        <is>
          <t>4.2.1</t>
        </is>
      </c>
      <c r="H433" s="22" t="inlineStr">
        <is>
          <t>Humedad o condensación en el portafiltros</t>
        </is>
      </c>
      <c r="I433" s="22" t="inlineStr">
        <is>
          <t>Limpiar las ventanas con material óptico apropiado y eliminar el origen de la humedad</t>
        </is>
      </c>
      <c r="J433" s="20">
        <f>IFERROR(INDEX('APOA-370 (O3)'!$U$9:$U$88,MATCH($B433,'APOA-370 (O3)'!$A$9:$A$88,0)),"")</f>
        <v/>
      </c>
      <c r="K433" s="20">
        <f>IF(OR($J433="No conforme",$J433="Requiere reemplazo"),"SÍ — verificar destino","")</f>
        <v/>
      </c>
    </row>
    <row r="434" ht="36" customHeight="1">
      <c r="A434" s="20" t="inlineStr">
        <is>
          <t>APOA-370 (O3)</t>
        </is>
      </c>
      <c r="B434" s="26" t="inlineStr">
        <is>
          <t>6.2.1</t>
        </is>
      </c>
      <c r="C434" s="22" t="inlineStr">
        <is>
          <t>Ventanas de cuarzo de la celda</t>
        </is>
      </c>
      <c r="D434" s="25" t="inlineStr">
        <is>
          <t>Cobrable</t>
        </is>
      </c>
      <c r="E434" s="22" t="inlineStr">
        <is>
          <t>Depósitos o condensación sobre el cuarzo: atenúan el haz</t>
        </is>
      </c>
      <c r="F434" s="20" t="n">
        <v>2</v>
      </c>
      <c r="G434" s="26" t="inlineStr">
        <is>
          <t>6.1.1</t>
        </is>
      </c>
      <c r="H434" s="22" t="inlineStr">
        <is>
          <t>Intensidad de la lámpara UV (LAMP)</t>
        </is>
      </c>
      <c r="I434" s="22" t="inlineStr">
        <is>
          <t>Limpiar las ventanas con material óptico apropiado y eliminar el origen de la humedad</t>
        </is>
      </c>
      <c r="J434" s="20">
        <f>IFERROR(INDEX('APOA-370 (O3)'!$U$9:$U$88,MATCH($B434,'APOA-370 (O3)'!$A$9:$A$88,0)),"")</f>
        <v/>
      </c>
      <c r="K434" s="20">
        <f>IF(OR($J434="No conforme",$J434="Requiere reemplazo"),"SÍ — verificar destino","")</f>
        <v/>
      </c>
    </row>
    <row r="435" ht="36" customHeight="1">
      <c r="A435" s="20" t="inlineStr">
        <is>
          <t>APOA-370 (O3)</t>
        </is>
      </c>
      <c r="B435" s="26" t="inlineStr">
        <is>
          <t>6.2.2</t>
        </is>
      </c>
      <c r="C435" s="22" t="inlineStr">
        <is>
          <t>Sello de empaquetadura de la celda</t>
        </is>
      </c>
      <c r="D435" s="24" t="inlineStr">
        <is>
          <t>Bloqueante</t>
        </is>
      </c>
      <c r="E435" s="22" t="inlineStr">
        <is>
          <t>Empaque agrietado: fuga en la celda de absorción</t>
        </is>
      </c>
      <c r="F435" s="20" t="n">
        <v>1</v>
      </c>
      <c r="G435" s="26" t="inlineStr">
        <is>
          <t>5.2.1</t>
        </is>
      </c>
      <c r="H435" s="22" t="inlineStr">
        <is>
          <t>Presión absoluta de la bomba (PUMP)</t>
        </is>
      </c>
      <c r="I435" s="22" t="inlineStr">
        <is>
          <t>Reemplazar el empaque de la celda y repetir la prueba de hermeticidad</t>
        </is>
      </c>
      <c r="J435" s="20">
        <f>IFERROR(INDEX('APOA-370 (O3)'!$U$9:$U$88,MATCH($B435,'APOA-370 (O3)'!$A$9:$A$88,0)),"")</f>
        <v/>
      </c>
      <c r="K435" s="20">
        <f>IF(OR($J435="No conforme",$J435="Requiere reemplazo"),"SÍ — verificar destino","")</f>
        <v/>
      </c>
    </row>
    <row r="436" ht="36" customHeight="1">
      <c r="A436" s="20" t="inlineStr">
        <is>
          <t>APOA-370 (O3)</t>
        </is>
      </c>
      <c r="B436" s="26" t="inlineStr">
        <is>
          <t>6.2.2</t>
        </is>
      </c>
      <c r="C436" s="22" t="inlineStr">
        <is>
          <t>Sello de empaquetadura de la celda</t>
        </is>
      </c>
      <c r="D436" s="24" t="inlineStr">
        <is>
          <t>Bloqueante</t>
        </is>
      </c>
      <c r="E436" s="22" t="inlineStr">
        <is>
          <t>Empaque agrietado: fuga en la celda de absorción</t>
        </is>
      </c>
      <c r="F436" s="20" t="n">
        <v>2</v>
      </c>
      <c r="G436" s="26" t="inlineStr">
        <is>
          <t>3.4.1</t>
        </is>
      </c>
      <c r="H436" s="22" t="inlineStr">
        <is>
          <t>Estabilidad de la lectura de cero</t>
        </is>
      </c>
      <c r="I436" s="22" t="inlineStr">
        <is>
          <t>Reemplazar el empaque de la celda y repetir la prueba de hermeticidad</t>
        </is>
      </c>
      <c r="J436" s="20">
        <f>IFERROR(INDEX('APOA-370 (O3)'!$U$9:$U$88,MATCH($B436,'APOA-370 (O3)'!$A$9:$A$88,0)),"")</f>
        <v/>
      </c>
      <c r="K436" s="20">
        <f>IF(OR($J436="No conforme",$J436="Requiere reemplazo"),"SÍ — verificar destino","")</f>
        <v/>
      </c>
    </row>
    <row r="437" ht="36" customHeight="1">
      <c r="A437" s="20" t="inlineStr">
        <is>
          <t>APOA-370 (O3)</t>
        </is>
      </c>
      <c r="B437" s="26" t="inlineStr">
        <is>
          <t>6.2.3</t>
        </is>
      </c>
      <c r="C437" s="22" t="inlineStr">
        <is>
          <t>Alineación de la lámpara UV</t>
        </is>
      </c>
      <c r="D437" s="25" t="inlineStr">
        <is>
          <t>Cobrable</t>
        </is>
      </c>
      <c r="E437" s="22" t="inlineStr">
        <is>
          <t>Lámpara girada respecto al punto de máxima intensidad tras una intervención</t>
        </is>
      </c>
      <c r="F437" s="20" t="n">
        <v>1</v>
      </c>
      <c r="G437" s="26" t="inlineStr">
        <is>
          <t>6.1.1</t>
        </is>
      </c>
      <c r="H437" s="22" t="inlineStr">
        <is>
          <t>Intensidad de la lámpara UV (LAMP)</t>
        </is>
      </c>
      <c r="I437" s="22" t="inlineStr">
        <is>
          <t>Aflojar los tornillos estriados, rotar hasta la señal máxima y volver a fijar</t>
        </is>
      </c>
      <c r="J437" s="20">
        <f>IFERROR(INDEX('APOA-370 (O3)'!$U$9:$U$88,MATCH($B437,'APOA-370 (O3)'!$A$9:$A$88,0)),"")</f>
        <v/>
      </c>
      <c r="K437" s="20">
        <f>IF(OR($J437="No conforme",$J437="Requiere reemplazo"),"SÍ — verificar destino","")</f>
        <v/>
      </c>
    </row>
    <row r="438" ht="48" customHeight="1">
      <c r="A438" s="20" t="inlineStr">
        <is>
          <t>APOA-370 (O3)</t>
        </is>
      </c>
      <c r="B438" s="26" t="inlineStr">
        <is>
          <t>6.3.1</t>
        </is>
      </c>
      <c r="C438" s="22" t="inlineStr">
        <is>
          <t>Unidad catalítica calentada (DO pipe)</t>
        </is>
      </c>
      <c r="D438" s="24" t="inlineStr">
        <is>
          <t>Bloqueante</t>
        </is>
      </c>
      <c r="E438" s="22" t="inlineStr">
        <is>
          <t>Catalizador DO-5g agotado o contaminado, o calefactor desconectado</t>
        </is>
      </c>
      <c r="F438" s="20" t="n">
        <v>1</v>
      </c>
      <c r="G438" s="26" t="inlineStr">
        <is>
          <t>6.3.2</t>
        </is>
      </c>
      <c r="H438" s="22" t="inlineStr">
        <is>
          <t>Conector del catalizador deozonizador</t>
        </is>
      </c>
      <c r="I438" s="22" t="inlineStr">
        <is>
          <t>Si el equipo no vuelve a cero con aire ambiente, el deozonizador ya no destruye el ozono: reemplazarlo</t>
        </is>
      </c>
      <c r="J438" s="20">
        <f>IFERROR(INDEX('APOA-370 (O3)'!$U$9:$U$88,MATCH($B438,'APOA-370 (O3)'!$A$9:$A$88,0)),"")</f>
        <v/>
      </c>
      <c r="K438" s="20">
        <f>IF(OR($J438="No conforme",$J438="Requiere reemplazo"),"SÍ — verificar destino","")</f>
        <v/>
      </c>
    </row>
    <row r="439" ht="48" customHeight="1">
      <c r="A439" s="20" t="inlineStr">
        <is>
          <t>APOA-370 (O3)</t>
        </is>
      </c>
      <c r="B439" s="26" t="inlineStr">
        <is>
          <t>6.3.1</t>
        </is>
      </c>
      <c r="C439" s="22" t="inlineStr">
        <is>
          <t>Unidad catalítica calentada (DO pipe)</t>
        </is>
      </c>
      <c r="D439" s="24" t="inlineStr">
        <is>
          <t>Bloqueante</t>
        </is>
      </c>
      <c r="E439" s="22" t="inlineStr">
        <is>
          <t>Catalizador DO-5g agotado o contaminado, o calefactor desconectado</t>
        </is>
      </c>
      <c r="F439" s="20" t="n">
        <v>2</v>
      </c>
      <c r="G439" s="26" t="inlineStr">
        <is>
          <t>9.2.2</t>
        </is>
      </c>
      <c r="H439" s="22" t="inlineStr">
        <is>
          <t>Termistor de temperatura del deozonizador</t>
        </is>
      </c>
      <c r="I439" s="22" t="inlineStr">
        <is>
          <t>Si el equipo no vuelve a cero con aire ambiente, el deozonizador ya no destruye el ozono: reemplazarlo</t>
        </is>
      </c>
      <c r="J439" s="20">
        <f>IFERROR(INDEX('APOA-370 (O3)'!$U$9:$U$88,MATCH($B439,'APOA-370 (O3)'!$A$9:$A$88,0)),"")</f>
        <v/>
      </c>
      <c r="K439" s="20">
        <f>IF(OR($J439="No conforme",$J439="Requiere reemplazo"),"SÍ — verificar destino","")</f>
        <v/>
      </c>
    </row>
    <row r="440" ht="48" customHeight="1">
      <c r="A440" s="20" t="inlineStr">
        <is>
          <t>APOA-370 (O3)</t>
        </is>
      </c>
      <c r="B440" s="26" t="inlineStr">
        <is>
          <t>6.3.1</t>
        </is>
      </c>
      <c r="C440" s="22" t="inlineStr">
        <is>
          <t>Unidad catalítica calentada (DO pipe)</t>
        </is>
      </c>
      <c r="D440" s="24" t="inlineStr">
        <is>
          <t>Bloqueante</t>
        </is>
      </c>
      <c r="E440" s="22" t="inlineStr">
        <is>
          <t>Catalizador DO-5g agotado o contaminado, o calefactor desconectado</t>
        </is>
      </c>
      <c r="F440" s="20" t="n">
        <v>3</v>
      </c>
      <c r="G440" s="26" t="inlineStr">
        <is>
          <t>8.2.2</t>
        </is>
      </c>
      <c r="H440" s="22" t="inlineStr">
        <is>
          <t>Horómetro del catalizador deozonizador (DO-1)</t>
        </is>
      </c>
      <c r="I440" s="22" t="inlineStr">
        <is>
          <t>Si el equipo no vuelve a cero con aire ambiente, el deozonizador ya no destruye el ozono: reemplazarlo</t>
        </is>
      </c>
      <c r="J440" s="20">
        <f>IFERROR(INDEX('APOA-370 (O3)'!$U$9:$U$88,MATCH($B440,'APOA-370 (O3)'!$A$9:$A$88,0)),"")</f>
        <v/>
      </c>
      <c r="K440" s="20">
        <f>IF(OR($J440="No conforme",$J440="Requiere reemplazo"),"SÍ — verificar destino","")</f>
        <v/>
      </c>
    </row>
    <row r="441" ht="48" customHeight="1">
      <c r="A441" s="20" t="inlineStr">
        <is>
          <t>APOA-370 (O3)</t>
        </is>
      </c>
      <c r="B441" s="26" t="inlineStr">
        <is>
          <t>6.3.1</t>
        </is>
      </c>
      <c r="C441" s="22" t="inlineStr">
        <is>
          <t>Unidad catalítica calentada (DO pipe)</t>
        </is>
      </c>
      <c r="D441" s="24" t="inlineStr">
        <is>
          <t>Bloqueante</t>
        </is>
      </c>
      <c r="E441" s="22" t="inlineStr">
        <is>
          <t>Catalizador DO-5g agotado o contaminado, o calefactor desconectado</t>
        </is>
      </c>
      <c r="F441" s="20" t="n">
        <v>4</v>
      </c>
      <c r="G441" s="26" t="inlineStr">
        <is>
          <t>3.4.1</t>
        </is>
      </c>
      <c r="H441" s="22" t="inlineStr">
        <is>
          <t>Estabilidad de la lectura de cero</t>
        </is>
      </c>
      <c r="I441" s="22" t="inlineStr">
        <is>
          <t>Si el equipo no vuelve a cero con aire ambiente, el deozonizador ya no destruye el ozono: reemplazarlo</t>
        </is>
      </c>
      <c r="J441" s="20">
        <f>IFERROR(INDEX('APOA-370 (O3)'!$U$9:$U$88,MATCH($B441,'APOA-370 (O3)'!$A$9:$A$88,0)),"")</f>
        <v/>
      </c>
      <c r="K441" s="20">
        <f>IF(OR($J441="No conforme",$J441="Requiere reemplazo"),"SÍ — verificar destino","")</f>
        <v/>
      </c>
    </row>
    <row r="442" ht="36" customHeight="1">
      <c r="A442" s="20" t="inlineStr">
        <is>
          <t>APOA-370 (O3)</t>
        </is>
      </c>
      <c r="B442" s="26" t="inlineStr">
        <is>
          <t>6.3.2</t>
        </is>
      </c>
      <c r="C442" s="22" t="inlineStr">
        <is>
          <t>Conector del catalizador deozonizador</t>
        </is>
      </c>
      <c r="D442" s="24" t="inlineStr">
        <is>
          <t>Bloqueante</t>
        </is>
      </c>
      <c r="E442" s="22" t="inlineStr">
        <is>
          <t>Conector flojo, oxidado, o con marcas de sobrecalentamiento</t>
        </is>
      </c>
      <c r="F442" s="20" t="n">
        <v>1</v>
      </c>
      <c r="G442" s="26" t="inlineStr">
        <is>
          <t>9.2.2</t>
        </is>
      </c>
      <c r="H442" s="22" t="inlineStr">
        <is>
          <t>Termistor de temperatura del deozonizador</t>
        </is>
      </c>
      <c r="I442" s="22" t="inlineStr">
        <is>
          <t>Rehacer la conexión de alimentación del calefactor y verificar que caliente</t>
        </is>
      </c>
      <c r="J442" s="20">
        <f>IFERROR(INDEX('APOA-370 (O3)'!$U$9:$U$88,MATCH($B442,'APOA-370 (O3)'!$A$9:$A$88,0)),"")</f>
        <v/>
      </c>
      <c r="K442" s="20">
        <f>IF(OR($J442="No conforme",$J442="Requiere reemplazo"),"SÍ — verificar destino","")</f>
        <v/>
      </c>
    </row>
    <row r="443" ht="36" customHeight="1">
      <c r="A443" s="20" t="inlineStr">
        <is>
          <t>APOA-370 (O3)</t>
        </is>
      </c>
      <c r="B443" s="26" t="inlineStr">
        <is>
          <t>6.3.2</t>
        </is>
      </c>
      <c r="C443" s="22" t="inlineStr">
        <is>
          <t>Conector del catalizador deozonizador</t>
        </is>
      </c>
      <c r="D443" s="24" t="inlineStr">
        <is>
          <t>Bloqueante</t>
        </is>
      </c>
      <c r="E443" s="22" t="inlineStr">
        <is>
          <t>Conector flojo, oxidado, o con marcas de sobrecalentamiento</t>
        </is>
      </c>
      <c r="F443" s="20" t="n">
        <v>2</v>
      </c>
      <c r="G443" s="26" t="inlineStr">
        <is>
          <t>6.3.1</t>
        </is>
      </c>
      <c r="H443" s="22" t="inlineStr">
        <is>
          <t>Unidad catalítica calentada (DO pipe)</t>
        </is>
      </c>
      <c r="I443" s="22" t="inlineStr">
        <is>
          <t>Rehacer la conexión de alimentación del calefactor y verificar que caliente</t>
        </is>
      </c>
      <c r="J443" s="20">
        <f>IFERROR(INDEX('APOA-370 (O3)'!$U$9:$U$88,MATCH($B443,'APOA-370 (O3)'!$A$9:$A$88,0)),"")</f>
        <v/>
      </c>
      <c r="K443" s="20">
        <f>IF(OR($J443="No conforme",$J443="Requiere reemplazo"),"SÍ — verificar destino","")</f>
        <v/>
      </c>
    </row>
    <row r="444" ht="36" customHeight="1">
      <c r="A444" s="20" t="inlineStr">
        <is>
          <t>APOA-370 (O3)</t>
        </is>
      </c>
      <c r="B444" s="26" t="inlineStr">
        <is>
          <t>6.4.1</t>
        </is>
      </c>
      <c r="C444" s="22" t="inlineStr">
        <is>
          <t>Fotodiodo detector de medición</t>
        </is>
      </c>
      <c r="D444" s="24" t="inlineStr">
        <is>
          <t>Bloqueante</t>
        </is>
      </c>
      <c r="E444" s="22" t="inlineStr">
        <is>
          <t>Soldadura fría, hilo partido, o sulfatación por humedad</t>
        </is>
      </c>
      <c r="F444" s="20" t="n">
        <v>1</v>
      </c>
      <c r="G444" s="26" t="inlineStr">
        <is>
          <t>6.4.2</t>
        </is>
      </c>
      <c r="H444" s="22" t="inlineStr">
        <is>
          <t>Tarjeta preamplificadora (AP-AMP-06)</t>
        </is>
      </c>
      <c r="I444" s="22" t="inlineStr">
        <is>
          <t>Reemplazar el fotodiodo y su tarjeta si la señal no responde al gas patrón</t>
        </is>
      </c>
      <c r="J444" s="20">
        <f>IFERROR(INDEX('APOA-370 (O3)'!$U$9:$U$88,MATCH($B444,'APOA-370 (O3)'!$A$9:$A$88,0)),"")</f>
        <v/>
      </c>
      <c r="K444" s="20">
        <f>IF(OR($J444="No conforme",$J444="Requiere reemplazo"),"SÍ — verificar destino","")</f>
        <v/>
      </c>
    </row>
    <row r="445" ht="36" customHeight="1">
      <c r="A445" s="20" t="inlineStr">
        <is>
          <t>APOA-370 (O3)</t>
        </is>
      </c>
      <c r="B445" s="26" t="inlineStr">
        <is>
          <t>6.4.1</t>
        </is>
      </c>
      <c r="C445" s="22" t="inlineStr">
        <is>
          <t>Fotodiodo detector de medición</t>
        </is>
      </c>
      <c r="D445" s="24" t="inlineStr">
        <is>
          <t>Bloqueante</t>
        </is>
      </c>
      <c r="E445" s="22" t="inlineStr">
        <is>
          <t>Soldadura fría, hilo partido, o sulfatación por humedad</t>
        </is>
      </c>
      <c r="F445" s="20" t="n">
        <v>2</v>
      </c>
      <c r="G445" s="26" t="inlineStr">
        <is>
          <t>6.1.1</t>
        </is>
      </c>
      <c r="H445" s="22" t="inlineStr">
        <is>
          <t>Intensidad de la lámpara UV (LAMP)</t>
        </is>
      </c>
      <c r="I445" s="22" t="inlineStr">
        <is>
          <t>Reemplazar el fotodiodo y su tarjeta si la señal no responde al gas patrón</t>
        </is>
      </c>
      <c r="J445" s="20">
        <f>IFERROR(INDEX('APOA-370 (O3)'!$U$9:$U$88,MATCH($B445,'APOA-370 (O3)'!$A$9:$A$88,0)),"")</f>
        <v/>
      </c>
      <c r="K445" s="20">
        <f>IF(OR($J445="No conforme",$J445="Requiere reemplazo"),"SÍ — verificar destino","")</f>
        <v/>
      </c>
    </row>
    <row r="446" ht="36" customHeight="1">
      <c r="A446" s="20" t="inlineStr">
        <is>
          <t>APOA-370 (O3)</t>
        </is>
      </c>
      <c r="B446" s="26" t="inlineStr">
        <is>
          <t>6.4.1</t>
        </is>
      </c>
      <c r="C446" s="22" t="inlineStr">
        <is>
          <t>Fotodiodo detector de medición</t>
        </is>
      </c>
      <c r="D446" s="24" t="inlineStr">
        <is>
          <t>Bloqueante</t>
        </is>
      </c>
      <c r="E446" s="22" t="inlineStr">
        <is>
          <t>Soldadura fría, hilo partido, o sulfatación por humedad</t>
        </is>
      </c>
      <c r="F446" s="20" t="n">
        <v>3</v>
      </c>
      <c r="G446" s="26" t="inlineStr">
        <is>
          <t>6.1.3</t>
        </is>
      </c>
      <c r="H446" s="22" t="inlineStr">
        <is>
          <t>Ruido de la señal analógica (SIGNAL)</t>
        </is>
      </c>
      <c r="I446" s="22" t="inlineStr">
        <is>
          <t>Reemplazar el fotodiodo y su tarjeta si la señal no responde al gas patrón</t>
        </is>
      </c>
      <c r="J446" s="20">
        <f>IFERROR(INDEX('APOA-370 (O3)'!$U$9:$U$88,MATCH($B446,'APOA-370 (O3)'!$A$9:$A$88,0)),"")</f>
        <v/>
      </c>
      <c r="K446" s="20">
        <f>IF(OR($J446="No conforme",$J446="Requiere reemplazo"),"SÍ — verificar destino","")</f>
        <v/>
      </c>
    </row>
    <row r="447" ht="36" customHeight="1">
      <c r="A447" s="20" t="inlineStr">
        <is>
          <t>APOA-370 (O3)</t>
        </is>
      </c>
      <c r="B447" s="26" t="inlineStr">
        <is>
          <t>6.4.2</t>
        </is>
      </c>
      <c r="C447" s="22" t="inlineStr">
        <is>
          <t>Tarjeta preamplificadora (AP-AMP-06)</t>
        </is>
      </c>
      <c r="D447" s="24" t="inlineStr">
        <is>
          <t>Bloqueante</t>
        </is>
      </c>
      <c r="E447" s="22" t="inlineStr">
        <is>
          <t>Humedad, sulfatación de contactos, o componente recalentado</t>
        </is>
      </c>
      <c r="F447" s="20" t="n">
        <v>1</v>
      </c>
      <c r="G447" s="26" t="inlineStr">
        <is>
          <t>6.4.1</t>
        </is>
      </c>
      <c r="H447" s="22" t="inlineStr">
        <is>
          <t>Fotodiodo detector de medición</t>
        </is>
      </c>
      <c r="I447" s="22" t="inlineStr">
        <is>
          <t>Prueba cruzada antes de reemplazar; el fotodiodo y la tarjeta suelen cambiarse juntos</t>
        </is>
      </c>
      <c r="J447" s="20">
        <f>IFERROR(INDEX('APOA-370 (O3)'!$U$9:$U$88,MATCH($B447,'APOA-370 (O3)'!$A$9:$A$88,0)),"")</f>
        <v/>
      </c>
      <c r="K447" s="20">
        <f>IF(OR($J447="No conforme",$J447="Requiere reemplazo"),"SÍ — verificar destino","")</f>
        <v/>
      </c>
    </row>
    <row r="448" ht="36" customHeight="1">
      <c r="A448" s="20" t="inlineStr">
        <is>
          <t>APOA-370 (O3)</t>
        </is>
      </c>
      <c r="B448" s="26" t="inlineStr">
        <is>
          <t>6.4.2</t>
        </is>
      </c>
      <c r="C448" s="22" t="inlineStr">
        <is>
          <t>Tarjeta preamplificadora (AP-AMP-06)</t>
        </is>
      </c>
      <c r="D448" s="24" t="inlineStr">
        <is>
          <t>Bloqueante</t>
        </is>
      </c>
      <c r="E448" s="22" t="inlineStr">
        <is>
          <t>Humedad, sulfatación de contactos, o componente recalentado</t>
        </is>
      </c>
      <c r="F448" s="20" t="n">
        <v>2</v>
      </c>
      <c r="G448" s="26" t="inlineStr">
        <is>
          <t>7.1.1</t>
        </is>
      </c>
      <c r="H448" s="22" t="inlineStr">
        <is>
          <t>Riel de voltaje interno de 24 V (DC 24V)</t>
        </is>
      </c>
      <c r="I448" s="22" t="inlineStr">
        <is>
          <t>Prueba cruzada antes de reemplazar; el fotodiodo y la tarjeta suelen cambiarse juntos</t>
        </is>
      </c>
      <c r="J448" s="20">
        <f>IFERROR(INDEX('APOA-370 (O3)'!$U$9:$U$88,MATCH($B448,'APOA-370 (O3)'!$A$9:$A$88,0)),"")</f>
        <v/>
      </c>
      <c r="K448" s="20">
        <f>IF(OR($J448="No conforme",$J448="Requiere reemplazo"),"SÍ — verificar destino","")</f>
        <v/>
      </c>
    </row>
    <row r="449" ht="36" customHeight="1">
      <c r="A449" s="20" t="inlineStr">
        <is>
          <t>APOA-370 (O3)</t>
        </is>
      </c>
      <c r="B449" s="26" t="inlineStr">
        <is>
          <t>6.5.1</t>
        </is>
      </c>
      <c r="C449" s="22" t="inlineStr">
        <is>
          <t>Unidad de solenoide de modulación (SV-2)</t>
        </is>
      </c>
      <c r="D449" s="24" t="inlineStr">
        <is>
          <t>Bloqueante</t>
        </is>
      </c>
      <c r="E449" s="22" t="inlineStr">
        <is>
          <t>Bobina quemada, vástago atascado, o fuga interna</t>
        </is>
      </c>
      <c r="F449" s="20" t="n">
        <v>1</v>
      </c>
      <c r="G449" s="26" t="inlineStr">
        <is>
          <t>1.2.3</t>
        </is>
      </c>
      <c r="H449" s="22" t="inlineStr">
        <is>
          <t>Modulación de flujo cruzado a 1 Hz</t>
        </is>
      </c>
      <c r="I449" s="22" t="inlineStr">
        <is>
          <t>Reemplazar la electroválvula de 3 vías y verificar la modulación a 1 Hz</t>
        </is>
      </c>
      <c r="J449" s="20">
        <f>IFERROR(INDEX('APOA-370 (O3)'!$U$9:$U$88,MATCH($B449,'APOA-370 (O3)'!$A$9:$A$88,0)),"")</f>
        <v/>
      </c>
      <c r="K449" s="20">
        <f>IF(OR($J449="No conforme",$J449="Requiere reemplazo"),"SÍ — verificar destino","")</f>
        <v/>
      </c>
    </row>
    <row r="450" ht="36" customHeight="1">
      <c r="A450" s="20" t="inlineStr">
        <is>
          <t>APOA-370 (O3)</t>
        </is>
      </c>
      <c r="B450" s="26" t="inlineStr">
        <is>
          <t>6.5.1</t>
        </is>
      </c>
      <c r="C450" s="22" t="inlineStr">
        <is>
          <t>Unidad de solenoide de modulación (SV-2)</t>
        </is>
      </c>
      <c r="D450" s="24" t="inlineStr">
        <is>
          <t>Bloqueante</t>
        </is>
      </c>
      <c r="E450" s="22" t="inlineStr">
        <is>
          <t>Bobina quemada, vástago atascado, o fuga interna</t>
        </is>
      </c>
      <c r="F450" s="20" t="n">
        <v>2</v>
      </c>
      <c r="G450" s="26" t="inlineStr">
        <is>
          <t>7.1.1</t>
        </is>
      </c>
      <c r="H450" s="22" t="inlineStr">
        <is>
          <t>Riel de voltaje interno de 24 V (DC 24V)</t>
        </is>
      </c>
      <c r="I450" s="22" t="inlineStr">
        <is>
          <t>Reemplazar la electroválvula de 3 vías y verificar la modulación a 1 Hz</t>
        </is>
      </c>
      <c r="J450" s="20">
        <f>IFERROR(INDEX('APOA-370 (O3)'!$U$9:$U$88,MATCH($B450,'APOA-370 (O3)'!$A$9:$A$88,0)),"")</f>
        <v/>
      </c>
      <c r="K450" s="20">
        <f>IF(OR($J450="No conforme",$J450="Requiere reemplazo"),"SÍ — verificar destino","")</f>
        <v/>
      </c>
    </row>
    <row r="451" ht="36" customHeight="1">
      <c r="A451" s="20" t="inlineStr">
        <is>
          <t>APOA-370 (O3)</t>
        </is>
      </c>
      <c r="B451" s="26" t="inlineStr">
        <is>
          <t>6.5.1</t>
        </is>
      </c>
      <c r="C451" s="22" t="inlineStr">
        <is>
          <t>Unidad de solenoide de modulación (SV-2)</t>
        </is>
      </c>
      <c r="D451" s="24" t="inlineStr">
        <is>
          <t>Bloqueante</t>
        </is>
      </c>
      <c r="E451" s="22" t="inlineStr">
        <is>
          <t>Bobina quemada, vástago atascado, o fuga interna</t>
        </is>
      </c>
      <c r="F451" s="20" t="n">
        <v>3</v>
      </c>
      <c r="G451" s="26" t="inlineStr">
        <is>
          <t>8.2.5</t>
        </is>
      </c>
      <c r="H451" s="22" t="inlineStr">
        <is>
          <t>Horómetro de la válvula solenoide (SV-2)</t>
        </is>
      </c>
      <c r="I451" s="22" t="inlineStr">
        <is>
          <t>Reemplazar la electroválvula de 3 vías y verificar la modulación a 1 Hz</t>
        </is>
      </c>
      <c r="J451" s="20">
        <f>IFERROR(INDEX('APOA-370 (O3)'!$U$9:$U$88,MATCH($B451,'APOA-370 (O3)'!$A$9:$A$88,0)),"")</f>
        <v/>
      </c>
      <c r="K451" s="20">
        <f>IF(OR($J451="No conforme",$J451="Requiere reemplazo"),"SÍ — verificar destino","")</f>
        <v/>
      </c>
    </row>
    <row r="452" ht="36" customHeight="1">
      <c r="A452" s="20" t="inlineStr">
        <is>
          <t>APOA-370 (O3)</t>
        </is>
      </c>
      <c r="B452" s="26" t="inlineStr">
        <is>
          <t>7.1.1</t>
        </is>
      </c>
      <c r="C452" s="22" t="inlineStr">
        <is>
          <t>Riel de voltaje interno de 24 V (DC 24V)</t>
        </is>
      </c>
      <c r="D452" s="24" t="inlineStr">
        <is>
          <t>Bloqueante</t>
        </is>
      </c>
      <c r="E452" s="22" t="inlineStr">
        <is>
          <t>Fuente degradada o carga excesiva sobre el riel</t>
        </is>
      </c>
      <c r="F452" s="20" t="n">
        <v>1</v>
      </c>
      <c r="G452" s="26" t="inlineStr">
        <is>
          <t>7.7.1</t>
        </is>
      </c>
      <c r="H452" s="22" t="inlineStr">
        <is>
          <t>Fusibles traseros de red de CA</t>
        </is>
      </c>
      <c r="I452" s="22" t="inlineStr">
        <is>
          <t>Medir en el punto de prueba de la tarjeta; si la fuente no regula, reemplazarla</t>
        </is>
      </c>
      <c r="J452" s="20">
        <f>IFERROR(INDEX('APOA-370 (O3)'!$U$9:$U$88,MATCH($B452,'APOA-370 (O3)'!$A$9:$A$88,0)),"")</f>
        <v/>
      </c>
      <c r="K452" s="20">
        <f>IF(OR($J452="No conforme",$J452="Requiere reemplazo"),"SÍ — verificar destino","")</f>
        <v/>
      </c>
    </row>
    <row r="453" ht="36" customHeight="1">
      <c r="A453" s="20" t="inlineStr">
        <is>
          <t>APOA-370 (O3)</t>
        </is>
      </c>
      <c r="B453" s="26" t="inlineStr">
        <is>
          <t>7.1.1</t>
        </is>
      </c>
      <c r="C453" s="22" t="inlineStr">
        <is>
          <t>Riel de voltaje interno de 24 V (DC 24V)</t>
        </is>
      </c>
      <c r="D453" s="24" t="inlineStr">
        <is>
          <t>Bloqueante</t>
        </is>
      </c>
      <c r="E453" s="22" t="inlineStr">
        <is>
          <t>Fuente degradada o carga excesiva sobre el riel</t>
        </is>
      </c>
      <c r="F453" s="20" t="n">
        <v>2</v>
      </c>
      <c r="G453" s="26" t="inlineStr">
        <is>
          <t>7.2.1</t>
        </is>
      </c>
      <c r="H453" s="22" t="inlineStr">
        <is>
          <t>LED de estado en placa AP-ADC-05</t>
        </is>
      </c>
      <c r="I453" s="22" t="inlineStr">
        <is>
          <t>Medir en el punto de prueba de la tarjeta; si la fuente no regula, reemplazarla</t>
        </is>
      </c>
      <c r="J453" s="20">
        <f>IFERROR(INDEX('APOA-370 (O3)'!$U$9:$U$88,MATCH($B453,'APOA-370 (O3)'!$A$9:$A$88,0)),"")</f>
        <v/>
      </c>
      <c r="K453" s="20">
        <f>IF(OR($J453="No conforme",$J453="Requiere reemplazo"),"SÍ — verificar destino","")</f>
        <v/>
      </c>
    </row>
    <row r="454" ht="36" customHeight="1">
      <c r="A454" s="20" t="inlineStr">
        <is>
          <t>APOA-370 (O3)</t>
        </is>
      </c>
      <c r="B454" s="26" t="inlineStr">
        <is>
          <t>7.1.2</t>
        </is>
      </c>
      <c r="C454" s="22" t="inlineStr">
        <is>
          <t>Riel de voltaje interno de 5 V (DC 5V)</t>
        </is>
      </c>
      <c r="D454" s="24" t="inlineStr">
        <is>
          <t>Bloqueante</t>
        </is>
      </c>
      <c r="E454" s="22" t="inlineStr">
        <is>
          <t>Regulador de la fuente fuera de tolerancia</t>
        </is>
      </c>
      <c r="F454" s="20" t="n">
        <v>1</v>
      </c>
      <c r="G454" s="26" t="inlineStr">
        <is>
          <t>7.7.1</t>
        </is>
      </c>
      <c r="H454" s="22" t="inlineStr">
        <is>
          <t>Fusibles traseros de red de CA</t>
        </is>
      </c>
      <c r="I454" s="22" t="inlineStr">
        <is>
          <t>Medir en el punto de prueba; si está fuera de ±0,5 V, reemplazar la fuente</t>
        </is>
      </c>
      <c r="J454" s="20">
        <f>IFERROR(INDEX('APOA-370 (O3)'!$U$9:$U$88,MATCH($B454,'APOA-370 (O3)'!$A$9:$A$88,0)),"")</f>
        <v/>
      </c>
      <c r="K454" s="20">
        <f>IF(OR($J454="No conforme",$J454="Requiere reemplazo"),"SÍ — verificar destino","")</f>
        <v/>
      </c>
    </row>
    <row r="455" ht="36" customHeight="1">
      <c r="A455" s="20" t="inlineStr">
        <is>
          <t>APOA-370 (O3)</t>
        </is>
      </c>
      <c r="B455" s="26" t="inlineStr">
        <is>
          <t>7.1.2</t>
        </is>
      </c>
      <c r="C455" s="22" t="inlineStr">
        <is>
          <t>Riel de voltaje interno de 5 V (DC 5V)</t>
        </is>
      </c>
      <c r="D455" s="24" t="inlineStr">
        <is>
          <t>Bloqueante</t>
        </is>
      </c>
      <c r="E455" s="22" t="inlineStr">
        <is>
          <t>Regulador de la fuente fuera de tolerancia</t>
        </is>
      </c>
      <c r="F455" s="20" t="n">
        <v>2</v>
      </c>
      <c r="G455" s="26" t="inlineStr">
        <is>
          <t>7.2.1</t>
        </is>
      </c>
      <c r="H455" s="22" t="inlineStr">
        <is>
          <t>LED de estado en placa AP-ADC-05</t>
        </is>
      </c>
      <c r="I455" s="22" t="inlineStr">
        <is>
          <t>Medir en el punto de prueba; si está fuera de ±0,5 V, reemplazar la fuente</t>
        </is>
      </c>
      <c r="J455" s="20">
        <f>IFERROR(INDEX('APOA-370 (O3)'!$U$9:$U$88,MATCH($B455,'APOA-370 (O3)'!$A$9:$A$88,0)),"")</f>
        <v/>
      </c>
      <c r="K455" s="20">
        <f>IF(OR($J455="No conforme",$J455="Requiere reemplazo"),"SÍ — verificar destino","")</f>
        <v/>
      </c>
    </row>
    <row r="456" ht="36" customHeight="1">
      <c r="A456" s="20" t="inlineStr">
        <is>
          <t>APOA-370 (O3)</t>
        </is>
      </c>
      <c r="B456" s="26" t="inlineStr">
        <is>
          <t>7.1.3</t>
        </is>
      </c>
      <c r="C456" s="22" t="inlineStr">
        <is>
          <t>Riel de voltaje interno de 3,3 V</t>
        </is>
      </c>
      <c r="D456" s="24" t="inlineStr">
        <is>
          <t>Bloqueante</t>
        </is>
      </c>
      <c r="E456" s="22" t="inlineStr">
        <is>
          <t>Regulador de 3,3 V de la CPU sin salida</t>
        </is>
      </c>
      <c r="F456" s="20" t="n">
        <v>1</v>
      </c>
      <c r="G456" s="26" t="inlineStr">
        <is>
          <t>7.1.2</t>
        </is>
      </c>
      <c r="H456" s="22" t="inlineStr">
        <is>
          <t>Riel de voltaje interno de 5 V (DC 5V)</t>
        </is>
      </c>
      <c r="I456" s="22" t="inlineStr">
        <is>
          <t>Verificar la alimentación de entrada antes de reemplazar la CPU</t>
        </is>
      </c>
      <c r="J456" s="20">
        <f>IFERROR(INDEX('APOA-370 (O3)'!$U$9:$U$88,MATCH($B456,'APOA-370 (O3)'!$A$9:$A$88,0)),"")</f>
        <v/>
      </c>
      <c r="K456" s="20">
        <f>IF(OR($J456="No conforme",$J456="Requiere reemplazo"),"SÍ — verificar destino","")</f>
        <v/>
      </c>
    </row>
    <row r="457" ht="36" customHeight="1">
      <c r="A457" s="20" t="inlineStr">
        <is>
          <t>APOA-370 (O3)</t>
        </is>
      </c>
      <c r="B457" s="26" t="inlineStr">
        <is>
          <t>7.1.3</t>
        </is>
      </c>
      <c r="C457" s="22" t="inlineStr">
        <is>
          <t>Riel de voltaje interno de 3,3 V</t>
        </is>
      </c>
      <c r="D457" s="24" t="inlineStr">
        <is>
          <t>Bloqueante</t>
        </is>
      </c>
      <c r="E457" s="22" t="inlineStr">
        <is>
          <t>Regulador de 3,3 V de la CPU sin salida</t>
        </is>
      </c>
      <c r="F457" s="20" t="n">
        <v>2</v>
      </c>
      <c r="G457" s="26" t="inlineStr">
        <is>
          <t>7.2.2</t>
        </is>
      </c>
      <c r="H457" s="22" t="inlineStr">
        <is>
          <t>LED de estado de CPU (AP-CPU-02)</t>
        </is>
      </c>
      <c r="I457" s="22" t="inlineStr">
        <is>
          <t>Verificar la alimentación de entrada antes de reemplazar la CPU</t>
        </is>
      </c>
      <c r="J457" s="20">
        <f>IFERROR(INDEX('APOA-370 (O3)'!$U$9:$U$88,MATCH($B457,'APOA-370 (O3)'!$A$9:$A$88,0)),"")</f>
        <v/>
      </c>
      <c r="K457" s="20">
        <f>IF(OR($J457="No conforme",$J457="Requiere reemplazo"),"SÍ — verificar destino","")</f>
        <v/>
      </c>
    </row>
    <row r="458" ht="36" customHeight="1">
      <c r="A458" s="20" t="inlineStr">
        <is>
          <t>APOA-370 (O3)</t>
        </is>
      </c>
      <c r="B458" s="26" t="inlineStr">
        <is>
          <t>7.2.1</t>
        </is>
      </c>
      <c r="C458" s="22" t="inlineStr">
        <is>
          <t>LED de estado en placa AP-ADC-05</t>
        </is>
      </c>
      <c r="D458" s="24" t="inlineStr">
        <is>
          <t>Bloqueante</t>
        </is>
      </c>
      <c r="E458" s="22" t="inlineStr">
        <is>
          <t>Falta alguna tensión de alimentación, o el bus de datos está flojo</t>
        </is>
      </c>
      <c r="F458" s="20" t="n">
        <v>1</v>
      </c>
      <c r="G458" s="26" t="inlineStr">
        <is>
          <t>7.1.1</t>
        </is>
      </c>
      <c r="H458" s="22" t="inlineStr">
        <is>
          <t>Riel de voltaje interno de 24 V (DC 24V)</t>
        </is>
      </c>
      <c r="I458" s="22" t="inlineStr">
        <is>
          <t>Seguir la rama de alimentación y del bus antes de reemplazar la tarjeta</t>
        </is>
      </c>
      <c r="J458" s="20">
        <f>IFERROR(INDEX('APOA-370 (O3)'!$U$9:$U$88,MATCH($B458,'APOA-370 (O3)'!$A$9:$A$88,0)),"")</f>
        <v/>
      </c>
      <c r="K458" s="20">
        <f>IF(OR($J458="No conforme",$J458="Requiere reemplazo"),"SÍ — verificar destino","")</f>
        <v/>
      </c>
    </row>
    <row r="459" ht="36" customHeight="1">
      <c r="A459" s="20" t="inlineStr">
        <is>
          <t>APOA-370 (O3)</t>
        </is>
      </c>
      <c r="B459" s="26" t="inlineStr">
        <is>
          <t>7.2.1</t>
        </is>
      </c>
      <c r="C459" s="22" t="inlineStr">
        <is>
          <t>LED de estado en placa AP-ADC-05</t>
        </is>
      </c>
      <c r="D459" s="24" t="inlineStr">
        <is>
          <t>Bloqueante</t>
        </is>
      </c>
      <c r="E459" s="22" t="inlineStr">
        <is>
          <t>Falta alguna tensión de alimentación, o el bus de datos está flojo</t>
        </is>
      </c>
      <c r="F459" s="20" t="n">
        <v>2</v>
      </c>
      <c r="G459" s="26" t="inlineStr">
        <is>
          <t>7.1.2</t>
        </is>
      </c>
      <c r="H459" s="22" t="inlineStr">
        <is>
          <t>Riel de voltaje interno de 5 V (DC 5V)</t>
        </is>
      </c>
      <c r="I459" s="22" t="inlineStr">
        <is>
          <t>Seguir la rama de alimentación y del bus antes de reemplazar la tarjeta</t>
        </is>
      </c>
      <c r="J459" s="20">
        <f>IFERROR(INDEX('APOA-370 (O3)'!$U$9:$U$88,MATCH($B459,'APOA-370 (O3)'!$A$9:$A$88,0)),"")</f>
        <v/>
      </c>
      <c r="K459" s="20">
        <f>IF(OR($J459="No conforme",$J459="Requiere reemplazo"),"SÍ — verificar destino","")</f>
        <v/>
      </c>
    </row>
    <row r="460" ht="36" customHeight="1">
      <c r="A460" s="20" t="inlineStr">
        <is>
          <t>APOA-370 (O3)</t>
        </is>
      </c>
      <c r="B460" s="26" t="inlineStr">
        <is>
          <t>7.2.1</t>
        </is>
      </c>
      <c r="C460" s="22" t="inlineStr">
        <is>
          <t>LED de estado en placa AP-ADC-05</t>
        </is>
      </c>
      <c r="D460" s="24" t="inlineStr">
        <is>
          <t>Bloqueante</t>
        </is>
      </c>
      <c r="E460" s="22" t="inlineStr">
        <is>
          <t>Falta alguna tensión de alimentación, o el bus de datos está flojo</t>
        </is>
      </c>
      <c r="F460" s="20" t="n">
        <v>3</v>
      </c>
      <c r="G460" s="26" t="inlineStr">
        <is>
          <t>7.2.2</t>
        </is>
      </c>
      <c r="H460" s="22" t="inlineStr">
        <is>
          <t>LED de estado de CPU (AP-CPU-02)</t>
        </is>
      </c>
      <c r="I460" s="22" t="inlineStr">
        <is>
          <t>Seguir la rama de alimentación y del bus antes de reemplazar la tarjeta</t>
        </is>
      </c>
      <c r="J460" s="20">
        <f>IFERROR(INDEX('APOA-370 (O3)'!$U$9:$U$88,MATCH($B460,'APOA-370 (O3)'!$A$9:$A$88,0)),"")</f>
        <v/>
      </c>
      <c r="K460" s="20">
        <f>IF(OR($J460="No conforme",$J460="Requiere reemplazo"),"SÍ — verificar destino","")</f>
        <v/>
      </c>
    </row>
    <row r="461" ht="36" customHeight="1">
      <c r="A461" s="20" t="inlineStr">
        <is>
          <t>APOA-370 (O3)</t>
        </is>
      </c>
      <c r="B461" s="26" t="inlineStr">
        <is>
          <t>7.2.2</t>
        </is>
      </c>
      <c r="C461" s="22" t="inlineStr">
        <is>
          <t>LED de estado de CPU (AP-CPU-02)</t>
        </is>
      </c>
      <c r="D461" s="24" t="inlineStr">
        <is>
          <t>Bloqueante</t>
        </is>
      </c>
      <c r="E461" s="22" t="inlineStr">
        <is>
          <t>Firmware congelado, o CPU sin inicializar tras una sustitución</t>
        </is>
      </c>
      <c r="F461" s="20" t="n">
        <v>1</v>
      </c>
      <c r="G461" s="26" t="inlineStr">
        <is>
          <t>7.6.2</t>
        </is>
      </c>
      <c r="H461" s="22" t="inlineStr">
        <is>
          <t>DIP switch SW1 de inicialización de CPU</t>
        </is>
      </c>
      <c r="I461" s="22" t="inlineStr">
        <is>
          <t>Verificar SW1 en NORM; si sigue sin destellar, inicializar la CPU y ejecutar el memory scan</t>
        </is>
      </c>
      <c r="J461" s="20">
        <f>IFERROR(INDEX('APOA-370 (O3)'!$U$9:$U$88,MATCH($B461,'APOA-370 (O3)'!$A$9:$A$88,0)),"")</f>
        <v/>
      </c>
      <c r="K461" s="20">
        <f>IF(OR($J461="No conforme",$J461="Requiere reemplazo"),"SÍ — verificar destino","")</f>
        <v/>
      </c>
    </row>
    <row r="462" ht="36" customHeight="1">
      <c r="A462" s="20" t="inlineStr">
        <is>
          <t>APOA-370 (O3)</t>
        </is>
      </c>
      <c r="B462" s="26" t="inlineStr">
        <is>
          <t>7.2.2</t>
        </is>
      </c>
      <c r="C462" s="22" t="inlineStr">
        <is>
          <t>LED de estado de CPU (AP-CPU-02)</t>
        </is>
      </c>
      <c r="D462" s="24" t="inlineStr">
        <is>
          <t>Bloqueante</t>
        </is>
      </c>
      <c r="E462" s="22" t="inlineStr">
        <is>
          <t>Firmware congelado, o CPU sin inicializar tras una sustitución</t>
        </is>
      </c>
      <c r="F462" s="20" t="n">
        <v>2</v>
      </c>
      <c r="G462" s="26" t="inlineStr">
        <is>
          <t>7.6.1</t>
        </is>
      </c>
      <c r="H462" s="22" t="inlineStr">
        <is>
          <t>DIP switch SW5 en placa AP-CPU-01/02</t>
        </is>
      </c>
      <c r="I462" s="22" t="inlineStr">
        <is>
          <t>Verificar SW1 en NORM; si sigue sin destellar, inicializar la CPU y ejecutar el memory scan</t>
        </is>
      </c>
      <c r="J462" s="20">
        <f>IFERROR(INDEX('APOA-370 (O3)'!$U$9:$U$88,MATCH($B462,'APOA-370 (O3)'!$A$9:$A$88,0)),"")</f>
        <v/>
      </c>
      <c r="K462" s="20">
        <f>IF(OR($J462="No conforme",$J462="Requiere reemplazo"),"SÍ — verificar destino","")</f>
        <v/>
      </c>
    </row>
    <row r="463" ht="36" customHeight="1">
      <c r="A463" s="20" t="inlineStr">
        <is>
          <t>APOA-370 (O3)</t>
        </is>
      </c>
      <c r="B463" s="26" t="inlineStr">
        <is>
          <t>7.2.2</t>
        </is>
      </c>
      <c r="C463" s="22" t="inlineStr">
        <is>
          <t>LED de estado de CPU (AP-CPU-02)</t>
        </is>
      </c>
      <c r="D463" s="24" t="inlineStr">
        <is>
          <t>Bloqueante</t>
        </is>
      </c>
      <c r="E463" s="22" t="inlineStr">
        <is>
          <t>Firmware congelado, o CPU sin inicializar tras una sustitución</t>
        </is>
      </c>
      <c r="F463" s="20" t="n">
        <v>3</v>
      </c>
      <c r="G463" s="26" t="inlineStr">
        <is>
          <t>7.4.1</t>
        </is>
      </c>
      <c r="H463" s="22" t="inlineStr">
        <is>
          <t>Batería de reloj en placa CPU (CR2032)</t>
        </is>
      </c>
      <c r="I463" s="22" t="inlineStr">
        <is>
          <t>Verificar SW1 en NORM; si sigue sin destellar, inicializar la CPU y ejecutar el memory scan</t>
        </is>
      </c>
      <c r="J463" s="20">
        <f>IFERROR(INDEX('APOA-370 (O3)'!$U$9:$U$88,MATCH($B463,'APOA-370 (O3)'!$A$9:$A$88,0)),"")</f>
        <v/>
      </c>
      <c r="K463" s="20">
        <f>IF(OR($J463="No conforme",$J463="Requiere reemplazo"),"SÍ — verificar destino","")</f>
        <v/>
      </c>
    </row>
    <row r="464" ht="36" customHeight="1">
      <c r="A464" s="20" t="inlineStr">
        <is>
          <t>APOA-370 (O3)</t>
        </is>
      </c>
      <c r="B464" s="26" t="inlineStr">
        <is>
          <t>7.2.3</t>
        </is>
      </c>
      <c r="C464" s="22" t="inlineStr">
        <is>
          <t>LED de comunicación en tarjeta AP-RPL-02A</t>
        </is>
      </c>
      <c r="D464" s="24" t="inlineStr">
        <is>
          <t>Bloqueante</t>
        </is>
      </c>
      <c r="E464" s="22" t="inlineStr">
        <is>
          <t>Cinta plana I2C floja, o microprocesador H8 bloqueado</t>
        </is>
      </c>
      <c r="F464" s="20" t="n">
        <v>1</v>
      </c>
      <c r="G464" s="26" t="inlineStr">
        <is>
          <t>7.2.2</t>
        </is>
      </c>
      <c r="H464" s="22" t="inlineStr">
        <is>
          <t>LED de estado de CPU (AP-CPU-02)</t>
        </is>
      </c>
      <c r="I464" s="22" t="inlineStr">
        <is>
          <t>Reasentar la cinta I2C; si ST1 sigue fijo, reemplazar la tarjeta AP-RPL-02A</t>
        </is>
      </c>
      <c r="J464" s="20">
        <f>IFERROR(INDEX('APOA-370 (O3)'!$U$9:$U$88,MATCH($B464,'APOA-370 (O3)'!$A$9:$A$88,0)),"")</f>
        <v/>
      </c>
      <c r="K464" s="20">
        <f>IF(OR($J464="No conforme",$J464="Requiere reemplazo"),"SÍ — verificar destino","")</f>
        <v/>
      </c>
    </row>
    <row r="465" ht="36" customHeight="1">
      <c r="A465" s="20" t="inlineStr">
        <is>
          <t>APOA-370 (O3)</t>
        </is>
      </c>
      <c r="B465" s="26" t="inlineStr">
        <is>
          <t>7.2.3</t>
        </is>
      </c>
      <c r="C465" s="22" t="inlineStr">
        <is>
          <t>LED de comunicación en tarjeta AP-RPL-02A</t>
        </is>
      </c>
      <c r="D465" s="24" t="inlineStr">
        <is>
          <t>Bloqueante</t>
        </is>
      </c>
      <c r="E465" s="22" t="inlineStr">
        <is>
          <t>Cinta plana I2C floja, o microprocesador H8 bloqueado</t>
        </is>
      </c>
      <c r="F465" s="20" t="n">
        <v>2</v>
      </c>
      <c r="G465" s="26" t="inlineStr">
        <is>
          <t>9.4.1</t>
        </is>
      </c>
      <c r="H465" s="22" t="inlineStr">
        <is>
          <t>Integridad de cables planos de transductores</t>
        </is>
      </c>
      <c r="I465" s="22" t="inlineStr">
        <is>
          <t>Reasentar la cinta I2C; si ST1 sigue fijo, reemplazar la tarjeta AP-RPL-02A</t>
        </is>
      </c>
      <c r="J465" s="20">
        <f>IFERROR(INDEX('APOA-370 (O3)'!$U$9:$U$88,MATCH($B465,'APOA-370 (O3)'!$A$9:$A$88,0)),"")</f>
        <v/>
      </c>
      <c r="K465" s="20">
        <f>IF(OR($J465="No conforme",$J465="Requiere reemplazo"),"SÍ — verificar destino","")</f>
        <v/>
      </c>
    </row>
    <row r="466" ht="36" customHeight="1">
      <c r="A466" s="20" t="inlineStr">
        <is>
          <t>APOA-370 (O3)</t>
        </is>
      </c>
      <c r="B466" s="26" t="inlineStr">
        <is>
          <t>7.3.1</t>
        </is>
      </c>
      <c r="C466" s="22" t="inlineStr">
        <is>
          <t>Respuesta al toque del panel táctil</t>
        </is>
      </c>
      <c r="D466" s="25" t="inlineStr">
        <is>
          <t>Cobrable</t>
        </is>
      </c>
      <c r="E466" s="22" t="inlineStr">
        <is>
          <t>Delaminación del panel por humedad, o desgaste por objetos punzantes</t>
        </is>
      </c>
      <c r="F466" s="20" t="n">
        <v>1</v>
      </c>
      <c r="G466" s="26" t="inlineStr">
        <is>
          <t>10.3.2</t>
        </is>
      </c>
      <c r="H466" s="22" t="inlineStr">
        <is>
          <t>Humedad relativa en la cabina de monitoreo</t>
        </is>
      </c>
      <c r="I466" s="22" t="inlineStr">
        <is>
          <t>Recalibrar el panel; si no responde, reemplazarlo y controlar la humedad de la cabina</t>
        </is>
      </c>
      <c r="J466" s="20">
        <f>IFERROR(INDEX('APOA-370 (O3)'!$U$9:$U$88,MATCH($B466,'APOA-370 (O3)'!$A$9:$A$88,0)),"")</f>
        <v/>
      </c>
      <c r="K466" s="20">
        <f>IF(OR($J466="No conforme",$J466="Requiere reemplazo"),"SÍ — verificar destino","")</f>
        <v/>
      </c>
    </row>
    <row r="467" ht="36" customHeight="1">
      <c r="A467" s="20" t="inlineStr">
        <is>
          <t>APOA-370 (O3)</t>
        </is>
      </c>
      <c r="B467" s="26" t="inlineStr">
        <is>
          <t>7.3.1</t>
        </is>
      </c>
      <c r="C467" s="22" t="inlineStr">
        <is>
          <t>Respuesta al toque del panel táctil</t>
        </is>
      </c>
      <c r="D467" s="25" t="inlineStr">
        <is>
          <t>Cobrable</t>
        </is>
      </c>
      <c r="E467" s="22" t="inlineStr">
        <is>
          <t>Delaminación del panel por humedad, o desgaste por objetos punzantes</t>
        </is>
      </c>
      <c r="F467" s="20" t="n">
        <v>2</v>
      </c>
      <c r="G467" s="26" t="inlineStr">
        <is>
          <t>1.1.2</t>
        </is>
      </c>
      <c r="H467" s="22" t="inlineStr">
        <is>
          <t>Inicialización del visualizador táctil</t>
        </is>
      </c>
      <c r="I467" s="22" t="inlineStr">
        <is>
          <t>Recalibrar el panel; si no responde, reemplazarlo y controlar la humedad de la cabina</t>
        </is>
      </c>
      <c r="J467" s="20">
        <f>IFERROR(INDEX('APOA-370 (O3)'!$U$9:$U$88,MATCH($B467,'APOA-370 (O3)'!$A$9:$A$88,0)),"")</f>
        <v/>
      </c>
      <c r="K467" s="20">
        <f>IF(OR($J467="No conforme",$J467="Requiere reemplazo"),"SÍ — verificar destino","")</f>
        <v/>
      </c>
    </row>
    <row r="468" ht="36" customHeight="1">
      <c r="A468" s="20" t="inlineStr">
        <is>
          <t>APOA-370 (O3)</t>
        </is>
      </c>
      <c r="B468" s="26" t="inlineStr">
        <is>
          <t>7.4.1</t>
        </is>
      </c>
      <c r="C468" s="22" t="inlineStr">
        <is>
          <t>Batería de reloj en placa CPU (CR2032)</t>
        </is>
      </c>
      <c r="D468" s="25" t="inlineStr">
        <is>
          <t>Cobrable</t>
        </is>
      </c>
      <c r="E468" s="22" t="inlineStr">
        <is>
          <t>Pila al final de su vida útil (unos 3 años de servicio)</t>
        </is>
      </c>
      <c r="F468" s="20" t="n">
        <v>1</v>
      </c>
      <c r="G468" s="26" t="inlineStr">
        <is>
          <t>8.1.3</t>
        </is>
      </c>
      <c r="H468" s="22" t="inlineStr">
        <is>
          <t>Vida útil de la batería de litio (CR2032)</t>
        </is>
      </c>
      <c r="I468" s="22" t="inlineStr">
        <is>
          <t>Reemplazar la CR2032 y reprogramar fecha, hora y secuencia de calibración</t>
        </is>
      </c>
      <c r="J468" s="20">
        <f>IFERROR(INDEX('APOA-370 (O3)'!$U$9:$U$88,MATCH($B468,'APOA-370 (O3)'!$A$9:$A$88,0)),"")</f>
        <v/>
      </c>
      <c r="K468" s="20">
        <f>IF(OR($J468="No conforme",$J468="Requiere reemplazo"),"SÍ — verificar destino","")</f>
        <v/>
      </c>
    </row>
    <row r="469" ht="36" customHeight="1">
      <c r="A469" s="20" t="inlineStr">
        <is>
          <t>APOA-370 (O3)</t>
        </is>
      </c>
      <c r="B469" s="26" t="inlineStr">
        <is>
          <t>7.5.1</t>
        </is>
      </c>
      <c r="C469" s="22" t="inlineStr">
        <is>
          <t>Inserción de la tarjeta CompactFlash (CF)</t>
        </is>
      </c>
      <c r="D469" s="23" t="inlineStr">
        <is>
          <t>Alerta</t>
        </is>
      </c>
      <c r="E469" s="22" t="inlineStr">
        <is>
          <t>Tarjeta ausente, sin espacio, o no homologada por el fabricante</t>
        </is>
      </c>
      <c r="F469" s="20" t="n">
        <v>1</v>
      </c>
      <c r="G469" s="26" t="inlineStr">
        <is>
          <t>7.2.2</t>
        </is>
      </c>
      <c r="H469" s="22" t="inlineStr">
        <is>
          <t>LED de estado de CPU (AP-CPU-02)</t>
        </is>
      </c>
      <c r="I469" s="22" t="inlineStr">
        <is>
          <t>Insertar una CF homologada con espacio libre; sin ella no se guardan promedios ni calibraciones</t>
        </is>
      </c>
      <c r="J469" s="20">
        <f>IFERROR(INDEX('APOA-370 (O3)'!$U$9:$U$88,MATCH($B469,'APOA-370 (O3)'!$A$9:$A$88,0)),"")</f>
        <v/>
      </c>
      <c r="K469" s="20">
        <f>IF(OR($J469="No conforme",$J469="Requiere reemplazo"),"SÍ — verificar destino","")</f>
        <v/>
      </c>
    </row>
    <row r="470" ht="36" customHeight="1">
      <c r="A470" s="20" t="inlineStr">
        <is>
          <t>APOA-370 (O3)</t>
        </is>
      </c>
      <c r="B470" s="26" t="inlineStr">
        <is>
          <t>7.5.2</t>
        </is>
      </c>
      <c r="C470" s="22" t="inlineStr">
        <is>
          <t>Puerto RS-232C de mantenimiento frontal</t>
        </is>
      </c>
      <c r="D470" s="23" t="inlineStr">
        <is>
          <t>Alerta</t>
        </is>
      </c>
      <c r="E470" s="22" t="inlineStr">
        <is>
          <t>Cable recto en lugar de cruzado, o baudios mal configurados</t>
        </is>
      </c>
      <c r="F470" s="20" t="n">
        <v>1</v>
      </c>
      <c r="G470" s="26" t="inlineStr">
        <is>
          <t>7.6.1</t>
        </is>
      </c>
      <c r="H470" s="22" t="inlineStr">
        <is>
          <t>DIP switch SW5 en placa AP-CPU-01/02</t>
        </is>
      </c>
      <c r="I470" s="22" t="inlineStr">
        <is>
          <t>Usar cable cruzado de 9 pines y verificar el enlace a 19200 bps</t>
        </is>
      </c>
      <c r="J470" s="20">
        <f>IFERROR(INDEX('APOA-370 (O3)'!$U$9:$U$88,MATCH($B470,'APOA-370 (O3)'!$A$9:$A$88,0)),"")</f>
        <v/>
      </c>
      <c r="K470" s="20">
        <f>IF(OR($J470="No conforme",$J470="Requiere reemplazo"),"SÍ — verificar destino","")</f>
        <v/>
      </c>
    </row>
    <row r="471" ht="36" customHeight="1">
      <c r="A471" s="20" t="inlineStr">
        <is>
          <t>APOA-370 (O3)</t>
        </is>
      </c>
      <c r="B471" s="26" t="inlineStr">
        <is>
          <t>7.5.3</t>
        </is>
      </c>
      <c r="C471" s="22" t="inlineStr">
        <is>
          <t>Puerto RJ-45 Ethernet trasero</t>
        </is>
      </c>
      <c r="D471" s="23" t="inlineStr">
        <is>
          <t>Alerta</t>
        </is>
      </c>
      <c r="E471" s="22" t="inlineStr">
        <is>
          <t>Conector sucio, clip roto, o enlace de red caído</t>
        </is>
      </c>
      <c r="F471" s="20" t="n">
        <v>1</v>
      </c>
      <c r="G471" s="26" t="inlineStr">
        <is>
          <t>7.5.2</t>
        </is>
      </c>
      <c r="H471" s="22" t="inlineStr">
        <is>
          <t>Puerto RS-232C de mantenimiento frontal</t>
        </is>
      </c>
      <c r="I471" s="22" t="inlineStr">
        <is>
          <t>Revisar el patch cord y el puerto del switch de la estación</t>
        </is>
      </c>
      <c r="J471" s="20">
        <f>IFERROR(INDEX('APOA-370 (O3)'!$U$9:$U$88,MATCH($B471,'APOA-370 (O3)'!$A$9:$A$88,0)),"")</f>
        <v/>
      </c>
      <c r="K471" s="20">
        <f>IF(OR($J471="No conforme",$J471="Requiere reemplazo"),"SÍ — verificar destino","")</f>
        <v/>
      </c>
    </row>
    <row r="472" ht="36" customHeight="1">
      <c r="A472" s="20" t="inlineStr">
        <is>
          <t>APOA-370 (O3)</t>
        </is>
      </c>
      <c r="B472" s="26" t="inlineStr">
        <is>
          <t>7.6.1</t>
        </is>
      </c>
      <c r="C472" s="22" t="inlineStr">
        <is>
          <t>DIP switch SW5 en placa AP-CPU-01/02</t>
        </is>
      </c>
      <c r="D472" s="23" t="inlineStr">
        <is>
          <t>Alerta</t>
        </is>
      </c>
      <c r="E472" s="22" t="inlineStr">
        <is>
          <t>Configuración de comunicaciones alterada tras una intervención</t>
        </is>
      </c>
      <c r="F472" s="20" t="n">
        <v>1</v>
      </c>
      <c r="G472" s="26" t="inlineStr">
        <is>
          <t>7.2.2</t>
        </is>
      </c>
      <c r="H472" s="22" t="inlineStr">
        <is>
          <t>LED de estado de CPU (AP-CPU-02)</t>
        </is>
      </c>
      <c r="I472" s="22" t="inlineStr">
        <is>
          <t>Restituir la configuración documentada de SW5 y reiniciar el equipo</t>
        </is>
      </c>
      <c r="J472" s="20">
        <f>IFERROR(INDEX('APOA-370 (O3)'!$U$9:$U$88,MATCH($B472,'APOA-370 (O3)'!$A$9:$A$88,0)),"")</f>
        <v/>
      </c>
      <c r="K472" s="20">
        <f>IF(OR($J472="No conforme",$J472="Requiere reemplazo"),"SÍ — verificar destino","")</f>
        <v/>
      </c>
    </row>
    <row r="473" ht="36" customHeight="1">
      <c r="A473" s="20" t="inlineStr">
        <is>
          <t>APOA-370 (O3)</t>
        </is>
      </c>
      <c r="B473" s="26" t="inlineStr">
        <is>
          <t>7.6.1</t>
        </is>
      </c>
      <c r="C473" s="22" t="inlineStr">
        <is>
          <t>DIP switch SW5 en placa AP-CPU-01/02</t>
        </is>
      </c>
      <c r="D473" s="23" t="inlineStr">
        <is>
          <t>Alerta</t>
        </is>
      </c>
      <c r="E473" s="22" t="inlineStr">
        <is>
          <t>Configuración de comunicaciones alterada tras una intervención</t>
        </is>
      </c>
      <c r="F473" s="20" t="n">
        <v>2</v>
      </c>
      <c r="G473" s="26" t="inlineStr">
        <is>
          <t>7.5.2</t>
        </is>
      </c>
      <c r="H473" s="22" t="inlineStr">
        <is>
          <t>Puerto RS-232C de mantenimiento frontal</t>
        </is>
      </c>
      <c r="I473" s="22" t="inlineStr">
        <is>
          <t>Restituir la configuración documentada de SW5 y reiniciar el equipo</t>
        </is>
      </c>
      <c r="J473" s="20">
        <f>IFERROR(INDEX('APOA-370 (O3)'!$U$9:$U$88,MATCH($B473,'APOA-370 (O3)'!$A$9:$A$88,0)),"")</f>
        <v/>
      </c>
      <c r="K473" s="20">
        <f>IF(OR($J473="No conforme",$J473="Requiere reemplazo"),"SÍ — verificar destino","")</f>
        <v/>
      </c>
    </row>
    <row r="474" ht="24" customHeight="1">
      <c r="A474" s="20" t="inlineStr">
        <is>
          <t>APOA-370 (O3)</t>
        </is>
      </c>
      <c r="B474" s="26" t="inlineStr">
        <is>
          <t>7.6.2</t>
        </is>
      </c>
      <c r="C474" s="22" t="inlineStr">
        <is>
          <t>DIP switch SW1 de inicialización de CPU</t>
        </is>
      </c>
      <c r="D474" s="23" t="inlineStr">
        <is>
          <t>Alerta</t>
        </is>
      </c>
      <c r="E474" s="22" t="inlineStr">
        <is>
          <t>Switch dejado en INIT tras una intervención de servicio</t>
        </is>
      </c>
      <c r="F474" s="20" t="n">
        <v>1</v>
      </c>
      <c r="G474" s="26" t="inlineStr">
        <is>
          <t>7.2.2</t>
        </is>
      </c>
      <c r="H474" s="22" t="inlineStr">
        <is>
          <t>LED de estado de CPU (AP-CPU-02)</t>
        </is>
      </c>
      <c r="I474" s="22" t="inlineStr">
        <is>
          <t>Devolver SW1 a NORM y reiniciar el equipo</t>
        </is>
      </c>
      <c r="J474" s="20">
        <f>IFERROR(INDEX('APOA-370 (O3)'!$U$9:$U$88,MATCH($B474,'APOA-370 (O3)'!$A$9:$A$88,0)),"")</f>
        <v/>
      </c>
      <c r="K474" s="20">
        <f>IF(OR($J474="No conforme",$J474="Requiere reemplazo"),"SÍ — verificar destino","")</f>
        <v/>
      </c>
    </row>
    <row r="475" ht="48" customHeight="1">
      <c r="A475" s="20" t="inlineStr">
        <is>
          <t>APOA-370 (O3)</t>
        </is>
      </c>
      <c r="B475" s="26" t="inlineStr">
        <is>
          <t>7.7.1</t>
        </is>
      </c>
      <c r="C475" s="22" t="inlineStr">
        <is>
          <t>Fusibles traseros de red de CA</t>
        </is>
      </c>
      <c r="D475" s="24" t="inlineStr">
        <is>
          <t>Bloqueante</t>
        </is>
      </c>
      <c r="E475" s="22" t="inlineStr">
        <is>
          <t>Fusible abierto por sobrecorriente o por falla de la fuente</t>
        </is>
      </c>
      <c r="F475" s="20" t="n">
        <v>1</v>
      </c>
      <c r="G475" s="26" t="inlineStr">
        <is>
          <t>7.1.1</t>
        </is>
      </c>
      <c r="H475" s="22" t="inlineStr">
        <is>
          <t>Riel de voltaje interno de 24 V (DC 24V)</t>
        </is>
      </c>
      <c r="I475" s="22" t="inlineStr">
        <is>
          <t>Reponer el fusible del tipo y amperaje correctos; si vuelve a abrir, buscar el cortocircuito antes de insistir</t>
        </is>
      </c>
      <c r="J475" s="20">
        <f>IFERROR(INDEX('APOA-370 (O3)'!$U$9:$U$88,MATCH($B475,'APOA-370 (O3)'!$A$9:$A$88,0)),"")</f>
        <v/>
      </c>
      <c r="K475" s="20">
        <f>IF(OR($J475="No conforme",$J475="Requiere reemplazo"),"SÍ — verificar destino","")</f>
        <v/>
      </c>
    </row>
    <row r="476" ht="48" customHeight="1">
      <c r="A476" s="20" t="inlineStr">
        <is>
          <t>APOA-370 (O3)</t>
        </is>
      </c>
      <c r="B476" s="26" t="inlineStr">
        <is>
          <t>7.7.1</t>
        </is>
      </c>
      <c r="C476" s="22" t="inlineStr">
        <is>
          <t>Fusibles traseros de red de CA</t>
        </is>
      </c>
      <c r="D476" s="24" t="inlineStr">
        <is>
          <t>Bloqueante</t>
        </is>
      </c>
      <c r="E476" s="22" t="inlineStr">
        <is>
          <t>Fusible abierto por sobrecorriente o por falla de la fuente</t>
        </is>
      </c>
      <c r="F476" s="20" t="n">
        <v>2</v>
      </c>
      <c r="G476" s="26" t="inlineStr">
        <is>
          <t>7.1.2</t>
        </is>
      </c>
      <c r="H476" s="22" t="inlineStr">
        <is>
          <t>Riel de voltaje interno de 5 V (DC 5V)</t>
        </is>
      </c>
      <c r="I476" s="22" t="inlineStr">
        <is>
          <t>Reponer el fusible del tipo y amperaje correctos; si vuelve a abrir, buscar el cortocircuito antes de insistir</t>
        </is>
      </c>
      <c r="J476" s="20">
        <f>IFERROR(INDEX('APOA-370 (O3)'!$U$9:$U$88,MATCH($B476,'APOA-370 (O3)'!$A$9:$A$88,0)),"")</f>
        <v/>
      </c>
      <c r="K476" s="20">
        <f>IF(OR($J476="No conforme",$J476="Requiere reemplazo"),"SÍ — verificar destino","")</f>
        <v/>
      </c>
    </row>
    <row r="477" ht="36" customHeight="1">
      <c r="A477" s="20" t="inlineStr">
        <is>
          <t>APOA-370 (O3)</t>
        </is>
      </c>
      <c r="B477" s="26" t="inlineStr">
        <is>
          <t>8.1.1</t>
        </is>
      </c>
      <c r="C477" s="22" t="inlineStr">
        <is>
          <t>Reemplazo del elemento filtrante PA-10L</t>
        </is>
      </c>
      <c r="D477" s="25" t="inlineStr">
        <is>
          <t>Cobrable</t>
        </is>
      </c>
      <c r="E477" s="22" t="inlineStr">
        <is>
          <t>Más de dos semanas desde el último cambio</t>
        </is>
      </c>
      <c r="F477" s="20" t="n">
        <v>1</v>
      </c>
      <c r="G477" s="26" t="inlineStr">
        <is>
          <t>4.1.1</t>
        </is>
      </c>
      <c r="H477" s="22" t="inlineStr">
        <is>
          <t>Filtro de partículas de teflón (PA-10L)</t>
        </is>
      </c>
      <c r="I477" s="22" t="inlineStr">
        <is>
          <t>Reemplazar el elemento y registrar la fecha en el portafiltros</t>
        </is>
      </c>
      <c r="J477" s="20">
        <f>IFERROR(INDEX('APOA-370 (O3)'!$U$9:$U$88,MATCH($B477,'APOA-370 (O3)'!$A$9:$A$88,0)),"")</f>
        <v/>
      </c>
      <c r="K477" s="20">
        <f>IF(OR($J477="No conforme",$J477="Requiere reemplazo"),"SÍ — verificar destino","")</f>
        <v/>
      </c>
    </row>
    <row r="478" ht="24" customHeight="1">
      <c r="A478" s="20" t="inlineStr">
        <is>
          <t>APOA-370 (O3)</t>
        </is>
      </c>
      <c r="B478" s="26" t="inlineStr">
        <is>
          <t>8.1.2</t>
        </is>
      </c>
      <c r="C478" s="22" t="inlineStr">
        <is>
          <t>Reemplazo de la junta tórica O-Ring G50</t>
        </is>
      </c>
      <c r="D478" s="25" t="inlineStr">
        <is>
          <t>Cobrable</t>
        </is>
      </c>
      <c r="E478" s="22" t="inlineStr">
        <is>
          <t>Más de un año desde el último cambio</t>
        </is>
      </c>
      <c r="F478" s="20" t="n">
        <v>1</v>
      </c>
      <c r="G478" s="26" t="inlineStr">
        <is>
          <t>4.1.2</t>
        </is>
      </c>
      <c r="H478" s="22" t="inlineStr">
        <is>
          <t>Junta tórica del portafiltros (O-Ring G50)</t>
        </is>
      </c>
      <c r="I478" s="22" t="inlineStr">
        <is>
          <t>Reemplazar la junta tórica y registrar la fecha</t>
        </is>
      </c>
      <c r="J478" s="20">
        <f>IFERROR(INDEX('APOA-370 (O3)'!$U$9:$U$88,MATCH($B478,'APOA-370 (O3)'!$A$9:$A$88,0)),"")</f>
        <v/>
      </c>
      <c r="K478" s="20">
        <f>IF(OR($J478="No conforme",$J478="Requiere reemplazo"),"SÍ — verificar destino","")</f>
        <v/>
      </c>
    </row>
    <row r="479" ht="24" customHeight="1">
      <c r="A479" s="20" t="inlineStr">
        <is>
          <t>APOA-370 (O3)</t>
        </is>
      </c>
      <c r="B479" s="26" t="inlineStr">
        <is>
          <t>8.1.3</t>
        </is>
      </c>
      <c r="C479" s="22" t="inlineStr">
        <is>
          <t>Vida útil de la batería de litio (CR2032)</t>
        </is>
      </c>
      <c r="D479" s="25" t="inlineStr">
        <is>
          <t>Cobrable</t>
        </is>
      </c>
      <c r="E479" s="22" t="inlineStr">
        <is>
          <t>Más de tres años desde la instalación</t>
        </is>
      </c>
      <c r="F479" s="20" t="n">
        <v>1</v>
      </c>
      <c r="G479" s="26" t="inlineStr">
        <is>
          <t>7.4.1</t>
        </is>
      </c>
      <c r="H479" s="22" t="inlineStr">
        <is>
          <t>Batería de reloj en placa CPU (CR2032)</t>
        </is>
      </c>
      <c r="I479" s="22" t="inlineStr">
        <is>
          <t>Reemplazar la batería y registrar la fecha</t>
        </is>
      </c>
      <c r="J479" s="20">
        <f>IFERROR(INDEX('APOA-370 (O3)'!$U$9:$U$88,MATCH($B479,'APOA-370 (O3)'!$A$9:$A$88,0)),"")</f>
        <v/>
      </c>
      <c r="K479" s="20">
        <f>IF(OR($J479="No conforme",$J479="Requiere reemplazo"),"SÍ — verificar destino","")</f>
        <v/>
      </c>
    </row>
    <row r="480" ht="24" customHeight="1">
      <c r="A480" s="20" t="inlineStr">
        <is>
          <t>APOA-370 (O3)</t>
        </is>
      </c>
      <c r="B480" s="26" t="inlineStr">
        <is>
          <t>8.2.1</t>
        </is>
      </c>
      <c r="C480" s="22" t="inlineStr">
        <is>
          <t>Horómetro del diafragma de bomba (P-1-D)</t>
        </is>
      </c>
      <c r="D480" s="25" t="inlineStr">
        <is>
          <t>Cobrable</t>
        </is>
      </c>
      <c r="E480" s="22" t="inlineStr">
        <is>
          <t>Horómetro por encima del intervalo de dos años</t>
        </is>
      </c>
      <c r="F480" s="20" t="n">
        <v>1</v>
      </c>
      <c r="G480" s="26" t="inlineStr">
        <is>
          <t>5.1.1</t>
        </is>
      </c>
      <c r="H480" s="22" t="inlineStr">
        <is>
          <t>Diafragma de la bomba (P-1-D)</t>
        </is>
      </c>
      <c r="I480" s="22" t="inlineStr">
        <is>
          <t>Reemplazar los diafragmas y reiniciar el contador</t>
        </is>
      </c>
      <c r="J480" s="20">
        <f>IFERROR(INDEX('APOA-370 (O3)'!$U$9:$U$88,MATCH($B480,'APOA-370 (O3)'!$A$9:$A$88,0)),"")</f>
        <v/>
      </c>
      <c r="K480" s="20">
        <f>IF(OR($J480="No conforme",$J480="Requiere reemplazo"),"SÍ — verificar destino","")</f>
        <v/>
      </c>
    </row>
    <row r="481" ht="24" customHeight="1">
      <c r="A481" s="20" t="inlineStr">
        <is>
          <t>APOA-370 (O3)</t>
        </is>
      </c>
      <c r="B481" s="26" t="inlineStr">
        <is>
          <t>8.2.2</t>
        </is>
      </c>
      <c r="C481" s="22" t="inlineStr">
        <is>
          <t>Horómetro del catalizador deozonizador (DO-1)</t>
        </is>
      </c>
      <c r="D481" s="25" t="inlineStr">
        <is>
          <t>Cobrable</t>
        </is>
      </c>
      <c r="E481" s="22" t="inlineStr">
        <is>
          <t>Horómetro por encima del intervalo de dos años</t>
        </is>
      </c>
      <c r="F481" s="20" t="n">
        <v>1</v>
      </c>
      <c r="G481" s="26" t="inlineStr">
        <is>
          <t>6.3.1</t>
        </is>
      </c>
      <c r="H481" s="22" t="inlineStr">
        <is>
          <t>Unidad catalítica calentada (DO pipe)</t>
        </is>
      </c>
      <c r="I481" s="22" t="inlineStr">
        <is>
          <t>Reemplazar el deozonizador y reiniciar el contador</t>
        </is>
      </c>
      <c r="J481" s="20">
        <f>IFERROR(INDEX('APOA-370 (O3)'!$U$9:$U$88,MATCH($B481,'APOA-370 (O3)'!$A$9:$A$88,0)),"")</f>
        <v/>
      </c>
      <c r="K481" s="20">
        <f>IF(OR($J481="No conforme",$J481="Requiere reemplazo"),"SÍ — verificar destino","")</f>
        <v/>
      </c>
    </row>
    <row r="482" ht="36" customHeight="1">
      <c r="A482" s="20" t="inlineStr">
        <is>
          <t>APOA-370 (O3)</t>
        </is>
      </c>
      <c r="B482" s="26" t="inlineStr">
        <is>
          <t>8.2.3</t>
        </is>
      </c>
      <c r="C482" s="22" t="inlineStr">
        <is>
          <t>Horómetro de la lámpara UV de medición (LAMP)</t>
        </is>
      </c>
      <c r="D482" s="25" t="inlineStr">
        <is>
          <t>Cobrable</t>
        </is>
      </c>
      <c r="E482" s="22" t="inlineStr">
        <is>
          <t>Horas acumuladas altas: la lámpara pierde intensidad de forma progresiva</t>
        </is>
      </c>
      <c r="F482" s="20" t="n">
        <v>1</v>
      </c>
      <c r="G482" s="26" t="inlineStr">
        <is>
          <t>6.1.1</t>
        </is>
      </c>
      <c r="H482" s="22" t="inlineStr">
        <is>
          <t>Intensidad de la lámpara UV (LAMP)</t>
        </is>
      </c>
      <c r="I482" s="22" t="inlineStr">
        <is>
          <t>El criterio real de cambio es el voltaje, no las horas: decidir por la lectura de LAMP</t>
        </is>
      </c>
      <c r="J482" s="20">
        <f>IFERROR(INDEX('APOA-370 (O3)'!$U$9:$U$88,MATCH($B482,'APOA-370 (O3)'!$A$9:$A$88,0)),"")</f>
        <v/>
      </c>
      <c r="K482" s="20">
        <f>IF(OR($J482="No conforme",$J482="Requiere reemplazo"),"SÍ — verificar destino","")</f>
        <v/>
      </c>
    </row>
    <row r="483" ht="36" customHeight="1">
      <c r="A483" s="20" t="inlineStr">
        <is>
          <t>APOA-370 (O3)</t>
        </is>
      </c>
      <c r="B483" s="26" t="inlineStr">
        <is>
          <t>8.2.4</t>
        </is>
      </c>
      <c r="C483" s="22" t="inlineStr">
        <is>
          <t>Horómetro de la bomba completa (P-1-B)</t>
        </is>
      </c>
      <c r="D483" s="25" t="inlineStr">
        <is>
          <t>Cobrable</t>
        </is>
      </c>
      <c r="E483" s="22" t="inlineStr">
        <is>
          <t>Horómetro por encima del intervalo de dos años</t>
        </is>
      </c>
      <c r="F483" s="20" t="n">
        <v>1</v>
      </c>
      <c r="G483" s="26" t="inlineStr">
        <is>
          <t>5.2.1</t>
        </is>
      </c>
      <c r="H483" s="22" t="inlineStr">
        <is>
          <t>Presión absoluta de la bomba (PUMP)</t>
        </is>
      </c>
      <c r="I483" s="22" t="inlineStr">
        <is>
          <t>Programar el reemplazo de la unidad de bomba y reiniciar el contador</t>
        </is>
      </c>
      <c r="J483" s="20">
        <f>IFERROR(INDEX('APOA-370 (O3)'!$U$9:$U$88,MATCH($B483,'APOA-370 (O3)'!$A$9:$A$88,0)),"")</f>
        <v/>
      </c>
      <c r="K483" s="20">
        <f>IF(OR($J483="No conforme",$J483="Requiere reemplazo"),"SÍ — verificar destino","")</f>
        <v/>
      </c>
    </row>
    <row r="484" ht="36" customHeight="1">
      <c r="A484" s="20" t="inlineStr">
        <is>
          <t>APOA-370 (O3)</t>
        </is>
      </c>
      <c r="B484" s="26" t="inlineStr">
        <is>
          <t>8.2.4</t>
        </is>
      </c>
      <c r="C484" s="22" t="inlineStr">
        <is>
          <t>Horómetro de la bomba completa (P-1-B)</t>
        </is>
      </c>
      <c r="D484" s="25" t="inlineStr">
        <is>
          <t>Cobrable</t>
        </is>
      </c>
      <c r="E484" s="22" t="inlineStr">
        <is>
          <t>Horómetro por encima del intervalo de dos años</t>
        </is>
      </c>
      <c r="F484" s="20" t="n">
        <v>2</v>
      </c>
      <c r="G484" s="26" t="inlineStr">
        <is>
          <t>5.1.3</t>
        </is>
      </c>
      <c r="H484" s="22" t="inlineStr">
        <is>
          <t>Montaje y base amortiguadora de la bomba</t>
        </is>
      </c>
      <c r="I484" s="22" t="inlineStr">
        <is>
          <t>Programar el reemplazo de la unidad de bomba y reiniciar el contador</t>
        </is>
      </c>
      <c r="J484" s="20">
        <f>IFERROR(INDEX('APOA-370 (O3)'!$U$9:$U$88,MATCH($B484,'APOA-370 (O3)'!$A$9:$A$88,0)),"")</f>
        <v/>
      </c>
      <c r="K484" s="20">
        <f>IF(OR($J484="No conforme",$J484="Requiere reemplazo"),"SÍ — verificar destino","")</f>
        <v/>
      </c>
    </row>
    <row r="485" ht="36" customHeight="1">
      <c r="A485" s="20" t="inlineStr">
        <is>
          <t>APOA-370 (O3)</t>
        </is>
      </c>
      <c r="B485" s="26" t="inlineStr">
        <is>
          <t>8.2.5</t>
        </is>
      </c>
      <c r="C485" s="22" t="inlineStr">
        <is>
          <t>Horómetro de la válvula solenoide (SV-2)</t>
        </is>
      </c>
      <c r="D485" s="25" t="inlineStr">
        <is>
          <t>Cobrable</t>
        </is>
      </c>
      <c r="E485" s="22" t="inlineStr">
        <is>
          <t>Horómetro por encima del intervalo de dos años</t>
        </is>
      </c>
      <c r="F485" s="20" t="n">
        <v>1</v>
      </c>
      <c r="G485" s="26" t="inlineStr">
        <is>
          <t>6.5.1</t>
        </is>
      </c>
      <c r="H485" s="22" t="inlineStr">
        <is>
          <t>Unidad de solenoide de modulación (SV-2)</t>
        </is>
      </c>
      <c r="I485" s="22" t="inlineStr">
        <is>
          <t>Programar el reemplazo de la electroválvula y reiniciar el contador</t>
        </is>
      </c>
      <c r="J485" s="20">
        <f>IFERROR(INDEX('APOA-370 (O3)'!$U$9:$U$88,MATCH($B485,'APOA-370 (O3)'!$A$9:$A$88,0)),"")</f>
        <v/>
      </c>
      <c r="K485" s="20">
        <f>IF(OR($J485="No conforme",$J485="Requiere reemplazo"),"SÍ — verificar destino","")</f>
        <v/>
      </c>
    </row>
    <row r="486" ht="36" customHeight="1">
      <c r="A486" s="20" t="inlineStr">
        <is>
          <t>APOA-370 (O3)</t>
        </is>
      </c>
      <c r="B486" s="26" t="inlineStr">
        <is>
          <t>9.1.1</t>
        </is>
      </c>
      <c r="C486" s="22" t="inlineStr">
        <is>
          <t>Lectura de presión ambiente (AMBIENT)</t>
        </is>
      </c>
      <c r="D486" s="24" t="inlineStr">
        <is>
          <t>Bloqueante</t>
        </is>
      </c>
      <c r="E486" s="22" t="inlineStr">
        <is>
          <t>Transductor descalibrado por la altitud del sitio, o dañado</t>
        </is>
      </c>
      <c r="F486" s="20" t="n">
        <v>1</v>
      </c>
      <c r="G486" s="26" t="inlineStr">
        <is>
          <t>9.1.2</t>
        </is>
      </c>
      <c r="H486" s="22" t="inlineStr">
        <is>
          <t>Presión diferencial de celda</t>
        </is>
      </c>
      <c r="I486" s="22" t="inlineStr">
        <is>
          <t>Comparar contra barómetro patrón y compensar el intercepto con PRESS ADJUSTMENT</t>
        </is>
      </c>
      <c r="J486" s="20">
        <f>IFERROR(INDEX('APOA-370 (O3)'!$U$9:$U$88,MATCH($B486,'APOA-370 (O3)'!$A$9:$A$88,0)),"")</f>
        <v/>
      </c>
      <c r="K486" s="20">
        <f>IF(OR($J486="No conforme",$J486="Requiere reemplazo"),"SÍ — verificar destino","")</f>
        <v/>
      </c>
    </row>
    <row r="487" ht="36" customHeight="1">
      <c r="A487" s="20" t="inlineStr">
        <is>
          <t>APOA-370 (O3)</t>
        </is>
      </c>
      <c r="B487" s="26" t="inlineStr">
        <is>
          <t>9.1.1</t>
        </is>
      </c>
      <c r="C487" s="22" t="inlineStr">
        <is>
          <t>Lectura de presión ambiente (AMBIENT)</t>
        </is>
      </c>
      <c r="D487" s="24" t="inlineStr">
        <is>
          <t>Bloqueante</t>
        </is>
      </c>
      <c r="E487" s="22" t="inlineStr">
        <is>
          <t>Transductor descalibrado por la altitud del sitio, o dañado</t>
        </is>
      </c>
      <c r="F487" s="20" t="n">
        <v>2</v>
      </c>
      <c r="G487" s="26" t="inlineStr">
        <is>
          <t>9.4.1</t>
        </is>
      </c>
      <c r="H487" s="22" t="inlineStr">
        <is>
          <t>Integridad de cables planos de transductores</t>
        </is>
      </c>
      <c r="I487" s="22" t="inlineStr">
        <is>
          <t>Comparar contra barómetro patrón y compensar el intercepto con PRESS ADJUSTMENT</t>
        </is>
      </c>
      <c r="J487" s="20">
        <f>IFERROR(INDEX('APOA-370 (O3)'!$U$9:$U$88,MATCH($B487,'APOA-370 (O3)'!$A$9:$A$88,0)),"")</f>
        <v/>
      </c>
      <c r="K487" s="20">
        <f>IF(OR($J487="No conforme",$J487="Requiere reemplazo"),"SÍ — verificar destino","")</f>
        <v/>
      </c>
    </row>
    <row r="488" ht="36" customHeight="1">
      <c r="A488" s="20" t="inlineStr">
        <is>
          <t>APOA-370 (O3)</t>
        </is>
      </c>
      <c r="B488" s="26" t="inlineStr">
        <is>
          <t>9.1.2</t>
        </is>
      </c>
      <c r="C488" s="22" t="inlineStr">
        <is>
          <t>Presión diferencial de celda</t>
        </is>
      </c>
      <c r="D488" s="24" t="inlineStr">
        <is>
          <t>Bloqueante</t>
        </is>
      </c>
      <c r="E488" s="22" t="inlineStr">
        <is>
          <t>Transductor de celda en falla, o cable de señal suelto</t>
        </is>
      </c>
      <c r="F488" s="20" t="n">
        <v>1</v>
      </c>
      <c r="G488" s="26" t="inlineStr">
        <is>
          <t>9.4.1</t>
        </is>
      </c>
      <c r="H488" s="22" t="inlineStr">
        <is>
          <t>Integridad de cables planos de transductores</t>
        </is>
      </c>
      <c r="I488" s="22" t="inlineStr">
        <is>
          <t>Reasentar el cable plano antes de sospechar del transductor</t>
        </is>
      </c>
      <c r="J488" s="20">
        <f>IFERROR(INDEX('APOA-370 (O3)'!$U$9:$U$88,MATCH($B488,'APOA-370 (O3)'!$A$9:$A$88,0)),"")</f>
        <v/>
      </c>
      <c r="K488" s="20">
        <f>IF(OR($J488="No conforme",$J488="Requiere reemplazo"),"SÍ — verificar destino","")</f>
        <v/>
      </c>
    </row>
    <row r="489" ht="36" customHeight="1">
      <c r="A489" s="20" t="inlineStr">
        <is>
          <t>APOA-370 (O3)</t>
        </is>
      </c>
      <c r="B489" s="26" t="inlineStr">
        <is>
          <t>9.1.2</t>
        </is>
      </c>
      <c r="C489" s="22" t="inlineStr">
        <is>
          <t>Presión diferencial de celda</t>
        </is>
      </c>
      <c r="D489" s="24" t="inlineStr">
        <is>
          <t>Bloqueante</t>
        </is>
      </c>
      <c r="E489" s="22" t="inlineStr">
        <is>
          <t>Transductor de celda en falla, o cable de señal suelto</t>
        </is>
      </c>
      <c r="F489" s="20" t="n">
        <v>2</v>
      </c>
      <c r="G489" s="26" t="inlineStr">
        <is>
          <t>9.1.1</t>
        </is>
      </c>
      <c r="H489" s="22" t="inlineStr">
        <is>
          <t>Lectura de presión ambiente (AMBIENT)</t>
        </is>
      </c>
      <c r="I489" s="22" t="inlineStr">
        <is>
          <t>Reasentar el cable plano antes de sospechar del transductor</t>
        </is>
      </c>
      <c r="J489" s="20">
        <f>IFERROR(INDEX('APOA-370 (O3)'!$U$9:$U$88,MATCH($B489,'APOA-370 (O3)'!$A$9:$A$88,0)),"")</f>
        <v/>
      </c>
      <c r="K489" s="20">
        <f>IF(OR($J489="No conforme",$J489="Requiere reemplazo"),"SÍ — verificar destino","")</f>
        <v/>
      </c>
    </row>
    <row r="490" ht="36" customHeight="1">
      <c r="A490" s="20" t="inlineStr">
        <is>
          <t>APOA-370 (O3)</t>
        </is>
      </c>
      <c r="B490" s="26" t="inlineStr">
        <is>
          <t>9.2.1</t>
        </is>
      </c>
      <c r="C490" s="22" t="inlineStr">
        <is>
          <t>Termistor de temperatura de celda (TS_1)</t>
        </is>
      </c>
      <c r="D490" s="24" t="inlineStr">
        <is>
          <t>Bloqueante</t>
        </is>
      </c>
      <c r="E490" s="22" t="inlineStr">
        <is>
          <t>Termistor abierto o en cortocircuito, o cable plano suelto</t>
        </is>
      </c>
      <c r="F490" s="20" t="n">
        <v>1</v>
      </c>
      <c r="G490" s="26" t="inlineStr">
        <is>
          <t>6.1.2</t>
        </is>
      </c>
      <c r="H490" s="22" t="inlineStr">
        <is>
          <t>Temperatura de la celda (CELL)</t>
        </is>
      </c>
      <c r="I490" s="22" t="inlineStr">
        <is>
          <t>Reasentar el cable; si la lectura sigue absurda, reemplazar el termistor</t>
        </is>
      </c>
      <c r="J490" s="20">
        <f>IFERROR(INDEX('APOA-370 (O3)'!$U$9:$U$88,MATCH($B490,'APOA-370 (O3)'!$A$9:$A$88,0)),"")</f>
        <v/>
      </c>
      <c r="K490" s="20">
        <f>IF(OR($J490="No conforme",$J490="Requiere reemplazo"),"SÍ — verificar destino","")</f>
        <v/>
      </c>
    </row>
    <row r="491" ht="36" customHeight="1">
      <c r="A491" s="20" t="inlineStr">
        <is>
          <t>APOA-370 (O3)</t>
        </is>
      </c>
      <c r="B491" s="26" t="inlineStr">
        <is>
          <t>9.2.1</t>
        </is>
      </c>
      <c r="C491" s="22" t="inlineStr">
        <is>
          <t>Termistor de temperatura de celda (TS_1)</t>
        </is>
      </c>
      <c r="D491" s="24" t="inlineStr">
        <is>
          <t>Bloqueante</t>
        </is>
      </c>
      <c r="E491" s="22" t="inlineStr">
        <is>
          <t>Termistor abierto o en cortocircuito, o cable plano suelto</t>
        </is>
      </c>
      <c r="F491" s="20" t="n">
        <v>2</v>
      </c>
      <c r="G491" s="26" t="inlineStr">
        <is>
          <t>9.4.1</t>
        </is>
      </c>
      <c r="H491" s="22" t="inlineStr">
        <is>
          <t>Integridad de cables planos de transductores</t>
        </is>
      </c>
      <c r="I491" s="22" t="inlineStr">
        <is>
          <t>Reasentar el cable; si la lectura sigue absurda, reemplazar el termistor</t>
        </is>
      </c>
      <c r="J491" s="20">
        <f>IFERROR(INDEX('APOA-370 (O3)'!$U$9:$U$88,MATCH($B491,'APOA-370 (O3)'!$A$9:$A$88,0)),"")</f>
        <v/>
      </c>
      <c r="K491" s="20">
        <f>IF(OR($J491="No conforme",$J491="Requiere reemplazo"),"SÍ — verificar destino","")</f>
        <v/>
      </c>
    </row>
    <row r="492" ht="36" customHeight="1">
      <c r="A492" s="20" t="inlineStr">
        <is>
          <t>APOA-370 (O3)</t>
        </is>
      </c>
      <c r="B492" s="26" t="inlineStr">
        <is>
          <t>9.2.2</t>
        </is>
      </c>
      <c r="C492" s="22" t="inlineStr">
        <is>
          <t>Termistor de temperatura del deozonizador</t>
        </is>
      </c>
      <c r="D492" s="24" t="inlineStr">
        <is>
          <t>Bloqueante</t>
        </is>
      </c>
      <c r="E492" s="22" t="inlineStr">
        <is>
          <t>Sensor abierto, resistencia calefactora quemada, o falta de calentamiento</t>
        </is>
      </c>
      <c r="F492" s="20" t="n">
        <v>1</v>
      </c>
      <c r="G492" s="26" t="inlineStr">
        <is>
          <t>1.3.1</t>
        </is>
      </c>
      <c r="H492" s="22" t="inlineStr">
        <is>
          <t>Calentamiento inicial (warm-up)</t>
        </is>
      </c>
      <c r="I492" s="22" t="inlineStr">
        <is>
          <t>Esperar el calentamiento; si la alarma persiste, medir continuidad de resistencia y sensor</t>
        </is>
      </c>
      <c r="J492" s="20">
        <f>IFERROR(INDEX('APOA-370 (O3)'!$U$9:$U$88,MATCH($B492,'APOA-370 (O3)'!$A$9:$A$88,0)),"")</f>
        <v/>
      </c>
      <c r="K492" s="20">
        <f>IF(OR($J492="No conforme",$J492="Requiere reemplazo"),"SÍ — verificar destino","")</f>
        <v/>
      </c>
    </row>
    <row r="493" ht="36" customHeight="1">
      <c r="A493" s="20" t="inlineStr">
        <is>
          <t>APOA-370 (O3)</t>
        </is>
      </c>
      <c r="B493" s="26" t="inlineStr">
        <is>
          <t>9.2.2</t>
        </is>
      </c>
      <c r="C493" s="22" t="inlineStr">
        <is>
          <t>Termistor de temperatura del deozonizador</t>
        </is>
      </c>
      <c r="D493" s="24" t="inlineStr">
        <is>
          <t>Bloqueante</t>
        </is>
      </c>
      <c r="E493" s="22" t="inlineStr">
        <is>
          <t>Sensor abierto, resistencia calefactora quemada, o falta de calentamiento</t>
        </is>
      </c>
      <c r="F493" s="20" t="n">
        <v>2</v>
      </c>
      <c r="G493" s="26" t="inlineStr">
        <is>
          <t>6.3.1</t>
        </is>
      </c>
      <c r="H493" s="22" t="inlineStr">
        <is>
          <t>Unidad catalítica calentada (DO pipe)</t>
        </is>
      </c>
      <c r="I493" s="22" t="inlineStr">
        <is>
          <t>Esperar el calentamiento; si la alarma persiste, medir continuidad de resistencia y sensor</t>
        </is>
      </c>
      <c r="J493" s="20">
        <f>IFERROR(INDEX('APOA-370 (O3)'!$U$9:$U$88,MATCH($B493,'APOA-370 (O3)'!$A$9:$A$88,0)),"")</f>
        <v/>
      </c>
      <c r="K493" s="20">
        <f>IF(OR($J493="No conforme",$J493="Requiere reemplazo"),"SÍ — verificar destino","")</f>
        <v/>
      </c>
    </row>
    <row r="494" ht="36" customHeight="1">
      <c r="A494" s="20" t="inlineStr">
        <is>
          <t>APOA-370 (O3)</t>
        </is>
      </c>
      <c r="B494" s="26" t="inlineStr">
        <is>
          <t>9.2.2</t>
        </is>
      </c>
      <c r="C494" s="22" t="inlineStr">
        <is>
          <t>Termistor de temperatura del deozonizador</t>
        </is>
      </c>
      <c r="D494" s="24" t="inlineStr">
        <is>
          <t>Bloqueante</t>
        </is>
      </c>
      <c r="E494" s="22" t="inlineStr">
        <is>
          <t>Sensor abierto, resistencia calefactora quemada, o falta de calentamiento</t>
        </is>
      </c>
      <c r="F494" s="20" t="n">
        <v>3</v>
      </c>
      <c r="G494" s="26" t="inlineStr">
        <is>
          <t>6.3.2</t>
        </is>
      </c>
      <c r="H494" s="22" t="inlineStr">
        <is>
          <t>Conector del catalizador deozonizador</t>
        </is>
      </c>
      <c r="I494" s="22" t="inlineStr">
        <is>
          <t>Esperar el calentamiento; si la alarma persiste, medir continuidad de resistencia y sensor</t>
        </is>
      </c>
      <c r="J494" s="20">
        <f>IFERROR(INDEX('APOA-370 (O3)'!$U$9:$U$88,MATCH($B494,'APOA-370 (O3)'!$A$9:$A$88,0)),"")</f>
        <v/>
      </c>
      <c r="K494" s="20">
        <f>IF(OR($J494="No conforme",$J494="Requiere reemplazo"),"SÍ — verificar destino","")</f>
        <v/>
      </c>
    </row>
    <row r="495" ht="36" customHeight="1">
      <c r="A495" s="20" t="inlineStr">
        <is>
          <t>APOA-370 (O3)</t>
        </is>
      </c>
      <c r="B495" s="26" t="inlineStr">
        <is>
          <t>9.3.1</t>
        </is>
      </c>
      <c r="C495" s="22" t="inlineStr">
        <is>
          <t>Lectura del sensor de caudal de muestra (opcional)</t>
        </is>
      </c>
      <c r="D495" s="24" t="inlineStr">
        <is>
          <t>Bloqueante</t>
        </is>
      </c>
      <c r="E495" s="22" t="inlineStr">
        <is>
          <t>Transductor de caudal opcional descalibrado o en falla</t>
        </is>
      </c>
      <c r="F495" s="20" t="n">
        <v>1</v>
      </c>
      <c r="G495" s="26" t="inlineStr">
        <is>
          <t>5.3.2</t>
        </is>
      </c>
      <c r="H495" s="22" t="inlineStr">
        <is>
          <t>Caudal de toma medido externamente</t>
        </is>
      </c>
      <c r="I495" s="22" t="inlineStr">
        <is>
          <t>Contrastar con flujómetro de burbuja: si el caudal real es correcto, el problema es el sensor</t>
        </is>
      </c>
      <c r="J495" s="20">
        <f>IFERROR(INDEX('APOA-370 (O3)'!$U$9:$U$88,MATCH($B495,'APOA-370 (O3)'!$A$9:$A$88,0)),"")</f>
        <v/>
      </c>
      <c r="K495" s="20">
        <f>IF(OR($J495="No conforme",$J495="Requiere reemplazo"),"SÍ — verificar destino","")</f>
        <v/>
      </c>
    </row>
    <row r="496" ht="36" customHeight="1">
      <c r="A496" s="20" t="inlineStr">
        <is>
          <t>APOA-370 (O3)</t>
        </is>
      </c>
      <c r="B496" s="26" t="inlineStr">
        <is>
          <t>9.3.1</t>
        </is>
      </c>
      <c r="C496" s="22" t="inlineStr">
        <is>
          <t>Lectura del sensor de caudal de muestra (opcional)</t>
        </is>
      </c>
      <c r="D496" s="24" t="inlineStr">
        <is>
          <t>Bloqueante</t>
        </is>
      </c>
      <c r="E496" s="22" t="inlineStr">
        <is>
          <t>Transductor de caudal opcional descalibrado o en falla</t>
        </is>
      </c>
      <c r="F496" s="20" t="n">
        <v>2</v>
      </c>
      <c r="G496" s="26" t="inlineStr">
        <is>
          <t>5.3.1</t>
        </is>
      </c>
      <c r="H496" s="22" t="inlineStr">
        <is>
          <t>Caudal de muestra en display (SAMPLE)</t>
        </is>
      </c>
      <c r="I496" s="22" t="inlineStr">
        <is>
          <t>Contrastar con flujómetro de burbuja: si el caudal real es correcto, el problema es el sensor</t>
        </is>
      </c>
      <c r="J496" s="20">
        <f>IFERROR(INDEX('APOA-370 (O3)'!$U$9:$U$88,MATCH($B496,'APOA-370 (O3)'!$A$9:$A$88,0)),"")</f>
        <v/>
      </c>
      <c r="K496" s="20">
        <f>IF(OR($J496="No conforme",$J496="Requiere reemplazo"),"SÍ — verificar destino","")</f>
        <v/>
      </c>
    </row>
    <row r="497" ht="36" customHeight="1">
      <c r="A497" s="20" t="inlineStr">
        <is>
          <t>APOA-370 (O3)</t>
        </is>
      </c>
      <c r="B497" s="26" t="inlineStr">
        <is>
          <t>9.4.1</t>
        </is>
      </c>
      <c r="C497" s="22" t="inlineStr">
        <is>
          <t>Integridad de cables planos de transductores</t>
        </is>
      </c>
      <c r="D497" s="24" t="inlineStr">
        <is>
          <t>Bloqueante</t>
        </is>
      </c>
      <c r="E497" s="22" t="inlineStr">
        <is>
          <t>Conector de cinta mal asentado, o hilo partido</t>
        </is>
      </c>
      <c r="F497" s="20" t="n">
        <v>1</v>
      </c>
      <c r="G497" s="26" t="inlineStr">
        <is>
          <t>7.2.1</t>
        </is>
      </c>
      <c r="H497" s="22" t="inlineStr">
        <is>
          <t>LED de estado en placa AP-ADC-05</t>
        </is>
      </c>
      <c r="I497" s="22" t="inlineStr">
        <is>
          <t>Reasentar todos los conectores de cinta en la tarjeta ADC-05 antes de cambiar sensores</t>
        </is>
      </c>
      <c r="J497" s="20">
        <f>IFERROR(INDEX('APOA-370 (O3)'!$U$9:$U$88,MATCH($B497,'APOA-370 (O3)'!$A$9:$A$88,0)),"")</f>
        <v/>
      </c>
      <c r="K497" s="20">
        <f>IF(OR($J497="No conforme",$J497="Requiere reemplazo"),"SÍ — verificar destino","")</f>
        <v/>
      </c>
    </row>
    <row r="498" ht="36" customHeight="1">
      <c r="A498" s="20" t="inlineStr">
        <is>
          <t>APOA-370 (O3)</t>
        </is>
      </c>
      <c r="B498" s="26" t="inlineStr">
        <is>
          <t>9.4.1</t>
        </is>
      </c>
      <c r="C498" s="22" t="inlineStr">
        <is>
          <t>Integridad de cables planos de transductores</t>
        </is>
      </c>
      <c r="D498" s="24" t="inlineStr">
        <is>
          <t>Bloqueante</t>
        </is>
      </c>
      <c r="E498" s="22" t="inlineStr">
        <is>
          <t>Conector de cinta mal asentado, o hilo partido</t>
        </is>
      </c>
      <c r="F498" s="20" t="n">
        <v>2</v>
      </c>
      <c r="G498" s="26" t="inlineStr">
        <is>
          <t>9.1.2</t>
        </is>
      </c>
      <c r="H498" s="22" t="inlineStr">
        <is>
          <t>Presión diferencial de celda</t>
        </is>
      </c>
      <c r="I498" s="22" t="inlineStr">
        <is>
          <t>Reasentar todos los conectores de cinta en la tarjeta ADC-05 antes de cambiar sensores</t>
        </is>
      </c>
      <c r="J498" s="20">
        <f>IFERROR(INDEX('APOA-370 (O3)'!$U$9:$U$88,MATCH($B498,'APOA-370 (O3)'!$A$9:$A$88,0)),"")</f>
        <v/>
      </c>
      <c r="K498" s="20">
        <f>IF(OR($J498="No conforme",$J498="Requiere reemplazo"),"SÍ — verificar destino","")</f>
        <v/>
      </c>
    </row>
    <row r="499" ht="36" customHeight="1">
      <c r="A499" s="20" t="inlineStr">
        <is>
          <t>APOA-370 (O3)</t>
        </is>
      </c>
      <c r="B499" s="26" t="inlineStr">
        <is>
          <t>9.4.1</t>
        </is>
      </c>
      <c r="C499" s="22" t="inlineStr">
        <is>
          <t>Integridad de cables planos de transductores</t>
        </is>
      </c>
      <c r="D499" s="24" t="inlineStr">
        <is>
          <t>Bloqueante</t>
        </is>
      </c>
      <c r="E499" s="22" t="inlineStr">
        <is>
          <t>Conector de cinta mal asentado, o hilo partido</t>
        </is>
      </c>
      <c r="F499" s="20" t="n">
        <v>3</v>
      </c>
      <c r="G499" s="26" t="inlineStr">
        <is>
          <t>9.2.1</t>
        </is>
      </c>
      <c r="H499" s="22" t="inlineStr">
        <is>
          <t>Termistor de temperatura de celda (TS_1)</t>
        </is>
      </c>
      <c r="I499" s="22" t="inlineStr">
        <is>
          <t>Reasentar todos los conectores de cinta en la tarjeta ADC-05 antes de cambiar sensores</t>
        </is>
      </c>
      <c r="J499" s="20">
        <f>IFERROR(INDEX('APOA-370 (O3)'!$U$9:$U$88,MATCH($B499,'APOA-370 (O3)'!$A$9:$A$88,0)),"")</f>
        <v/>
      </c>
      <c r="K499" s="20">
        <f>IF(OR($J499="No conforme",$J499="Requiere reemplazo"),"SÍ — verificar destino","")</f>
        <v/>
      </c>
    </row>
    <row r="500" ht="24" customHeight="1">
      <c r="A500" s="20" t="inlineStr">
        <is>
          <t>APOA-370 (O3)</t>
        </is>
      </c>
      <c r="B500" s="26" t="inlineStr">
        <is>
          <t>10.1.1</t>
        </is>
      </c>
      <c r="C500" s="22" t="inlineStr">
        <is>
          <t>Puerta delantera y cierres</t>
        </is>
      </c>
      <c r="D500" s="25" t="inlineStr">
        <is>
          <t>Cobrable</t>
        </is>
      </c>
      <c r="E500" s="22" t="inlineStr">
        <is>
          <t>Pestillo desajustado o bisagra descolgada</t>
        </is>
      </c>
      <c r="F500" s="20" t="n">
        <v>1</v>
      </c>
      <c r="G500" s="26" t="inlineStr">
        <is>
          <t>10.1.2</t>
        </is>
      </c>
      <c r="H500" s="22" t="inlineStr">
        <is>
          <t>Tornillos de fijación de la cubierta superior</t>
        </is>
      </c>
      <c r="I500" s="22" t="inlineStr">
        <is>
          <t>Ajustar el pestillo y realinear la puerta</t>
        </is>
      </c>
      <c r="J500" s="20">
        <f>IFERROR(INDEX('APOA-370 (O3)'!$U$9:$U$88,MATCH($B500,'APOA-370 (O3)'!$A$9:$A$88,0)),"")</f>
        <v/>
      </c>
      <c r="K500" s="20">
        <f>IF(OR($J500="No conforme",$J500="Requiere reemplazo"),"SÍ — verificar destino","")</f>
        <v/>
      </c>
    </row>
    <row r="501" ht="24" customHeight="1">
      <c r="A501" s="20" t="inlineStr">
        <is>
          <t>APOA-370 (O3)</t>
        </is>
      </c>
      <c r="B501" s="26" t="inlineStr">
        <is>
          <t>10.1.2</t>
        </is>
      </c>
      <c r="C501" s="22" t="inlineStr">
        <is>
          <t>Tornillos de fijación de la cubierta superior</t>
        </is>
      </c>
      <c r="D501" s="25" t="inlineStr">
        <is>
          <t>Cobrable</t>
        </is>
      </c>
      <c r="E501" s="22" t="inlineStr">
        <is>
          <t>Tornillos ausentes o flojos por vibración</t>
        </is>
      </c>
      <c r="F501" s="20" t="n">
        <v>1</v>
      </c>
      <c r="G501" s="26" t="inlineStr">
        <is>
          <t>10.1.1</t>
        </is>
      </c>
      <c r="H501" s="22" t="inlineStr">
        <is>
          <t>Puerta delantera y cierres</t>
        </is>
      </c>
      <c r="I501" s="22" t="inlineStr">
        <is>
          <t>Reponer y ajustar los 8 tornillos M3 de la tapa</t>
        </is>
      </c>
      <c r="J501" s="20">
        <f>IFERROR(INDEX('APOA-370 (O3)'!$U$9:$U$88,MATCH($B501,'APOA-370 (O3)'!$A$9:$A$88,0)),"")</f>
        <v/>
      </c>
      <c r="K501" s="20">
        <f>IF(OR($J501="No conforme",$J501="Requiere reemplazo"),"SÍ — verificar destino","")</f>
        <v/>
      </c>
    </row>
    <row r="502" ht="24" customHeight="1">
      <c r="A502" s="20" t="inlineStr">
        <is>
          <t>APOA-370 (O3)</t>
        </is>
      </c>
      <c r="B502" s="26" t="inlineStr">
        <is>
          <t>10.2.1</t>
        </is>
      </c>
      <c r="C502" s="22" t="inlineStr">
        <is>
          <t>Espacio libre vertical en rack de 19 pulgadas</t>
        </is>
      </c>
      <c r="D502" s="23" t="inlineStr">
        <is>
          <t>Alerta</t>
        </is>
      </c>
      <c r="E502" s="22" t="inlineStr">
        <is>
          <t>Menos de 222 mm disponibles: el equipo queda forzado</t>
        </is>
      </c>
      <c r="F502" s="20" t="n">
        <v>1</v>
      </c>
      <c r="G502" s="26" t="inlineStr">
        <is>
          <t>10.2.2</t>
        </is>
      </c>
      <c r="H502" s="22" t="inlineStr">
        <is>
          <t>Base de apoyo e instalación del chasis</t>
        </is>
      </c>
      <c r="I502" s="22" t="inlineStr">
        <is>
          <t>Liberar el espacio de 5U antes de instalar el equipo</t>
        </is>
      </c>
      <c r="J502" s="20">
        <f>IFERROR(INDEX('APOA-370 (O3)'!$U$9:$U$88,MATCH($B502,'APOA-370 (O3)'!$A$9:$A$88,0)),"")</f>
        <v/>
      </c>
      <c r="K502" s="20">
        <f>IF(OR($J502="No conforme",$J502="Requiere reemplazo"),"SÍ — verificar destino","")</f>
        <v/>
      </c>
    </row>
    <row r="503" ht="36" customHeight="1">
      <c r="A503" s="20" t="inlineStr">
        <is>
          <t>APOA-370 (O3)</t>
        </is>
      </c>
      <c r="B503" s="26" t="inlineStr">
        <is>
          <t>10.2.2</t>
        </is>
      </c>
      <c r="C503" s="22" t="inlineStr">
        <is>
          <t>Base de apoyo e instalación del chasis</t>
        </is>
      </c>
      <c r="D503" s="23" t="inlineStr">
        <is>
          <t>Alerta</t>
        </is>
      </c>
      <c r="E503" s="22" t="inlineStr">
        <is>
          <t>Equipo de 15 kg apoyado solo por el frente: flexión del chasis</t>
        </is>
      </c>
      <c r="F503" s="20" t="n">
        <v>1</v>
      </c>
      <c r="G503" s="26" t="inlineStr">
        <is>
          <t>10.2.1</t>
        </is>
      </c>
      <c r="H503" s="22" t="inlineStr">
        <is>
          <t>Espacio libre vertical en rack de 19 pulgadas</t>
        </is>
      </c>
      <c r="I503" s="22" t="inlineStr">
        <is>
          <t>Instalar bandeja o rieles de soporte antes de cerrar el servicio</t>
        </is>
      </c>
      <c r="J503" s="20">
        <f>IFERROR(INDEX('APOA-370 (O3)'!$U$9:$U$88,MATCH($B503,'APOA-370 (O3)'!$A$9:$A$88,0)),"")</f>
        <v/>
      </c>
      <c r="K503" s="20">
        <f>IF(OR($J503="No conforme",$J503="Requiere reemplazo"),"SÍ — verificar destino","")</f>
        <v/>
      </c>
    </row>
    <row r="504" ht="36" customHeight="1">
      <c r="A504" s="20" t="inlineStr">
        <is>
          <t>APOA-370 (O3)</t>
        </is>
      </c>
      <c r="B504" s="26" t="inlineStr">
        <is>
          <t>10.3.1</t>
        </is>
      </c>
      <c r="C504" s="22" t="inlineStr">
        <is>
          <t>Temperatura ambiental del recinto (shelter)</t>
        </is>
      </c>
      <c r="D504" s="23" t="inlineStr">
        <is>
          <t>Alerta</t>
        </is>
      </c>
      <c r="E504" s="22" t="inlineStr">
        <is>
          <t>Aire acondicionado insuficiente o en falla</t>
        </is>
      </c>
      <c r="F504" s="20" t="n">
        <v>1</v>
      </c>
      <c r="G504" s="26" t="inlineStr">
        <is>
          <t>6.1.2</t>
        </is>
      </c>
      <c r="H504" s="22" t="inlineStr">
        <is>
          <t>Temperatura de la celda (CELL)</t>
        </is>
      </c>
      <c r="I504" s="22" t="inlineStr">
        <is>
          <t>Corregir la climatización del shelter; la deriva no se juzga hasta estabilizar la sala</t>
        </is>
      </c>
      <c r="J504" s="20">
        <f>IFERROR(INDEX('APOA-370 (O3)'!$U$9:$U$88,MATCH($B504,'APOA-370 (O3)'!$A$9:$A$88,0)),"")</f>
        <v/>
      </c>
      <c r="K504" s="20">
        <f>IF(OR($J504="No conforme",$J504="Requiere reemplazo"),"SÍ — verificar destino","")</f>
        <v/>
      </c>
    </row>
    <row r="505" ht="36" customHeight="1">
      <c r="A505" s="20" t="inlineStr">
        <is>
          <t>APOA-370 (O3)</t>
        </is>
      </c>
      <c r="B505" s="26" t="inlineStr">
        <is>
          <t>10.3.1</t>
        </is>
      </c>
      <c r="C505" s="22" t="inlineStr">
        <is>
          <t>Temperatura ambiental del recinto (shelter)</t>
        </is>
      </c>
      <c r="D505" s="23" t="inlineStr">
        <is>
          <t>Alerta</t>
        </is>
      </c>
      <c r="E505" s="22" t="inlineStr">
        <is>
          <t>Aire acondicionado insuficiente o en falla</t>
        </is>
      </c>
      <c r="F505" s="20" t="n">
        <v>2</v>
      </c>
      <c r="G505" s="26" t="inlineStr">
        <is>
          <t>10.3.2</t>
        </is>
      </c>
      <c r="H505" s="22" t="inlineStr">
        <is>
          <t>Humedad relativa en la cabina de monitoreo</t>
        </is>
      </c>
      <c r="I505" s="22" t="inlineStr">
        <is>
          <t>Corregir la climatización del shelter; la deriva no se juzga hasta estabilizar la sala</t>
        </is>
      </c>
      <c r="J505" s="20">
        <f>IFERROR(INDEX('APOA-370 (O3)'!$U$9:$U$88,MATCH($B505,'APOA-370 (O3)'!$A$9:$A$88,0)),"")</f>
        <v/>
      </c>
      <c r="K505" s="20">
        <f>IF(OR($J505="No conforme",$J505="Requiere reemplazo"),"SÍ — verificar destino","")</f>
        <v/>
      </c>
    </row>
    <row r="506" ht="36" customHeight="1">
      <c r="A506" s="20" t="inlineStr">
        <is>
          <t>APOA-370 (O3)</t>
        </is>
      </c>
      <c r="B506" s="26" t="inlineStr">
        <is>
          <t>10.3.2</t>
        </is>
      </c>
      <c r="C506" s="22" t="inlineStr">
        <is>
          <t>Humedad relativa en la cabina de monitoreo</t>
        </is>
      </c>
      <c r="D506" s="23" t="inlineStr">
        <is>
          <t>Alerta</t>
        </is>
      </c>
      <c r="E506" s="22" t="inlineStr">
        <is>
          <t>Humedad alta: condensación en líneas y sulfatación del panel táctil</t>
        </is>
      </c>
      <c r="F506" s="20" t="n">
        <v>1</v>
      </c>
      <c r="G506" s="26" t="inlineStr">
        <is>
          <t>4.2.1</t>
        </is>
      </c>
      <c r="H506" s="22" t="inlineStr">
        <is>
          <t>Humedad o condensación en el portafiltros</t>
        </is>
      </c>
      <c r="I506" s="22" t="inlineStr">
        <is>
          <t>Deshumidificar la cabina y revisar la línea de muestreo</t>
        </is>
      </c>
      <c r="J506" s="20">
        <f>IFERROR(INDEX('APOA-370 (O3)'!$U$9:$U$88,MATCH($B506,'APOA-370 (O3)'!$A$9:$A$88,0)),"")</f>
        <v/>
      </c>
      <c r="K506" s="20">
        <f>IF(OR($J506="No conforme",$J506="Requiere reemplazo"),"SÍ — verificar destino","")</f>
        <v/>
      </c>
    </row>
    <row r="507" ht="36" customHeight="1">
      <c r="A507" s="20" t="inlineStr">
        <is>
          <t>APOA-370 (O3)</t>
        </is>
      </c>
      <c r="B507" s="26" t="inlineStr">
        <is>
          <t>10.3.2</t>
        </is>
      </c>
      <c r="C507" s="22" t="inlineStr">
        <is>
          <t>Humedad relativa en la cabina de monitoreo</t>
        </is>
      </c>
      <c r="D507" s="23" t="inlineStr">
        <is>
          <t>Alerta</t>
        </is>
      </c>
      <c r="E507" s="22" t="inlineStr">
        <is>
          <t>Humedad alta: condensación en líneas y sulfatación del panel táctil</t>
        </is>
      </c>
      <c r="F507" s="20" t="n">
        <v>2</v>
      </c>
      <c r="G507" s="26" t="inlineStr">
        <is>
          <t>7.3.1</t>
        </is>
      </c>
      <c r="H507" s="22" t="inlineStr">
        <is>
          <t>Respuesta al toque del panel táctil</t>
        </is>
      </c>
      <c r="I507" s="22" t="inlineStr">
        <is>
          <t>Deshumidificar la cabina y revisar la línea de muestreo</t>
        </is>
      </c>
      <c r="J507" s="20">
        <f>IFERROR(INDEX('APOA-370 (O3)'!$U$9:$U$88,MATCH($B507,'APOA-370 (O3)'!$A$9:$A$88,0)),"")</f>
        <v/>
      </c>
      <c r="K507" s="20">
        <f>IF(OR($J507="No conforme",$J507="Requiere reemplazo"),"SÍ — verificar destino","")</f>
        <v/>
      </c>
    </row>
    <row r="508" ht="36" customHeight="1">
      <c r="A508" s="20" t="inlineStr">
        <is>
          <t>APNA-370 (NOx)</t>
        </is>
      </c>
      <c r="B508" s="26" t="inlineStr">
        <is>
          <t>1.1.1</t>
        </is>
      </c>
      <c r="C508" s="22" t="inlineStr">
        <is>
          <t>Estado visual del LED frontal de encendido</t>
        </is>
      </c>
      <c r="D508" s="23" t="inlineStr">
        <is>
          <t>Alerta</t>
        </is>
      </c>
      <c r="E508" s="22" t="inlineStr">
        <is>
          <t>LED en rojo: hay al menos una alarma activa en el equipo</t>
        </is>
      </c>
      <c r="F508" s="20" t="n">
        <v>1</v>
      </c>
      <c r="G508" s="26" t="inlineStr">
        <is>
          <t>1.2.1</t>
        </is>
      </c>
      <c r="H508" s="22" t="inlineStr">
        <is>
          <t>Revisión de alarmas activas</t>
        </is>
      </c>
      <c r="I508" s="22" t="inlineStr">
        <is>
          <t>Registrar el color y pasar al listado de alarmas antes de continuar</t>
        </is>
      </c>
      <c r="J508" s="20">
        <f>IFERROR(INDEX('APNA-370 (NOx)'!$U$9:$U$84,MATCH($B508,'APNA-370 (NOx)'!$A$9:$A$84,0)),"")</f>
        <v/>
      </c>
      <c r="K508" s="20">
        <f>IF(OR($J508="No conforme",$J508="Requiere reemplazo"),"SÍ — verificar destino","")</f>
        <v/>
      </c>
    </row>
    <row r="509" ht="48" customHeight="1">
      <c r="A509" s="20" t="inlineStr">
        <is>
          <t>APNA-370 (NOx)</t>
        </is>
      </c>
      <c r="B509" s="26" t="inlineStr">
        <is>
          <t>1.1.2</t>
        </is>
      </c>
      <c r="C509" s="22" t="inlineStr">
        <is>
          <t>Operación del ozonizador interno</t>
        </is>
      </c>
      <c r="D509" s="24" t="inlineStr">
        <is>
          <t>Bloqueante</t>
        </is>
      </c>
      <c r="E509" s="22" t="inlineStr">
        <is>
          <t>Tarjeta AP-UVP-03 en falla, lámpara de ozono agotada, o apagado de protección por otra alarma activa</t>
        </is>
      </c>
      <c r="F509" s="20" t="n">
        <v>1</v>
      </c>
      <c r="G509" s="26" t="inlineStr">
        <is>
          <t>6.3.1</t>
        </is>
      </c>
      <c r="H509" s="22" t="inlineStr">
        <is>
          <t>Tarjeta de potencia del ozonizador (AP-UVP-03)</t>
        </is>
      </c>
      <c r="I509" s="22" t="inlineStr">
        <is>
          <t>El ozonizador se apaga solo si hay alarma de flujo, presión o convertidor: resolver esa alarma primero</t>
        </is>
      </c>
      <c r="J509" s="20">
        <f>IFERROR(INDEX('APNA-370 (NOx)'!$U$9:$U$84,MATCH($B509,'APNA-370 (NOx)'!$A$9:$A$84,0)),"")</f>
        <v/>
      </c>
      <c r="K509" s="20">
        <f>IF(OR($J509="No conforme",$J509="Requiere reemplazo"),"SÍ — verificar destino","")</f>
        <v/>
      </c>
    </row>
    <row r="510" ht="48" customHeight="1">
      <c r="A510" s="20" t="inlineStr">
        <is>
          <t>APNA-370 (NOx)</t>
        </is>
      </c>
      <c r="B510" s="26" t="inlineStr">
        <is>
          <t>1.1.2</t>
        </is>
      </c>
      <c r="C510" s="22" t="inlineStr">
        <is>
          <t>Operación del ozonizador interno</t>
        </is>
      </c>
      <c r="D510" s="24" t="inlineStr">
        <is>
          <t>Bloqueante</t>
        </is>
      </c>
      <c r="E510" s="22" t="inlineStr">
        <is>
          <t>Tarjeta AP-UVP-03 en falla, lámpara de ozono agotada, o apagado de protección por otra alarma activa</t>
        </is>
      </c>
      <c r="F510" s="20" t="n">
        <v>2</v>
      </c>
      <c r="G510" s="26" t="inlineStr">
        <is>
          <t>1.2.1</t>
        </is>
      </c>
      <c r="H510" s="22" t="inlineStr">
        <is>
          <t>Revisión de alarmas activas</t>
        </is>
      </c>
      <c r="I510" s="22" t="inlineStr">
        <is>
          <t>El ozonizador se apaga solo si hay alarma de flujo, presión o convertidor: resolver esa alarma primero</t>
        </is>
      </c>
      <c r="J510" s="20">
        <f>IFERROR(INDEX('APNA-370 (NOx)'!$U$9:$U$84,MATCH($B510,'APNA-370 (NOx)'!$A$9:$A$84,0)),"")</f>
        <v/>
      </c>
      <c r="K510" s="20">
        <f>IF(OR($J510="No conforme",$J510="Requiere reemplazo"),"SÍ — verificar destino","")</f>
        <v/>
      </c>
    </row>
    <row r="511" ht="48" customHeight="1">
      <c r="A511" s="20" t="inlineStr">
        <is>
          <t>APNA-370 (NOx)</t>
        </is>
      </c>
      <c r="B511" s="26" t="inlineStr">
        <is>
          <t>1.1.2</t>
        </is>
      </c>
      <c r="C511" s="22" t="inlineStr">
        <is>
          <t>Operación del ozonizador interno</t>
        </is>
      </c>
      <c r="D511" s="24" t="inlineStr">
        <is>
          <t>Bloqueante</t>
        </is>
      </c>
      <c r="E511" s="22" t="inlineStr">
        <is>
          <t>Tarjeta AP-UVP-03 en falla, lámpara de ozono agotada, o apagado de protección por otra alarma activa</t>
        </is>
      </c>
      <c r="F511" s="20" t="n">
        <v>3</v>
      </c>
      <c r="G511" s="26" t="inlineStr">
        <is>
          <t>5.2.1</t>
        </is>
      </c>
      <c r="H511" s="22" t="inlineStr">
        <is>
          <t>Valor medido del flujo de muestra (Sample Flow)</t>
        </is>
      </c>
      <c r="I511" s="22" t="inlineStr">
        <is>
          <t>El ozonizador se apaga solo si hay alarma de flujo, presión o convertidor: resolver esa alarma primero</t>
        </is>
      </c>
      <c r="J511" s="20">
        <f>IFERROR(INDEX('APNA-370 (NOx)'!$U$9:$U$84,MATCH($B511,'APNA-370 (NOx)'!$A$9:$A$84,0)),"")</f>
        <v/>
      </c>
      <c r="K511" s="20">
        <f>IF(OR($J511="No conforme",$J511="Requiere reemplazo"),"SÍ — verificar destino","")</f>
        <v/>
      </c>
    </row>
    <row r="512" ht="48" customHeight="1">
      <c r="A512" s="20" t="inlineStr">
        <is>
          <t>APNA-370 (NOx)</t>
        </is>
      </c>
      <c r="B512" s="26" t="inlineStr">
        <is>
          <t>1.1.2</t>
        </is>
      </c>
      <c r="C512" s="22" t="inlineStr">
        <is>
          <t>Operación del ozonizador interno</t>
        </is>
      </c>
      <c r="D512" s="24" t="inlineStr">
        <is>
          <t>Bloqueante</t>
        </is>
      </c>
      <c r="E512" s="22" t="inlineStr">
        <is>
          <t>Tarjeta AP-UVP-03 en falla, lámpara de ozono agotada, o apagado de protección por otra alarma activa</t>
        </is>
      </c>
      <c r="F512" s="20" t="n">
        <v>4</v>
      </c>
      <c r="G512" s="26" t="inlineStr">
        <is>
          <t>5.5.4</t>
        </is>
      </c>
      <c r="H512" s="22" t="inlineStr">
        <is>
          <t>Presión absoluta del detector (límite de alarma PRE1)</t>
        </is>
      </c>
      <c r="I512" s="22" t="inlineStr">
        <is>
          <t>El ozonizador se apaga solo si hay alarma de flujo, presión o convertidor: resolver esa alarma primero</t>
        </is>
      </c>
      <c r="J512" s="20">
        <f>IFERROR(INDEX('APNA-370 (NOx)'!$U$9:$U$84,MATCH($B512,'APNA-370 (NOx)'!$A$9:$A$84,0)),"")</f>
        <v/>
      </c>
      <c r="K512" s="20">
        <f>IF(OR($J512="No conforme",$J512="Requiere reemplazo"),"SÍ — verificar destino","")</f>
        <v/>
      </c>
    </row>
    <row r="513" ht="36" customHeight="1">
      <c r="A513" s="20" t="inlineStr">
        <is>
          <t>APNA-370 (NOx)</t>
        </is>
      </c>
      <c r="B513" s="26" t="inlineStr">
        <is>
          <t>1.1.3</t>
        </is>
      </c>
      <c r="C513" s="22" t="inlineStr">
        <is>
          <t>Estado y brillo del display LCD</t>
        </is>
      </c>
      <c r="D513" s="25" t="inlineStr">
        <is>
          <t>Cobrable</t>
        </is>
      </c>
      <c r="E513" s="22" t="inlineStr">
        <is>
          <t>Unidad LCD, bus de datos, o inversor de retroiluminación en falla</t>
        </is>
      </c>
      <c r="F513" s="20" t="n">
        <v>1</v>
      </c>
      <c r="G513" s="26" t="inlineStr">
        <is>
          <t>7.3.1</t>
        </is>
      </c>
      <c r="H513" s="22" t="inlineStr">
        <is>
          <t>Cintas de datos planas (Tape Wire)</t>
        </is>
      </c>
      <c r="I513" s="22" t="inlineStr">
        <is>
          <t>Prueba cruzada con unidad LCD de servicio antes de reemplazar</t>
        </is>
      </c>
      <c r="J513" s="20">
        <f>IFERROR(INDEX('APNA-370 (NOx)'!$U$9:$U$84,MATCH($B513,'APNA-370 (NOx)'!$A$9:$A$84,0)),"")</f>
        <v/>
      </c>
      <c r="K513" s="20">
        <f>IF(OR($J513="No conforme",$J513="Requiere reemplazo"),"SÍ — verificar destino","")</f>
        <v/>
      </c>
    </row>
    <row r="514" ht="36" customHeight="1">
      <c r="A514" s="20" t="inlineStr">
        <is>
          <t>APNA-370 (NOx)</t>
        </is>
      </c>
      <c r="B514" s="26" t="inlineStr">
        <is>
          <t>1.1.3</t>
        </is>
      </c>
      <c r="C514" s="22" t="inlineStr">
        <is>
          <t>Estado y brillo del display LCD</t>
        </is>
      </c>
      <c r="D514" s="25" t="inlineStr">
        <is>
          <t>Cobrable</t>
        </is>
      </c>
      <c r="E514" s="22" t="inlineStr">
        <is>
          <t>Unidad LCD, bus de datos, o inversor de retroiluminación en falla</t>
        </is>
      </c>
      <c r="F514" s="20" t="n">
        <v>2</v>
      </c>
      <c r="G514" s="26" t="inlineStr">
        <is>
          <t>7.3.2</t>
        </is>
      </c>
      <c r="H514" s="22" t="inlineStr">
        <is>
          <t>Panel digitalizador táctil (Touch Panel)</t>
        </is>
      </c>
      <c r="I514" s="22" t="inlineStr">
        <is>
          <t>Prueba cruzada con unidad LCD de servicio antes de reemplazar</t>
        </is>
      </c>
      <c r="J514" s="20">
        <f>IFERROR(INDEX('APNA-370 (NOx)'!$U$9:$U$84,MATCH($B514,'APNA-370 (NOx)'!$A$9:$A$84,0)),"")</f>
        <v/>
      </c>
      <c r="K514" s="20">
        <f>IF(OR($J514="No conforme",$J514="Requiere reemplazo"),"SÍ — verificar destino","")</f>
        <v/>
      </c>
    </row>
    <row r="515" ht="36" customHeight="1">
      <c r="A515" s="20" t="inlineStr">
        <is>
          <t>APNA-370 (NOx)</t>
        </is>
      </c>
      <c r="B515" s="26" t="inlineStr">
        <is>
          <t>1.2.1</t>
        </is>
      </c>
      <c r="C515" s="22" t="inlineStr">
        <is>
          <t>Revisión de alarmas activas</t>
        </is>
      </c>
      <c r="D515" s="24" t="inlineStr">
        <is>
          <t>Bloqueante</t>
        </is>
      </c>
      <c r="E515" s="22" t="inlineStr">
        <is>
          <t>Alarma activa de proceso, de calibración o de tarjeta</t>
        </is>
      </c>
      <c r="F515" s="20" t="n">
        <v>1</v>
      </c>
      <c r="G515" s="26" t="inlineStr">
        <is>
          <t>5.2.1</t>
        </is>
      </c>
      <c r="H515" s="22" t="inlineStr">
        <is>
          <t>Valor medido del flujo de muestra (Sample Flow)</t>
        </is>
      </c>
      <c r="I515" s="22" t="inlineStr">
        <is>
          <t>Anotar el código en MENU/ALARM y entrar por la rama que corresponda</t>
        </is>
      </c>
      <c r="J515" s="20">
        <f>IFERROR(INDEX('APNA-370 (NOx)'!$U$9:$U$84,MATCH($B515,'APNA-370 (NOx)'!$A$9:$A$84,0)),"")</f>
        <v/>
      </c>
      <c r="K515" s="20">
        <f>IF(OR($J515="No conforme",$J515="Requiere reemplazo"),"SÍ — verificar destino","")</f>
        <v/>
      </c>
    </row>
    <row r="516" ht="36" customHeight="1">
      <c r="A516" s="20" t="inlineStr">
        <is>
          <t>APNA-370 (NOx)</t>
        </is>
      </c>
      <c r="B516" s="26" t="inlineStr">
        <is>
          <t>1.2.1</t>
        </is>
      </c>
      <c r="C516" s="22" t="inlineStr">
        <is>
          <t>Revisión de alarmas activas</t>
        </is>
      </c>
      <c r="D516" s="24" t="inlineStr">
        <is>
          <t>Bloqueante</t>
        </is>
      </c>
      <c r="E516" s="22" t="inlineStr">
        <is>
          <t>Alarma activa de proceso, de calibración o de tarjeta</t>
        </is>
      </c>
      <c r="F516" s="20" t="n">
        <v>2</v>
      </c>
      <c r="G516" s="26" t="inlineStr">
        <is>
          <t>5.5.4</t>
        </is>
      </c>
      <c r="H516" s="22" t="inlineStr">
        <is>
          <t>Presión absoluta del detector (límite de alarma PRE1)</t>
        </is>
      </c>
      <c r="I516" s="22" t="inlineStr">
        <is>
          <t>Anotar el código en MENU/ALARM y entrar por la rama que corresponda</t>
        </is>
      </c>
      <c r="J516" s="20">
        <f>IFERROR(INDEX('APNA-370 (NOx)'!$U$9:$U$84,MATCH($B516,'APNA-370 (NOx)'!$A$9:$A$84,0)),"")</f>
        <v/>
      </c>
      <c r="K516" s="20">
        <f>IF(OR($J516="No conforme",$J516="Requiere reemplazo"),"SÍ — verificar destino","")</f>
        <v/>
      </c>
    </row>
    <row r="517" ht="36" customHeight="1">
      <c r="A517" s="20" t="inlineStr">
        <is>
          <t>APNA-370 (NOx)</t>
        </is>
      </c>
      <c r="B517" s="26" t="inlineStr">
        <is>
          <t>1.2.1</t>
        </is>
      </c>
      <c r="C517" s="22" t="inlineStr">
        <is>
          <t>Revisión de alarmas activas</t>
        </is>
      </c>
      <c r="D517" s="24" t="inlineStr">
        <is>
          <t>Bloqueante</t>
        </is>
      </c>
      <c r="E517" s="22" t="inlineStr">
        <is>
          <t>Alarma activa de proceso, de calibración o de tarjeta</t>
        </is>
      </c>
      <c r="F517" s="20" t="n">
        <v>3</v>
      </c>
      <c r="G517" s="26" t="inlineStr">
        <is>
          <t>3.3.1</t>
        </is>
      </c>
      <c r="H517" s="22" t="inlineStr">
        <is>
          <t>Rendimiento del convertidor de NO2 a NO</t>
        </is>
      </c>
      <c r="I517" s="22" t="inlineStr">
        <is>
          <t>Anotar el código en MENU/ALARM y entrar por la rama que corresponda</t>
        </is>
      </c>
      <c r="J517" s="20">
        <f>IFERROR(INDEX('APNA-370 (NOx)'!$U$9:$U$84,MATCH($B517,'APNA-370 (NOx)'!$A$9:$A$84,0)),"")</f>
        <v/>
      </c>
      <c r="K517" s="20">
        <f>IF(OR($J517="No conforme",$J517="Requiere reemplazo"),"SÍ — verificar destino","")</f>
        <v/>
      </c>
    </row>
    <row r="518" ht="36" customHeight="1">
      <c r="A518" s="20" t="inlineStr">
        <is>
          <t>APNA-370 (NOx)</t>
        </is>
      </c>
      <c r="B518" s="26" t="inlineStr">
        <is>
          <t>1.2.1</t>
        </is>
      </c>
      <c r="C518" s="22" t="inlineStr">
        <is>
          <t>Revisión de alarmas activas</t>
        </is>
      </c>
      <c r="D518" s="24" t="inlineStr">
        <is>
          <t>Bloqueante</t>
        </is>
      </c>
      <c r="E518" s="22" t="inlineStr">
        <is>
          <t>Alarma activa de proceso, de calibración o de tarjeta</t>
        </is>
      </c>
      <c r="F518" s="20" t="n">
        <v>4</v>
      </c>
      <c r="G518" s="26" t="inlineStr">
        <is>
          <t>9.1.1</t>
        </is>
      </c>
      <c r="H518" s="22" t="inlineStr">
        <is>
          <t>Temperatura del detector (DETECTOR TEMP)</t>
        </is>
      </c>
      <c r="I518" s="22" t="inlineStr">
        <is>
          <t>Anotar el código en MENU/ALARM y entrar por la rama que corresponda</t>
        </is>
      </c>
      <c r="J518" s="20">
        <f>IFERROR(INDEX('APNA-370 (NOx)'!$U$9:$U$84,MATCH($B518,'APNA-370 (NOx)'!$A$9:$A$84,0)),"")</f>
        <v/>
      </c>
      <c r="K518" s="20">
        <f>IF(OR($J518="No conforme",$J518="Requiere reemplazo"),"SÍ — verificar destino","")</f>
        <v/>
      </c>
    </row>
    <row r="519" ht="36" customHeight="1">
      <c r="A519" s="20" t="inlineStr">
        <is>
          <t>APNA-370 (NOx)</t>
        </is>
      </c>
      <c r="B519" s="26" t="inlineStr">
        <is>
          <t>1.3.1</t>
        </is>
      </c>
      <c r="C519" s="22" t="inlineStr">
        <is>
          <t>Tiempo de calentamiento posterior al encendido</t>
        </is>
      </c>
      <c r="D519" s="23" t="inlineStr">
        <is>
          <t>Alerta</t>
        </is>
      </c>
      <c r="E519" s="22" t="inlineStr">
        <is>
          <t>Equipo encendido hace menos de 3 h: convertidor y detector aún inestables</t>
        </is>
      </c>
      <c r="F519" s="20" t="n">
        <v>1</v>
      </c>
      <c r="G519" s="26" t="inlineStr">
        <is>
          <t>9.1.1</t>
        </is>
      </c>
      <c r="H519" s="22" t="inlineStr">
        <is>
          <t>Temperatura del detector (DETECTOR TEMP)</t>
        </is>
      </c>
      <c r="I519" s="22" t="inlineStr">
        <is>
          <t>Esperar el calentamiento completo (24 a 48 h recomendadas) antes de calibrar</t>
        </is>
      </c>
      <c r="J519" s="20">
        <f>IFERROR(INDEX('APNA-370 (NOx)'!$U$9:$U$84,MATCH($B519,'APNA-370 (NOx)'!$A$9:$A$84,0)),"")</f>
        <v/>
      </c>
      <c r="K519" s="20">
        <f>IF(OR($J519="No conforme",$J519="Requiere reemplazo"),"SÍ — verificar destino","")</f>
        <v/>
      </c>
    </row>
    <row r="520" ht="36" customHeight="1">
      <c r="A520" s="20" t="inlineStr">
        <is>
          <t>APNA-370 (NOx)</t>
        </is>
      </c>
      <c r="B520" s="26" t="inlineStr">
        <is>
          <t>1.3.1</t>
        </is>
      </c>
      <c r="C520" s="22" t="inlineStr">
        <is>
          <t>Tiempo de calentamiento posterior al encendido</t>
        </is>
      </c>
      <c r="D520" s="23" t="inlineStr">
        <is>
          <t>Alerta</t>
        </is>
      </c>
      <c r="E520" s="22" t="inlineStr">
        <is>
          <t>Equipo encendido hace menos de 3 h: convertidor y detector aún inestables</t>
        </is>
      </c>
      <c r="F520" s="20" t="n">
        <v>2</v>
      </c>
      <c r="G520" s="26" t="inlineStr">
        <is>
          <t>6.2.1</t>
        </is>
      </c>
      <c r="H520" s="22" t="inlineStr">
        <is>
          <t>Tubo catalizador de reducción (COM-1)</t>
        </is>
      </c>
      <c r="I520" s="22" t="inlineStr">
        <is>
          <t>Esperar el calentamiento completo (24 a 48 h recomendadas) antes de calibrar</t>
        </is>
      </c>
      <c r="J520" s="20">
        <f>IFERROR(INDEX('APNA-370 (NOx)'!$U$9:$U$84,MATCH($B520,'APNA-370 (NOx)'!$A$9:$A$84,0)),"")</f>
        <v/>
      </c>
      <c r="K520" s="20">
        <f>IF(OR($J520="No conforme",$J520="Requiere reemplazo"),"SÍ — verificar destino","")</f>
        <v/>
      </c>
    </row>
    <row r="521" ht="36" customHeight="1">
      <c r="A521" s="20" t="inlineStr">
        <is>
          <t>APNA-370 (NOx)</t>
        </is>
      </c>
      <c r="B521" s="26" t="inlineStr">
        <is>
          <t>2.1.1</t>
        </is>
      </c>
      <c r="C521" s="22" t="inlineStr">
        <is>
          <t>Número de serie y modelo del analizador</t>
        </is>
      </c>
      <c r="D521" s="23" t="inlineStr">
        <is>
          <t>Alerta</t>
        </is>
      </c>
      <c r="E521" s="22" t="inlineStr">
        <is>
          <t>Placa ilegible, o equipo distinto al de la orden de servicio</t>
        </is>
      </c>
      <c r="F521" s="20" t="n">
        <v>1</v>
      </c>
      <c r="G521" s="26" t="inlineStr">
        <is>
          <t>2.1.2</t>
        </is>
      </c>
      <c r="H521" s="22" t="inlineStr">
        <is>
          <t>Etiqueta de inventario o control del cliente</t>
        </is>
      </c>
      <c r="I521" s="22" t="inlineStr">
        <is>
          <t>Registrar el serial real, fotografiarlo y corregir la hoja de vida</t>
        </is>
      </c>
      <c r="J521" s="20">
        <f>IFERROR(INDEX('APNA-370 (NOx)'!$U$9:$U$84,MATCH($B521,'APNA-370 (NOx)'!$A$9:$A$84,0)),"")</f>
        <v/>
      </c>
      <c r="K521" s="20">
        <f>IF(OR($J521="No conforme",$J521="Requiere reemplazo"),"SÍ — verificar destino","")</f>
        <v/>
      </c>
    </row>
    <row r="522" ht="36" customHeight="1">
      <c r="A522" s="20" t="inlineStr">
        <is>
          <t>APNA-370 (NOx)</t>
        </is>
      </c>
      <c r="B522" s="26" t="inlineStr">
        <is>
          <t>2.1.2</t>
        </is>
      </c>
      <c r="C522" s="22" t="inlineStr">
        <is>
          <t>Etiqueta de inventario o control del cliente</t>
        </is>
      </c>
      <c r="D522" s="23" t="inlineStr">
        <is>
          <t>Alerta</t>
        </is>
      </c>
      <c r="E522" s="22" t="inlineStr">
        <is>
          <t>Etiqueta ausente o ilegible: se pierde la trazabilidad con el cliente</t>
        </is>
      </c>
      <c r="F522" s="20" t="n">
        <v>1</v>
      </c>
      <c r="G522" s="26" t="inlineStr">
        <is>
          <t>2.1.1</t>
        </is>
      </c>
      <c r="H522" s="22" t="inlineStr">
        <is>
          <t>Número de serie y modelo del analizador</t>
        </is>
      </c>
      <c r="I522" s="22" t="inlineStr">
        <is>
          <t>Reponer la etiqueta de control y registrar el serial del cliente</t>
        </is>
      </c>
      <c r="J522" s="20">
        <f>IFERROR(INDEX('APNA-370 (NOx)'!$U$9:$U$84,MATCH($B522,'APNA-370 (NOx)'!$A$9:$A$84,0)),"")</f>
        <v/>
      </c>
      <c r="K522" s="20">
        <f>IF(OR($J522="No conforme",$J522="Requiere reemplazo"),"SÍ — verificar destino","")</f>
        <v/>
      </c>
    </row>
    <row r="523" ht="36" customHeight="1">
      <c r="A523" s="20" t="inlineStr">
        <is>
          <t>APNA-370 (NOx)</t>
        </is>
      </c>
      <c r="B523" s="26" t="inlineStr">
        <is>
          <t>2.2.1</t>
        </is>
      </c>
      <c r="C523" s="22" t="inlineStr">
        <is>
          <t>Número de programa HGS/HTS</t>
        </is>
      </c>
      <c r="D523" s="23" t="inlineStr">
        <is>
          <t>Alerta</t>
        </is>
      </c>
      <c r="E523" s="22" t="inlineStr">
        <is>
          <t>Programa no homologado, o CPU sustituida sin recargar la configuración</t>
        </is>
      </c>
      <c r="F523" s="20" t="n">
        <v>1</v>
      </c>
      <c r="G523" s="26" t="inlineStr">
        <is>
          <t>7.1.1</t>
        </is>
      </c>
      <c r="H523" s="22" t="inlineStr">
        <is>
          <t>Tarjeta CPU (AP-CPU-01 / AP-CPU-02)</t>
        </is>
      </c>
      <c r="I523" s="22" t="inlineStr">
        <is>
          <t>Confirmar el HGS con fábrica y recargar la configuración desde la CF antes de calibrar</t>
        </is>
      </c>
      <c r="J523" s="20">
        <f>IFERROR(INDEX('APNA-370 (NOx)'!$U$9:$U$84,MATCH($B523,'APNA-370 (NOx)'!$A$9:$A$84,0)),"")</f>
        <v/>
      </c>
      <c r="K523" s="20">
        <f>IF(OR($J523="No conforme",$J523="Requiere reemplazo"),"SÍ — verificar destino","")</f>
        <v/>
      </c>
    </row>
    <row r="524" ht="48" customHeight="1">
      <c r="A524" s="20" t="inlineStr">
        <is>
          <t>APNA-370 (NOx)</t>
        </is>
      </c>
      <c r="B524" s="26" t="inlineStr">
        <is>
          <t>3.1.1</t>
        </is>
      </c>
      <c r="C524" s="22" t="inlineStr">
        <is>
          <t>Coeficiente de calibración de cero</t>
        </is>
      </c>
      <c r="D524" s="24" t="inlineStr">
        <is>
          <t>Bloqueante</t>
        </is>
      </c>
      <c r="E524" s="22" t="inlineStr">
        <is>
          <t>Aire cero contaminado, fuga neumática, o desviación basal de la celda</t>
        </is>
      </c>
      <c r="F524" s="20" t="n">
        <v>1</v>
      </c>
      <c r="G524" s="26" t="inlineStr">
        <is>
          <t>1.3.1</t>
        </is>
      </c>
      <c r="H524" s="22" t="inlineStr">
        <is>
          <t>Tiempo de calentamiento posterior al encendido</t>
        </is>
      </c>
      <c r="I524" s="22" t="inlineStr">
        <is>
          <t>Inyectar aire cero certificado libre de NOx; si persiste, buscar fugas en portafiltros y racores</t>
        </is>
      </c>
      <c r="J524" s="20">
        <f>IFERROR(INDEX('APNA-370 (NOx)'!$U$9:$U$84,MATCH($B524,'APNA-370 (NOx)'!$A$9:$A$84,0)),"")</f>
        <v/>
      </c>
      <c r="K524" s="20">
        <f>IF(OR($J524="No conforme",$J524="Requiere reemplazo"),"SÍ — verificar destino","")</f>
        <v/>
      </c>
    </row>
    <row r="525" ht="48" customHeight="1">
      <c r="A525" s="20" t="inlineStr">
        <is>
          <t>APNA-370 (NOx)</t>
        </is>
      </c>
      <c r="B525" s="26" t="inlineStr">
        <is>
          <t>3.1.1</t>
        </is>
      </c>
      <c r="C525" s="22" t="inlineStr">
        <is>
          <t>Coeficiente de calibración de cero</t>
        </is>
      </c>
      <c r="D525" s="24" t="inlineStr">
        <is>
          <t>Bloqueante</t>
        </is>
      </c>
      <c r="E525" s="22" t="inlineStr">
        <is>
          <t>Aire cero contaminado, fuga neumática, o desviación basal de la celda</t>
        </is>
      </c>
      <c r="F525" s="20" t="n">
        <v>2</v>
      </c>
      <c r="G525" s="26" t="inlineStr">
        <is>
          <t>10.2.1</t>
        </is>
      </c>
      <c r="H525" s="22" t="inlineStr">
        <is>
          <t>Racores y férulas en los puertos traseros</t>
        </is>
      </c>
      <c r="I525" s="22" t="inlineStr">
        <is>
          <t>Inyectar aire cero certificado libre de NOx; si persiste, buscar fugas en portafiltros y racores</t>
        </is>
      </c>
      <c r="J525" s="20">
        <f>IFERROR(INDEX('APNA-370 (NOx)'!$U$9:$U$84,MATCH($B525,'APNA-370 (NOx)'!$A$9:$A$84,0)),"")</f>
        <v/>
      </c>
      <c r="K525" s="20">
        <f>IF(OR($J525="No conforme",$J525="Requiere reemplazo"),"SÍ — verificar destino","")</f>
        <v/>
      </c>
    </row>
    <row r="526" ht="48" customHeight="1">
      <c r="A526" s="20" t="inlineStr">
        <is>
          <t>APNA-370 (NOx)</t>
        </is>
      </c>
      <c r="B526" s="26" t="inlineStr">
        <is>
          <t>3.1.1</t>
        </is>
      </c>
      <c r="C526" s="22" t="inlineStr">
        <is>
          <t>Coeficiente de calibración de cero</t>
        </is>
      </c>
      <c r="D526" s="24" t="inlineStr">
        <is>
          <t>Bloqueante</t>
        </is>
      </c>
      <c r="E526" s="22" t="inlineStr">
        <is>
          <t>Aire cero contaminado, fuga neumática, o desviación basal de la celda</t>
        </is>
      </c>
      <c r="F526" s="20" t="n">
        <v>3</v>
      </c>
      <c r="G526" s="26" t="inlineStr">
        <is>
          <t>4.1.3</t>
        </is>
      </c>
      <c r="H526" s="22" t="inlineStr">
        <is>
          <t>Junta tórica del portafiltro (O-Ring G70)</t>
        </is>
      </c>
      <c r="I526" s="22" t="inlineStr">
        <is>
          <t>Inyectar aire cero certificado libre de NOx; si persiste, buscar fugas en portafiltros y racores</t>
        </is>
      </c>
      <c r="J526" s="20">
        <f>IFERROR(INDEX('APNA-370 (NOx)'!$U$9:$U$84,MATCH($B526,'APNA-370 (NOx)'!$A$9:$A$84,0)),"")</f>
        <v/>
      </c>
      <c r="K526" s="20">
        <f>IF(OR($J526="No conforme",$J526="Requiere reemplazo"),"SÍ — verificar destino","")</f>
        <v/>
      </c>
    </row>
    <row r="527" ht="48" customHeight="1">
      <c r="A527" s="20" t="inlineStr">
        <is>
          <t>APNA-370 (NOx)</t>
        </is>
      </c>
      <c r="B527" s="26" t="inlineStr">
        <is>
          <t>3.1.1</t>
        </is>
      </c>
      <c r="C527" s="22" t="inlineStr">
        <is>
          <t>Coeficiente de calibración de cero</t>
        </is>
      </c>
      <c r="D527" s="24" t="inlineStr">
        <is>
          <t>Bloqueante</t>
        </is>
      </c>
      <c r="E527" s="22" t="inlineStr">
        <is>
          <t>Aire cero contaminado, fuga neumática, o desviación basal de la celda</t>
        </is>
      </c>
      <c r="F527" s="20" t="n">
        <v>4</v>
      </c>
      <c r="G527" s="26" t="inlineStr">
        <is>
          <t>3.2.1</t>
        </is>
      </c>
      <c r="H527" s="22" t="inlineStr">
        <is>
          <t>Presión del gas patrón y del gas cero</t>
        </is>
      </c>
      <c r="I527" s="22" t="inlineStr">
        <is>
          <t>Inyectar aire cero certificado libre de NOx; si persiste, buscar fugas en portafiltros y racores</t>
        </is>
      </c>
      <c r="J527" s="20">
        <f>IFERROR(INDEX('APNA-370 (NOx)'!$U$9:$U$84,MATCH($B527,'APNA-370 (NOx)'!$A$9:$A$84,0)),"")</f>
        <v/>
      </c>
      <c r="K527" s="20">
        <f>IF(OR($J527="No conforme",$J527="Requiere reemplazo"),"SÍ — verificar destino","")</f>
        <v/>
      </c>
    </row>
    <row r="528" ht="36" customHeight="1">
      <c r="A528" s="20" t="inlineStr">
        <is>
          <t>APNA-370 (NOx)</t>
        </is>
      </c>
      <c r="B528" s="26" t="inlineStr">
        <is>
          <t>3.1.2</t>
        </is>
      </c>
      <c r="C528" s="22" t="inlineStr">
        <is>
          <t>Coeficiente de cero de fábrica</t>
        </is>
      </c>
      <c r="D528" s="24" t="inlineStr">
        <is>
          <t>Bloqueante</t>
        </is>
      </c>
      <c r="E528" s="22" t="inlineStr">
        <is>
          <t>Cuenta ADC saturada: el detector o su cadena de amplificación están fuera de punto</t>
        </is>
      </c>
      <c r="F528" s="20" t="n">
        <v>1</v>
      </c>
      <c r="G528" s="26" t="inlineStr">
        <is>
          <t>6.4.1</t>
        </is>
      </c>
      <c r="H528" s="22" t="inlineStr">
        <is>
          <t>Detector de luz de reacción</t>
        </is>
      </c>
      <c r="I528" s="22" t="inlineStr">
        <is>
          <t>Trabajo de modo servicio: no ajustar en campo sin descartar antes el detector</t>
        </is>
      </c>
      <c r="J528" s="20">
        <f>IFERROR(INDEX('APNA-370 (NOx)'!$U$9:$U$84,MATCH($B528,'APNA-370 (NOx)'!$A$9:$A$84,0)),"")</f>
        <v/>
      </c>
      <c r="K528" s="20">
        <f>IF(OR($J528="No conforme",$J528="Requiere reemplazo"),"SÍ — verificar destino","")</f>
        <v/>
      </c>
    </row>
    <row r="529" ht="36" customHeight="1">
      <c r="A529" s="20" t="inlineStr">
        <is>
          <t>APNA-370 (NOx)</t>
        </is>
      </c>
      <c r="B529" s="26" t="inlineStr">
        <is>
          <t>3.1.2</t>
        </is>
      </c>
      <c r="C529" s="22" t="inlineStr">
        <is>
          <t>Coeficiente de cero de fábrica</t>
        </is>
      </c>
      <c r="D529" s="24" t="inlineStr">
        <is>
          <t>Bloqueante</t>
        </is>
      </c>
      <c r="E529" s="22" t="inlineStr">
        <is>
          <t>Cuenta ADC saturada: el detector o su cadena de amplificación están fuera de punto</t>
        </is>
      </c>
      <c r="F529" s="20" t="n">
        <v>2</v>
      </c>
      <c r="G529" s="26" t="inlineStr">
        <is>
          <t>6.1.1</t>
        </is>
      </c>
      <c r="H529" s="22" t="inlineStr">
        <is>
          <t>Hermeticidad del reactor</t>
        </is>
      </c>
      <c r="I529" s="22" t="inlineStr">
        <is>
          <t>Trabajo de modo servicio: no ajustar en campo sin descartar antes el detector</t>
        </is>
      </c>
      <c r="J529" s="20">
        <f>IFERROR(INDEX('APNA-370 (NOx)'!$U$9:$U$84,MATCH($B529,'APNA-370 (NOx)'!$A$9:$A$84,0)),"")</f>
        <v/>
      </c>
      <c r="K529" s="20">
        <f>IF(OR($J529="No conforme",$J529="Requiere reemplazo"),"SÍ — verificar destino","")</f>
        <v/>
      </c>
    </row>
    <row r="530" ht="36" customHeight="1">
      <c r="A530" s="20" t="inlineStr">
        <is>
          <t>APNA-370 (NOx)</t>
        </is>
      </c>
      <c r="B530" s="26" t="inlineStr">
        <is>
          <t>3.1.2</t>
        </is>
      </c>
      <c r="C530" s="22" t="inlineStr">
        <is>
          <t>Coeficiente de cero de fábrica</t>
        </is>
      </c>
      <c r="D530" s="24" t="inlineStr">
        <is>
          <t>Bloqueante</t>
        </is>
      </c>
      <c r="E530" s="22" t="inlineStr">
        <is>
          <t>Cuenta ADC saturada: el detector o su cadena de amplificación están fuera de punto</t>
        </is>
      </c>
      <c r="F530" s="20" t="n">
        <v>3</v>
      </c>
      <c r="G530" s="26" t="inlineStr">
        <is>
          <t>6.4.2</t>
        </is>
      </c>
      <c r="H530" s="22" t="inlineStr">
        <is>
          <t>Limpieza de filtros ópticos y ventana de celda</t>
        </is>
      </c>
      <c r="I530" s="22" t="inlineStr">
        <is>
          <t>Trabajo de modo servicio: no ajustar en campo sin descartar antes el detector</t>
        </is>
      </c>
      <c r="J530" s="20">
        <f>IFERROR(INDEX('APNA-370 (NOx)'!$U$9:$U$84,MATCH($B530,'APNA-370 (NOx)'!$A$9:$A$84,0)),"")</f>
        <v/>
      </c>
      <c r="K530" s="20">
        <f>IF(OR($J530="No conforme",$J530="Requiere reemplazo"),"SÍ — verificar destino","")</f>
        <v/>
      </c>
    </row>
    <row r="531" ht="36" customHeight="1">
      <c r="A531" s="20" t="inlineStr">
        <is>
          <t>APNA-370 (NOx)</t>
        </is>
      </c>
      <c r="B531" s="26" t="inlineStr">
        <is>
          <t>3.1.3</t>
        </is>
      </c>
      <c r="C531" s="22" t="inlineStr">
        <is>
          <t>Coeficiente de calibración de span</t>
        </is>
      </c>
      <c r="D531" s="24" t="inlineStr">
        <is>
          <t>Bloqueante</t>
        </is>
      </c>
      <c r="E531" s="22" t="inlineStr">
        <is>
          <t>Patrón mal configurado, ozonizador sin generar, o convertidor degradado</t>
        </is>
      </c>
      <c r="F531" s="20" t="n">
        <v>1</v>
      </c>
      <c r="G531" s="26" t="inlineStr">
        <is>
          <t>3.1.4</t>
        </is>
      </c>
      <c r="H531" s="22" t="inlineStr">
        <is>
          <t>Concentración de gas de span configurada</t>
        </is>
      </c>
      <c r="I531" s="22" t="inlineStr">
        <is>
          <t>Verificar que la lámpara UV del ozonizador encienda antes de atribuir el fallo al patrón</t>
        </is>
      </c>
      <c r="J531" s="20">
        <f>IFERROR(INDEX('APNA-370 (NOx)'!$U$9:$U$84,MATCH($B531,'APNA-370 (NOx)'!$A$9:$A$84,0)),"")</f>
        <v/>
      </c>
      <c r="K531" s="20">
        <f>IF(OR($J531="No conforme",$J531="Requiere reemplazo"),"SÍ — verificar destino","")</f>
        <v/>
      </c>
    </row>
    <row r="532" ht="36" customHeight="1">
      <c r="A532" s="20" t="inlineStr">
        <is>
          <t>APNA-370 (NOx)</t>
        </is>
      </c>
      <c r="B532" s="26" t="inlineStr">
        <is>
          <t>3.1.3</t>
        </is>
      </c>
      <c r="C532" s="22" t="inlineStr">
        <is>
          <t>Coeficiente de calibración de span</t>
        </is>
      </c>
      <c r="D532" s="24" t="inlineStr">
        <is>
          <t>Bloqueante</t>
        </is>
      </c>
      <c r="E532" s="22" t="inlineStr">
        <is>
          <t>Patrón mal configurado, ozonizador sin generar, o convertidor degradado</t>
        </is>
      </c>
      <c r="F532" s="20" t="n">
        <v>2</v>
      </c>
      <c r="G532" s="26" t="inlineStr">
        <is>
          <t>1.1.2</t>
        </is>
      </c>
      <c r="H532" s="22" t="inlineStr">
        <is>
          <t>Operación del ozonizador interno</t>
        </is>
      </c>
      <c r="I532" s="22" t="inlineStr">
        <is>
          <t>Verificar que la lámpara UV del ozonizador encienda antes de atribuir el fallo al patrón</t>
        </is>
      </c>
      <c r="J532" s="20">
        <f>IFERROR(INDEX('APNA-370 (NOx)'!$U$9:$U$84,MATCH($B532,'APNA-370 (NOx)'!$A$9:$A$84,0)),"")</f>
        <v/>
      </c>
      <c r="K532" s="20">
        <f>IF(OR($J532="No conforme",$J532="Requiere reemplazo"),"SÍ — verificar destino","")</f>
        <v/>
      </c>
    </row>
    <row r="533" ht="36" customHeight="1">
      <c r="A533" s="20" t="inlineStr">
        <is>
          <t>APNA-370 (NOx)</t>
        </is>
      </c>
      <c r="B533" s="26" t="inlineStr">
        <is>
          <t>3.1.3</t>
        </is>
      </c>
      <c r="C533" s="22" t="inlineStr">
        <is>
          <t>Coeficiente de calibración de span</t>
        </is>
      </c>
      <c r="D533" s="24" t="inlineStr">
        <is>
          <t>Bloqueante</t>
        </is>
      </c>
      <c r="E533" s="22" t="inlineStr">
        <is>
          <t>Patrón mal configurado, ozonizador sin generar, o convertidor degradado</t>
        </is>
      </c>
      <c r="F533" s="20" t="n">
        <v>3</v>
      </c>
      <c r="G533" s="26" t="inlineStr">
        <is>
          <t>3.3.1</t>
        </is>
      </c>
      <c r="H533" s="22" t="inlineStr">
        <is>
          <t>Rendimiento del convertidor de NO2 a NO</t>
        </is>
      </c>
      <c r="I533" s="22" t="inlineStr">
        <is>
          <t>Verificar que la lámpara UV del ozonizador encienda antes de atribuir el fallo al patrón</t>
        </is>
      </c>
      <c r="J533" s="20">
        <f>IFERROR(INDEX('APNA-370 (NOx)'!$U$9:$U$84,MATCH($B533,'APNA-370 (NOx)'!$A$9:$A$84,0)),"")</f>
        <v/>
      </c>
      <c r="K533" s="20">
        <f>IF(OR($J533="No conforme",$J533="Requiere reemplazo"),"SÍ — verificar destino","")</f>
        <v/>
      </c>
    </row>
    <row r="534" ht="36" customHeight="1">
      <c r="A534" s="20" t="inlineStr">
        <is>
          <t>APNA-370 (NOx)</t>
        </is>
      </c>
      <c r="B534" s="26" t="inlineStr">
        <is>
          <t>3.1.3</t>
        </is>
      </c>
      <c r="C534" s="22" t="inlineStr">
        <is>
          <t>Coeficiente de calibración de span</t>
        </is>
      </c>
      <c r="D534" s="24" t="inlineStr">
        <is>
          <t>Bloqueante</t>
        </is>
      </c>
      <c r="E534" s="22" t="inlineStr">
        <is>
          <t>Patrón mal configurado, ozonizador sin generar, o convertidor degradado</t>
        </is>
      </c>
      <c r="F534" s="20" t="n">
        <v>4</v>
      </c>
      <c r="G534" s="26" t="inlineStr">
        <is>
          <t>3.2.1</t>
        </is>
      </c>
      <c r="H534" s="22" t="inlineStr">
        <is>
          <t>Presión del gas patrón y del gas cero</t>
        </is>
      </c>
      <c r="I534" s="22" t="inlineStr">
        <is>
          <t>Verificar que la lámpara UV del ozonizador encienda antes de atribuir el fallo al patrón</t>
        </is>
      </c>
      <c r="J534" s="20">
        <f>IFERROR(INDEX('APNA-370 (NOx)'!$U$9:$U$84,MATCH($B534,'APNA-370 (NOx)'!$A$9:$A$84,0)),"")</f>
        <v/>
      </c>
      <c r="K534" s="20">
        <f>IF(OR($J534="No conforme",$J534="Requiere reemplazo"),"SÍ — verificar destino","")</f>
        <v/>
      </c>
    </row>
    <row r="535" ht="36" customHeight="1">
      <c r="A535" s="20" t="inlineStr">
        <is>
          <t>APNA-370 (NOx)</t>
        </is>
      </c>
      <c r="B535" s="26" t="inlineStr">
        <is>
          <t>3.1.4</t>
        </is>
      </c>
      <c r="C535" s="22" t="inlineStr">
        <is>
          <t>Concentración de gas de span configurada</t>
        </is>
      </c>
      <c r="D535" s="24" t="inlineStr">
        <is>
          <t>Bloqueante</t>
        </is>
      </c>
      <c r="E535" s="22" t="inlineStr">
        <is>
          <t>Valor no coincide con el certificado del cilindro en uso</t>
        </is>
      </c>
      <c r="F535" s="20" t="n">
        <v>1</v>
      </c>
      <c r="G535" s="26" t="inlineStr">
        <is>
          <t>3.1.3</t>
        </is>
      </c>
      <c r="H535" s="22" t="inlineStr">
        <is>
          <t>Coeficiente de calibración de span</t>
        </is>
      </c>
      <c r="I535" s="22" t="inlineStr">
        <is>
          <t>Corregir el valor en el menú y repetir la calibración de span</t>
        </is>
      </c>
      <c r="J535" s="20">
        <f>IFERROR(INDEX('APNA-370 (NOx)'!$U$9:$U$84,MATCH($B535,'APNA-370 (NOx)'!$A$9:$A$84,0)),"")</f>
        <v/>
      </c>
      <c r="K535" s="20">
        <f>IF(OR($J535="No conforme",$J535="Requiere reemplazo"),"SÍ — verificar destino","")</f>
        <v/>
      </c>
    </row>
    <row r="536" ht="36" customHeight="1">
      <c r="A536" s="20" t="inlineStr">
        <is>
          <t>APNA-370 (NOx)</t>
        </is>
      </c>
      <c r="B536" s="26" t="inlineStr">
        <is>
          <t>3.2.1</t>
        </is>
      </c>
      <c r="C536" s="22" t="inlineStr">
        <is>
          <t>Presión del gas patrón y del gas cero</t>
        </is>
      </c>
      <c r="D536" s="24" t="inlineStr">
        <is>
          <t>Bloqueante</t>
        </is>
      </c>
      <c r="E536" s="22" t="inlineStr">
        <is>
          <t>Regulador mal ajustado o cilindro despresurizado</t>
        </is>
      </c>
      <c r="F536" s="20" t="n">
        <v>1</v>
      </c>
      <c r="G536" s="26" t="inlineStr">
        <is>
          <t>3.1.3</t>
        </is>
      </c>
      <c r="H536" s="22" t="inlineStr">
        <is>
          <t>Coeficiente de calibración de span</t>
        </is>
      </c>
      <c r="I536" s="22" t="inlineStr">
        <is>
          <t>Reajustar el regulador de doble etapa y repetir la calibración</t>
        </is>
      </c>
      <c r="J536" s="20">
        <f>IFERROR(INDEX('APNA-370 (NOx)'!$U$9:$U$84,MATCH($B536,'APNA-370 (NOx)'!$A$9:$A$84,0)),"")</f>
        <v/>
      </c>
      <c r="K536" s="20">
        <f>IF(OR($J536="No conforme",$J536="Requiere reemplazo"),"SÍ — verificar destino","")</f>
        <v/>
      </c>
    </row>
    <row r="537" ht="36" customHeight="1">
      <c r="A537" s="20" t="inlineStr">
        <is>
          <t>APNA-370 (NOx)</t>
        </is>
      </c>
      <c r="B537" s="26" t="inlineStr">
        <is>
          <t>3.2.1</t>
        </is>
      </c>
      <c r="C537" s="22" t="inlineStr">
        <is>
          <t>Presión del gas patrón y del gas cero</t>
        </is>
      </c>
      <c r="D537" s="24" t="inlineStr">
        <is>
          <t>Bloqueante</t>
        </is>
      </c>
      <c r="E537" s="22" t="inlineStr">
        <is>
          <t>Regulador mal ajustado o cilindro despresurizado</t>
        </is>
      </c>
      <c r="F537" s="20" t="n">
        <v>2</v>
      </c>
      <c r="G537" s="26" t="inlineStr">
        <is>
          <t>3.1.1</t>
        </is>
      </c>
      <c r="H537" s="22" t="inlineStr">
        <is>
          <t>Coeficiente de calibración de cero</t>
        </is>
      </c>
      <c r="I537" s="22" t="inlineStr">
        <is>
          <t>Reajustar el regulador de doble etapa y repetir la calibración</t>
        </is>
      </c>
      <c r="J537" s="20">
        <f>IFERROR(INDEX('APNA-370 (NOx)'!$U$9:$U$84,MATCH($B537,'APNA-370 (NOx)'!$A$9:$A$84,0)),"")</f>
        <v/>
      </c>
      <c r="K537" s="20">
        <f>IF(OR($J537="No conforme",$J537="Requiere reemplazo"),"SÍ — verificar destino","")</f>
        <v/>
      </c>
    </row>
    <row r="538" ht="36" customHeight="1">
      <c r="A538" s="20" t="inlineStr">
        <is>
          <t>APNA-370 (NOx)</t>
        </is>
      </c>
      <c r="B538" s="26" t="inlineStr">
        <is>
          <t>3.2.2</t>
        </is>
      </c>
      <c r="C538" s="22" t="inlineStr">
        <is>
          <t>Presión del gas de muestra</t>
        </is>
      </c>
      <c r="D538" s="24" t="inlineStr">
        <is>
          <t>Bloqueante</t>
        </is>
      </c>
      <c r="E538" s="22" t="inlineStr">
        <is>
          <t>Restricción o sobrepresión en la línea de entrada</t>
        </is>
      </c>
      <c r="F538" s="20" t="n">
        <v>1</v>
      </c>
      <c r="G538" s="26" t="inlineStr">
        <is>
          <t>5.2.1</t>
        </is>
      </c>
      <c r="H538" s="22" t="inlineStr">
        <is>
          <t>Valor medido del flujo de muestra (Sample Flow)</t>
        </is>
      </c>
      <c r="I538" s="22" t="inlineStr">
        <is>
          <t>Liberar la restricción; una presión de entrada inestable desajusta todo el lazo neumático</t>
        </is>
      </c>
      <c r="J538" s="20">
        <f>IFERROR(INDEX('APNA-370 (NOx)'!$U$9:$U$84,MATCH($B538,'APNA-370 (NOx)'!$A$9:$A$84,0)),"")</f>
        <v/>
      </c>
      <c r="K538" s="20">
        <f>IF(OR($J538="No conforme",$J538="Requiere reemplazo"),"SÍ — verificar destino","")</f>
        <v/>
      </c>
    </row>
    <row r="539" ht="36" customHeight="1">
      <c r="A539" s="20" t="inlineStr">
        <is>
          <t>APNA-370 (NOx)</t>
        </is>
      </c>
      <c r="B539" s="26" t="inlineStr">
        <is>
          <t>3.2.2</t>
        </is>
      </c>
      <c r="C539" s="22" t="inlineStr">
        <is>
          <t>Presión del gas de muestra</t>
        </is>
      </c>
      <c r="D539" s="24" t="inlineStr">
        <is>
          <t>Bloqueante</t>
        </is>
      </c>
      <c r="E539" s="22" t="inlineStr">
        <is>
          <t>Restricción o sobrepresión en la línea de entrada</t>
        </is>
      </c>
      <c r="F539" s="20" t="n">
        <v>2</v>
      </c>
      <c r="G539" s="26" t="inlineStr">
        <is>
          <t>10.2.1</t>
        </is>
      </c>
      <c r="H539" s="22" t="inlineStr">
        <is>
          <t>Racores y férulas en los puertos traseros</t>
        </is>
      </c>
      <c r="I539" s="22" t="inlineStr">
        <is>
          <t>Liberar la restricción; una presión de entrada inestable desajusta todo el lazo neumático</t>
        </is>
      </c>
      <c r="J539" s="20">
        <f>IFERROR(INDEX('APNA-370 (NOx)'!$U$9:$U$84,MATCH($B539,'APNA-370 (NOx)'!$A$9:$A$84,0)),"")</f>
        <v/>
      </c>
      <c r="K539" s="20">
        <f>IF(OR($J539="No conforme",$J539="Requiere reemplazo"),"SÍ — verificar destino","")</f>
        <v/>
      </c>
    </row>
    <row r="540" ht="36" customHeight="1">
      <c r="A540" s="20" t="inlineStr">
        <is>
          <t>APNA-370 (NOx)</t>
        </is>
      </c>
      <c r="B540" s="26" t="inlineStr">
        <is>
          <t>3.2.3</t>
        </is>
      </c>
      <c r="C540" s="22" t="inlineStr">
        <is>
          <t>Presión del gas de escape</t>
        </is>
      </c>
      <c r="D540" s="23" t="inlineStr">
        <is>
          <t>Alerta</t>
        </is>
      </c>
      <c r="E540" s="22" t="inlineStr">
        <is>
          <t>Línea de escape obstruida o descargando contra presión</t>
        </is>
      </c>
      <c r="F540" s="20" t="n">
        <v>1</v>
      </c>
      <c r="G540" s="26" t="inlineStr">
        <is>
          <t>5.5.4</t>
        </is>
      </c>
      <c r="H540" s="22" t="inlineStr">
        <is>
          <t>Presión absoluta del detector (límite de alarma PRE1)</t>
        </is>
      </c>
      <c r="I540" s="22" t="inlineStr">
        <is>
          <t>Liberar la línea de escape a un punto seguro y sin restricción</t>
        </is>
      </c>
      <c r="J540" s="20">
        <f>IFERROR(INDEX('APNA-370 (NOx)'!$U$9:$U$84,MATCH($B540,'APNA-370 (NOx)'!$A$9:$A$84,0)),"")</f>
        <v/>
      </c>
      <c r="K540" s="20">
        <f>IF(OR($J540="No conforme",$J540="Requiere reemplazo"),"SÍ — verificar destino","")</f>
        <v/>
      </c>
    </row>
    <row r="541" ht="48" customHeight="1">
      <c r="A541" s="20" t="inlineStr">
        <is>
          <t>APNA-370 (NOx)</t>
        </is>
      </c>
      <c r="B541" s="26" t="inlineStr">
        <is>
          <t>3.3.1</t>
        </is>
      </c>
      <c r="C541" s="22" t="inlineStr">
        <is>
          <t>Rendimiento del convertidor de NO2 a NO</t>
        </is>
      </c>
      <c r="D541" s="24" t="inlineStr">
        <is>
          <t>Bloqueante</t>
        </is>
      </c>
      <c r="E541" s="22" t="inlineStr">
        <is>
          <t>Catalizador COM-1 agotado, fuga en la línea del convertidor, o temperatura incorrecta</t>
        </is>
      </c>
      <c r="F541" s="20" t="n">
        <v>1</v>
      </c>
      <c r="G541" s="26" t="inlineStr">
        <is>
          <t>6.2.1</t>
        </is>
      </c>
      <c r="H541" s="22" t="inlineStr">
        <is>
          <t>Tubo catalizador de reducción (COM-1)</t>
        </is>
      </c>
      <c r="I541" s="22" t="inlineStr">
        <is>
          <t>Repetir la GPT tras estabilizar; si sigue por debajo de 96 %, reemplazar el tubo catalizador COM-1</t>
        </is>
      </c>
      <c r="J541" s="20">
        <f>IFERROR(INDEX('APNA-370 (NOx)'!$U$9:$U$84,MATCH($B541,'APNA-370 (NOx)'!$A$9:$A$84,0)),"")</f>
        <v/>
      </c>
      <c r="K541" s="20">
        <f>IF(OR($J541="No conforme",$J541="Requiere reemplazo"),"SÍ — verificar destino","")</f>
        <v/>
      </c>
    </row>
    <row r="542" ht="48" customHeight="1">
      <c r="A542" s="20" t="inlineStr">
        <is>
          <t>APNA-370 (NOx)</t>
        </is>
      </c>
      <c r="B542" s="26" t="inlineStr">
        <is>
          <t>3.3.1</t>
        </is>
      </c>
      <c r="C542" s="22" t="inlineStr">
        <is>
          <t>Rendimiento del convertidor de NO2 a NO</t>
        </is>
      </c>
      <c r="D542" s="24" t="inlineStr">
        <is>
          <t>Bloqueante</t>
        </is>
      </c>
      <c r="E542" s="22" t="inlineStr">
        <is>
          <t>Catalizador COM-1 agotado, fuga en la línea del convertidor, o temperatura incorrecta</t>
        </is>
      </c>
      <c r="F542" s="20" t="n">
        <v>2</v>
      </c>
      <c r="G542" s="26" t="inlineStr">
        <is>
          <t>6.1.1</t>
        </is>
      </c>
      <c r="H542" s="22" t="inlineStr">
        <is>
          <t>Hermeticidad del reactor</t>
        </is>
      </c>
      <c r="I542" s="22" t="inlineStr">
        <is>
          <t>Repetir la GPT tras estabilizar; si sigue por debajo de 96 %, reemplazar el tubo catalizador COM-1</t>
        </is>
      </c>
      <c r="J542" s="20">
        <f>IFERROR(INDEX('APNA-370 (NOx)'!$U$9:$U$84,MATCH($B542,'APNA-370 (NOx)'!$A$9:$A$84,0)),"")</f>
        <v/>
      </c>
      <c r="K542" s="20">
        <f>IF(OR($J542="No conforme",$J542="Requiere reemplazo"),"SÍ — verificar destino","")</f>
        <v/>
      </c>
    </row>
    <row r="543" ht="48" customHeight="1">
      <c r="A543" s="20" t="inlineStr">
        <is>
          <t>APNA-370 (NOx)</t>
        </is>
      </c>
      <c r="B543" s="26" t="inlineStr">
        <is>
          <t>3.3.1</t>
        </is>
      </c>
      <c r="C543" s="22" t="inlineStr">
        <is>
          <t>Rendimiento del convertidor de NO2 a NO</t>
        </is>
      </c>
      <c r="D543" s="24" t="inlineStr">
        <is>
          <t>Bloqueante</t>
        </is>
      </c>
      <c r="E543" s="22" t="inlineStr">
        <is>
          <t>Catalizador COM-1 agotado, fuga en la línea del convertidor, o temperatura incorrecta</t>
        </is>
      </c>
      <c r="F543" s="20" t="n">
        <v>3</v>
      </c>
      <c r="G543" s="26" t="inlineStr">
        <is>
          <t>1.3.1</t>
        </is>
      </c>
      <c r="H543" s="22" t="inlineStr">
        <is>
          <t>Tiempo de calentamiento posterior al encendido</t>
        </is>
      </c>
      <c r="I543" s="22" t="inlineStr">
        <is>
          <t>Repetir la GPT tras estabilizar; si sigue por debajo de 96 %, reemplazar el tubo catalizador COM-1</t>
        </is>
      </c>
      <c r="J543" s="20">
        <f>IFERROR(INDEX('APNA-370 (NOx)'!$U$9:$U$84,MATCH($B543,'APNA-370 (NOx)'!$A$9:$A$84,0)),"")</f>
        <v/>
      </c>
      <c r="K543" s="20">
        <f>IF(OR($J543="No conforme",$J543="Requiere reemplazo"),"SÍ — verificar destino","")</f>
        <v/>
      </c>
    </row>
    <row r="544" ht="36" customHeight="1">
      <c r="A544" s="20" t="inlineStr">
        <is>
          <t>APNA-370 (NOx)</t>
        </is>
      </c>
      <c r="B544" s="26" t="inlineStr">
        <is>
          <t>3.4.1</t>
        </is>
      </c>
      <c r="C544" s="22" t="inlineStr">
        <is>
          <t>Deriva del cero diaria (Zero Drift)</t>
        </is>
      </c>
      <c r="D544" s="24" t="inlineStr">
        <is>
          <t>Bloqueante</t>
        </is>
      </c>
      <c r="E544" s="22" t="inlineStr">
        <is>
          <t>Fuga neumática, sílica gel saturada, o inestabilidad térmica de la sala</t>
        </is>
      </c>
      <c r="F544" s="20" t="n">
        <v>1</v>
      </c>
      <c r="G544" s="26" t="inlineStr">
        <is>
          <t>10.2.1</t>
        </is>
      </c>
      <c r="H544" s="22" t="inlineStr">
        <is>
          <t>Racores y férulas en los puertos traseros</t>
        </is>
      </c>
      <c r="I544" s="22" t="inlineStr">
        <is>
          <t>Corregir la causa antes de recalibrar; recalibrar sin corregir solo enmascara la deriva</t>
        </is>
      </c>
      <c r="J544" s="20">
        <f>IFERROR(INDEX('APNA-370 (NOx)'!$U$9:$U$84,MATCH($B544,'APNA-370 (NOx)'!$A$9:$A$84,0)),"")</f>
        <v/>
      </c>
      <c r="K544" s="20">
        <f>IF(OR($J544="No conforme",$J544="Requiere reemplazo"),"SÍ — verificar destino","")</f>
        <v/>
      </c>
    </row>
    <row r="545" ht="36" customHeight="1">
      <c r="A545" s="20" t="inlineStr">
        <is>
          <t>APNA-370 (NOx)</t>
        </is>
      </c>
      <c r="B545" s="26" t="inlineStr">
        <is>
          <t>3.4.1</t>
        </is>
      </c>
      <c r="C545" s="22" t="inlineStr">
        <is>
          <t>Deriva del cero diaria (Zero Drift)</t>
        </is>
      </c>
      <c r="D545" s="24" t="inlineStr">
        <is>
          <t>Bloqueante</t>
        </is>
      </c>
      <c r="E545" s="22" t="inlineStr">
        <is>
          <t>Fuga neumática, sílica gel saturada, o inestabilidad térmica de la sala</t>
        </is>
      </c>
      <c r="F545" s="20" t="n">
        <v>2</v>
      </c>
      <c r="G545" s="26" t="inlineStr">
        <is>
          <t>6.6.1</t>
        </is>
      </c>
      <c r="H545" s="22" t="inlineStr">
        <is>
          <t>Contenedores de gel de sílice (Dryer D-1)</t>
        </is>
      </c>
      <c r="I545" s="22" t="inlineStr">
        <is>
          <t>Corregir la causa antes de recalibrar; recalibrar sin corregir solo enmascara la deriva</t>
        </is>
      </c>
      <c r="J545" s="20">
        <f>IFERROR(INDEX('APNA-370 (NOx)'!$U$9:$U$84,MATCH($B545,'APNA-370 (NOx)'!$A$9:$A$84,0)),"")</f>
        <v/>
      </c>
      <c r="K545" s="20">
        <f>IF(OR($J545="No conforme",$J545="Requiere reemplazo"),"SÍ — verificar destino","")</f>
        <v/>
      </c>
    </row>
    <row r="546" ht="36" customHeight="1">
      <c r="A546" s="20" t="inlineStr">
        <is>
          <t>APNA-370 (NOx)</t>
        </is>
      </c>
      <c r="B546" s="26" t="inlineStr">
        <is>
          <t>3.4.1</t>
        </is>
      </c>
      <c r="C546" s="22" t="inlineStr">
        <is>
          <t>Deriva del cero diaria (Zero Drift)</t>
        </is>
      </c>
      <c r="D546" s="24" t="inlineStr">
        <is>
          <t>Bloqueante</t>
        </is>
      </c>
      <c r="E546" s="22" t="inlineStr">
        <is>
          <t>Fuga neumática, sílica gel saturada, o inestabilidad térmica de la sala</t>
        </is>
      </c>
      <c r="F546" s="20" t="n">
        <v>3</v>
      </c>
      <c r="G546" s="26" t="inlineStr">
        <is>
          <t>10.3.1</t>
        </is>
      </c>
      <c r="H546" s="22" t="inlineStr">
        <is>
          <t>Rango de temperatura ambiente del sitio</t>
        </is>
      </c>
      <c r="I546" s="22" t="inlineStr">
        <is>
          <t>Corregir la causa antes de recalibrar; recalibrar sin corregir solo enmascara la deriva</t>
        </is>
      </c>
      <c r="J546" s="20">
        <f>IFERROR(INDEX('APNA-370 (NOx)'!$U$9:$U$84,MATCH($B546,'APNA-370 (NOx)'!$A$9:$A$84,0)),"")</f>
        <v/>
      </c>
      <c r="K546" s="20">
        <f>IF(OR($J546="No conforme",$J546="Requiere reemplazo"),"SÍ — verificar destino","")</f>
        <v/>
      </c>
    </row>
    <row r="547" ht="36" customHeight="1">
      <c r="A547" s="20" t="inlineStr">
        <is>
          <t>APNA-370 (NOx)</t>
        </is>
      </c>
      <c r="B547" s="26" t="inlineStr">
        <is>
          <t>3.4.2</t>
        </is>
      </c>
      <c r="C547" s="22" t="inlineStr">
        <is>
          <t>Deriva del cero semanal (Zero Drift)</t>
        </is>
      </c>
      <c r="D547" s="24" t="inlineStr">
        <is>
          <t>Bloqueante</t>
        </is>
      </c>
      <c r="E547" s="22" t="inlineStr">
        <is>
          <t>Degradación progresiva del secador o del deozonizador de escape</t>
        </is>
      </c>
      <c r="F547" s="20" t="n">
        <v>1</v>
      </c>
      <c r="G547" s="26" t="inlineStr">
        <is>
          <t>6.6.1</t>
        </is>
      </c>
      <c r="H547" s="22" t="inlineStr">
        <is>
          <t>Contenedores de gel de sílice (Dryer D-1)</t>
        </is>
      </c>
      <c r="I547" s="22" t="inlineStr">
        <is>
          <t>Reemplazar el consumible agotado y repetir el seguimiento semanal</t>
        </is>
      </c>
      <c r="J547" s="20">
        <f>IFERROR(INDEX('APNA-370 (NOx)'!$U$9:$U$84,MATCH($B547,'APNA-370 (NOx)'!$A$9:$A$84,0)),"")</f>
        <v/>
      </c>
      <c r="K547" s="20">
        <f>IF(OR($J547="No conforme",$J547="Requiere reemplazo"),"SÍ — verificar destino","")</f>
        <v/>
      </c>
    </row>
    <row r="548" ht="36" customHeight="1">
      <c r="A548" s="20" t="inlineStr">
        <is>
          <t>APNA-370 (NOx)</t>
        </is>
      </c>
      <c r="B548" s="26" t="inlineStr">
        <is>
          <t>3.4.2</t>
        </is>
      </c>
      <c r="C548" s="22" t="inlineStr">
        <is>
          <t>Deriva del cero semanal (Zero Drift)</t>
        </is>
      </c>
      <c r="D548" s="24" t="inlineStr">
        <is>
          <t>Bloqueante</t>
        </is>
      </c>
      <c r="E548" s="22" t="inlineStr">
        <is>
          <t>Degradación progresiva del secador o del deozonizador de escape</t>
        </is>
      </c>
      <c r="F548" s="20" t="n">
        <v>2</v>
      </c>
      <c r="G548" s="26" t="inlineStr">
        <is>
          <t>6.5.1</t>
        </is>
      </c>
      <c r="H548" s="22" t="inlineStr">
        <is>
          <t>Catalizador de ozono de escape (DO-1 / Deozonizer)</t>
        </is>
      </c>
      <c r="I548" s="22" t="inlineStr">
        <is>
          <t>Reemplazar el consumible agotado y repetir el seguimiento semanal</t>
        </is>
      </c>
      <c r="J548" s="20">
        <f>IFERROR(INDEX('APNA-370 (NOx)'!$U$9:$U$84,MATCH($B548,'APNA-370 (NOx)'!$A$9:$A$84,0)),"")</f>
        <v/>
      </c>
      <c r="K548" s="20">
        <f>IF(OR($J548="No conforme",$J548="Requiere reemplazo"),"SÍ — verificar destino","")</f>
        <v/>
      </c>
    </row>
    <row r="549" ht="36" customHeight="1">
      <c r="A549" s="20" t="inlineStr">
        <is>
          <t>APNA-370 (NOx)</t>
        </is>
      </c>
      <c r="B549" s="26" t="inlineStr">
        <is>
          <t>3.4.3</t>
        </is>
      </c>
      <c r="C549" s="22" t="inlineStr">
        <is>
          <t>Deriva del span diaria (Span Drift)</t>
        </is>
      </c>
      <c r="D549" s="24" t="inlineStr">
        <is>
          <t>Bloqueante</t>
        </is>
      </c>
      <c r="E549" s="22" t="inlineStr">
        <is>
          <t>Ozonizador inestable, óptica sucia, o caudal fluctuante</t>
        </is>
      </c>
      <c r="F549" s="20" t="n">
        <v>1</v>
      </c>
      <c r="G549" s="26" t="inlineStr">
        <is>
          <t>1.1.2</t>
        </is>
      </c>
      <c r="H549" s="22" t="inlineStr">
        <is>
          <t>Operación del ozonizador interno</t>
        </is>
      </c>
      <c r="I549" s="22" t="inlineStr">
        <is>
          <t>Recorrer la rama del ozonizador y la óptica antes de reajustar el span</t>
        </is>
      </c>
      <c r="J549" s="20">
        <f>IFERROR(INDEX('APNA-370 (NOx)'!$U$9:$U$84,MATCH($B549,'APNA-370 (NOx)'!$A$9:$A$84,0)),"")</f>
        <v/>
      </c>
      <c r="K549" s="20">
        <f>IF(OR($J549="No conforme",$J549="Requiere reemplazo"),"SÍ — verificar destino","")</f>
        <v/>
      </c>
    </row>
    <row r="550" ht="36" customHeight="1">
      <c r="A550" s="20" t="inlineStr">
        <is>
          <t>APNA-370 (NOx)</t>
        </is>
      </c>
      <c r="B550" s="26" t="inlineStr">
        <is>
          <t>3.4.3</t>
        </is>
      </c>
      <c r="C550" s="22" t="inlineStr">
        <is>
          <t>Deriva del span diaria (Span Drift)</t>
        </is>
      </c>
      <c r="D550" s="24" t="inlineStr">
        <is>
          <t>Bloqueante</t>
        </is>
      </c>
      <c r="E550" s="22" t="inlineStr">
        <is>
          <t>Ozonizador inestable, óptica sucia, o caudal fluctuante</t>
        </is>
      </c>
      <c r="F550" s="20" t="n">
        <v>2</v>
      </c>
      <c r="G550" s="26" t="inlineStr">
        <is>
          <t>6.4.2</t>
        </is>
      </c>
      <c r="H550" s="22" t="inlineStr">
        <is>
          <t>Limpieza de filtros ópticos y ventana de celda</t>
        </is>
      </c>
      <c r="I550" s="22" t="inlineStr">
        <is>
          <t>Recorrer la rama del ozonizador y la óptica antes de reajustar el span</t>
        </is>
      </c>
      <c r="J550" s="20">
        <f>IFERROR(INDEX('APNA-370 (NOx)'!$U$9:$U$84,MATCH($B550,'APNA-370 (NOx)'!$A$9:$A$84,0)),"")</f>
        <v/>
      </c>
      <c r="K550" s="20">
        <f>IF(OR($J550="No conforme",$J550="Requiere reemplazo"),"SÍ — verificar destino","")</f>
        <v/>
      </c>
    </row>
    <row r="551" ht="36" customHeight="1">
      <c r="A551" s="20" t="inlineStr">
        <is>
          <t>APNA-370 (NOx)</t>
        </is>
      </c>
      <c r="B551" s="26" t="inlineStr">
        <is>
          <t>3.4.3</t>
        </is>
      </c>
      <c r="C551" s="22" t="inlineStr">
        <is>
          <t>Deriva del span diaria (Span Drift)</t>
        </is>
      </c>
      <c r="D551" s="24" t="inlineStr">
        <is>
          <t>Bloqueante</t>
        </is>
      </c>
      <c r="E551" s="22" t="inlineStr">
        <is>
          <t>Ozonizador inestable, óptica sucia, o caudal fluctuante</t>
        </is>
      </c>
      <c r="F551" s="20" t="n">
        <v>3</v>
      </c>
      <c r="G551" s="26" t="inlineStr">
        <is>
          <t>5.2.1</t>
        </is>
      </c>
      <c r="H551" s="22" t="inlineStr">
        <is>
          <t>Valor medido del flujo de muestra (Sample Flow)</t>
        </is>
      </c>
      <c r="I551" s="22" t="inlineStr">
        <is>
          <t>Recorrer la rama del ozonizador y la óptica antes de reajustar el span</t>
        </is>
      </c>
      <c r="J551" s="20">
        <f>IFERROR(INDEX('APNA-370 (NOx)'!$U$9:$U$84,MATCH($B551,'APNA-370 (NOx)'!$A$9:$A$84,0)),"")</f>
        <v/>
      </c>
      <c r="K551" s="20">
        <f>IF(OR($J551="No conforme",$J551="Requiere reemplazo"),"SÍ — verificar destino","")</f>
        <v/>
      </c>
    </row>
    <row r="552" ht="36" customHeight="1">
      <c r="A552" s="20" t="inlineStr">
        <is>
          <t>APNA-370 (NOx)</t>
        </is>
      </c>
      <c r="B552" s="26" t="inlineStr">
        <is>
          <t>3.4.4</t>
        </is>
      </c>
      <c r="C552" s="22" t="inlineStr">
        <is>
          <t>Deriva del span semanal (Span Drift)</t>
        </is>
      </c>
      <c r="D552" s="24" t="inlineStr">
        <is>
          <t>Bloqueante</t>
        </is>
      </c>
      <c r="E552" s="22" t="inlineStr">
        <is>
          <t>Envejecimiento de la lámpara del ozonizador o degradación del convertidor</t>
        </is>
      </c>
      <c r="F552" s="20" t="n">
        <v>1</v>
      </c>
      <c r="G552" s="26" t="inlineStr">
        <is>
          <t>6.3.2</t>
        </is>
      </c>
      <c r="H552" s="22" t="inlineStr">
        <is>
          <t>Protector de PTFE de la lámpara UV (UV liner)</t>
        </is>
      </c>
      <c r="I552" s="22" t="inlineStr">
        <is>
          <t>Programar el cambio de lámpara del ozonizador y verificar la eficiencia del convertidor</t>
        </is>
      </c>
      <c r="J552" s="20">
        <f>IFERROR(INDEX('APNA-370 (NOx)'!$U$9:$U$84,MATCH($B552,'APNA-370 (NOx)'!$A$9:$A$84,0)),"")</f>
        <v/>
      </c>
      <c r="K552" s="20">
        <f>IF(OR($J552="No conforme",$J552="Requiere reemplazo"),"SÍ — verificar destino","")</f>
        <v/>
      </c>
    </row>
    <row r="553" ht="36" customHeight="1">
      <c r="A553" s="20" t="inlineStr">
        <is>
          <t>APNA-370 (NOx)</t>
        </is>
      </c>
      <c r="B553" s="26" t="inlineStr">
        <is>
          <t>3.4.4</t>
        </is>
      </c>
      <c r="C553" s="22" t="inlineStr">
        <is>
          <t>Deriva del span semanal (Span Drift)</t>
        </is>
      </c>
      <c r="D553" s="24" t="inlineStr">
        <is>
          <t>Bloqueante</t>
        </is>
      </c>
      <c r="E553" s="22" t="inlineStr">
        <is>
          <t>Envejecimiento de la lámpara del ozonizador o degradación del convertidor</t>
        </is>
      </c>
      <c r="F553" s="20" t="n">
        <v>2</v>
      </c>
      <c r="G553" s="26" t="inlineStr">
        <is>
          <t>3.3.1</t>
        </is>
      </c>
      <c r="H553" s="22" t="inlineStr">
        <is>
          <t>Rendimiento del convertidor de NO2 a NO</t>
        </is>
      </c>
      <c r="I553" s="22" t="inlineStr">
        <is>
          <t>Programar el cambio de lámpara del ozonizador y verificar la eficiencia del convertidor</t>
        </is>
      </c>
      <c r="J553" s="20">
        <f>IFERROR(INDEX('APNA-370 (NOx)'!$U$9:$U$84,MATCH($B553,'APNA-370 (NOx)'!$A$9:$A$84,0)),"")</f>
        <v/>
      </c>
      <c r="K553" s="20">
        <f>IF(OR($J553="No conforme",$J553="Requiere reemplazo"),"SÍ — verificar destino","")</f>
        <v/>
      </c>
    </row>
    <row r="554" ht="36" customHeight="1">
      <c r="A554" s="20" t="inlineStr">
        <is>
          <t>APNA-370 (NOx)</t>
        </is>
      </c>
      <c r="B554" s="26" t="inlineStr">
        <is>
          <t>3.4.5</t>
        </is>
      </c>
      <c r="C554" s="22" t="inlineStr">
        <is>
          <t>Tiempo de respuesta T90</t>
        </is>
      </c>
      <c r="D554" s="24" t="inlineStr">
        <is>
          <t>Bloqueante</t>
        </is>
      </c>
      <c r="E554" s="22" t="inlineStr">
        <is>
          <t>Volumen muerto excesivo, fuga, o caudal por debajo del nominal</t>
        </is>
      </c>
      <c r="F554" s="20" t="n">
        <v>1</v>
      </c>
      <c r="G554" s="26" t="inlineStr">
        <is>
          <t>5.2.1</t>
        </is>
      </c>
      <c r="H554" s="22" t="inlineStr">
        <is>
          <t>Valor medido del flujo de muestra (Sample Flow)</t>
        </is>
      </c>
      <c r="I554" s="22" t="inlineStr">
        <is>
          <t>Acortar la línea de muestreo y restablecer el caudal nominal antes de repetir la prueba</t>
        </is>
      </c>
      <c r="J554" s="20">
        <f>IFERROR(INDEX('APNA-370 (NOx)'!$U$9:$U$84,MATCH($B554,'APNA-370 (NOx)'!$A$9:$A$84,0)),"")</f>
        <v/>
      </c>
      <c r="K554" s="20">
        <f>IF(OR($J554="No conforme",$J554="Requiere reemplazo"),"SÍ — verificar destino","")</f>
        <v/>
      </c>
    </row>
    <row r="555" ht="36" customHeight="1">
      <c r="A555" s="20" t="inlineStr">
        <is>
          <t>APNA-370 (NOx)</t>
        </is>
      </c>
      <c r="B555" s="26" t="inlineStr">
        <is>
          <t>3.4.5</t>
        </is>
      </c>
      <c r="C555" s="22" t="inlineStr">
        <is>
          <t>Tiempo de respuesta T90</t>
        </is>
      </c>
      <c r="D555" s="24" t="inlineStr">
        <is>
          <t>Bloqueante</t>
        </is>
      </c>
      <c r="E555" s="22" t="inlineStr">
        <is>
          <t>Volumen muerto excesivo, fuga, o caudal por debajo del nominal</t>
        </is>
      </c>
      <c r="F555" s="20" t="n">
        <v>2</v>
      </c>
      <c r="G555" s="26" t="inlineStr">
        <is>
          <t>4.2.1</t>
        </is>
      </c>
      <c r="H555" s="22" t="inlineStr">
        <is>
          <t>Tubería de teflón FEP externa</t>
        </is>
      </c>
      <c r="I555" s="22" t="inlineStr">
        <is>
          <t>Acortar la línea de muestreo y restablecer el caudal nominal antes de repetir la prueba</t>
        </is>
      </c>
      <c r="J555" s="20">
        <f>IFERROR(INDEX('APNA-370 (NOx)'!$U$9:$U$84,MATCH($B555,'APNA-370 (NOx)'!$A$9:$A$84,0)),"")</f>
        <v/>
      </c>
      <c r="K555" s="20">
        <f>IF(OR($J555="No conforme",$J555="Requiere reemplazo"),"SÍ — verificar destino","")</f>
        <v/>
      </c>
    </row>
    <row r="556" ht="36" customHeight="1">
      <c r="A556" s="20" t="inlineStr">
        <is>
          <t>APNA-370 (NOx)</t>
        </is>
      </c>
      <c r="B556" s="26" t="inlineStr">
        <is>
          <t>3.4.5</t>
        </is>
      </c>
      <c r="C556" s="22" t="inlineStr">
        <is>
          <t>Tiempo de respuesta T90</t>
        </is>
      </c>
      <c r="D556" s="24" t="inlineStr">
        <is>
          <t>Bloqueante</t>
        </is>
      </c>
      <c r="E556" s="22" t="inlineStr">
        <is>
          <t>Volumen muerto excesivo, fuga, o caudal por debajo del nominal</t>
        </is>
      </c>
      <c r="F556" s="20" t="n">
        <v>3</v>
      </c>
      <c r="G556" s="26" t="inlineStr">
        <is>
          <t>10.2.1</t>
        </is>
      </c>
      <c r="H556" s="22" t="inlineStr">
        <is>
          <t>Racores y férulas en los puertos traseros</t>
        </is>
      </c>
      <c r="I556" s="22" t="inlineStr">
        <is>
          <t>Acortar la línea de muestreo y restablecer el caudal nominal antes de repetir la prueba</t>
        </is>
      </c>
      <c r="J556" s="20">
        <f>IFERROR(INDEX('APNA-370 (NOx)'!$U$9:$U$84,MATCH($B556,'APNA-370 (NOx)'!$A$9:$A$84,0)),"")</f>
        <v/>
      </c>
      <c r="K556" s="20">
        <f>IF(OR($J556="No conforme",$J556="Requiere reemplazo"),"SÍ — verificar destino","")</f>
        <v/>
      </c>
    </row>
    <row r="557" ht="36" customHeight="1">
      <c r="A557" s="20" t="inlineStr">
        <is>
          <t>APNA-370 (NOx)</t>
        </is>
      </c>
      <c r="B557" s="26" t="inlineStr">
        <is>
          <t>3.4.6</t>
        </is>
      </c>
      <c r="C557" s="22" t="inlineStr">
        <is>
          <t>Repetitividad del equipo</t>
        </is>
      </c>
      <c r="D557" s="24" t="inlineStr">
        <is>
          <t>Bloqueante</t>
        </is>
      </c>
      <c r="E557" s="22" t="inlineStr">
        <is>
          <t>Ruido óptico, caudal inestable, o ozonizador intermitente</t>
        </is>
      </c>
      <c r="F557" s="20" t="n">
        <v>1</v>
      </c>
      <c r="G557" s="26" t="inlineStr">
        <is>
          <t>6.4.1</t>
        </is>
      </c>
      <c r="H557" s="22" t="inlineStr">
        <is>
          <t>Detector de luz de reacción</t>
        </is>
      </c>
      <c r="I557" s="22" t="inlineStr">
        <is>
          <t>Estabilizar el lazo neumático antes de atribuir la dispersión al detector</t>
        </is>
      </c>
      <c r="J557" s="20">
        <f>IFERROR(INDEX('APNA-370 (NOx)'!$U$9:$U$84,MATCH($B557,'APNA-370 (NOx)'!$A$9:$A$84,0)),"")</f>
        <v/>
      </c>
      <c r="K557" s="20">
        <f>IF(OR($J557="No conforme",$J557="Requiere reemplazo"),"SÍ — verificar destino","")</f>
        <v/>
      </c>
    </row>
    <row r="558" ht="36" customHeight="1">
      <c r="A558" s="20" t="inlineStr">
        <is>
          <t>APNA-370 (NOx)</t>
        </is>
      </c>
      <c r="B558" s="26" t="inlineStr">
        <is>
          <t>3.4.6</t>
        </is>
      </c>
      <c r="C558" s="22" t="inlineStr">
        <is>
          <t>Repetitividad del equipo</t>
        </is>
      </c>
      <c r="D558" s="24" t="inlineStr">
        <is>
          <t>Bloqueante</t>
        </is>
      </c>
      <c r="E558" s="22" t="inlineStr">
        <is>
          <t>Ruido óptico, caudal inestable, o ozonizador intermitente</t>
        </is>
      </c>
      <c r="F558" s="20" t="n">
        <v>2</v>
      </c>
      <c r="G558" s="26" t="inlineStr">
        <is>
          <t>5.2.1</t>
        </is>
      </c>
      <c r="H558" s="22" t="inlineStr">
        <is>
          <t>Valor medido del flujo de muestra (Sample Flow)</t>
        </is>
      </c>
      <c r="I558" s="22" t="inlineStr">
        <is>
          <t>Estabilizar el lazo neumático antes de atribuir la dispersión al detector</t>
        </is>
      </c>
      <c r="J558" s="20">
        <f>IFERROR(INDEX('APNA-370 (NOx)'!$U$9:$U$84,MATCH($B558,'APNA-370 (NOx)'!$A$9:$A$84,0)),"")</f>
        <v/>
      </c>
      <c r="K558" s="20">
        <f>IF(OR($J558="No conforme",$J558="Requiere reemplazo"),"SÍ — verificar destino","")</f>
        <v/>
      </c>
    </row>
    <row r="559" ht="36" customHeight="1">
      <c r="A559" s="20" t="inlineStr">
        <is>
          <t>APNA-370 (NOx)</t>
        </is>
      </c>
      <c r="B559" s="26" t="inlineStr">
        <is>
          <t>3.4.6</t>
        </is>
      </c>
      <c r="C559" s="22" t="inlineStr">
        <is>
          <t>Repetitividad del equipo</t>
        </is>
      </c>
      <c r="D559" s="24" t="inlineStr">
        <is>
          <t>Bloqueante</t>
        </is>
      </c>
      <c r="E559" s="22" t="inlineStr">
        <is>
          <t>Ruido óptico, caudal inestable, o ozonizador intermitente</t>
        </is>
      </c>
      <c r="F559" s="20" t="n">
        <v>3</v>
      </c>
      <c r="G559" s="26" t="inlineStr">
        <is>
          <t>1.1.2</t>
        </is>
      </c>
      <c r="H559" s="22" t="inlineStr">
        <is>
          <t>Operación del ozonizador interno</t>
        </is>
      </c>
      <c r="I559" s="22" t="inlineStr">
        <is>
          <t>Estabilizar el lazo neumático antes de atribuir la dispersión al detector</t>
        </is>
      </c>
      <c r="J559" s="20">
        <f>IFERROR(INDEX('APNA-370 (NOx)'!$U$9:$U$84,MATCH($B559,'APNA-370 (NOx)'!$A$9:$A$84,0)),"")</f>
        <v/>
      </c>
      <c r="K559" s="20">
        <f>IF(OR($J559="No conforme",$J559="Requiere reemplazo"),"SÍ — verificar destino","")</f>
        <v/>
      </c>
    </row>
    <row r="560" ht="36" customHeight="1">
      <c r="A560" s="20" t="inlineStr">
        <is>
          <t>APNA-370 (NOx)</t>
        </is>
      </c>
      <c r="B560" s="26" t="inlineStr">
        <is>
          <t>3.4.7</t>
        </is>
      </c>
      <c r="C560" s="22" t="inlineStr">
        <is>
          <t>Linealidad del analizador</t>
        </is>
      </c>
      <c r="D560" s="24" t="inlineStr">
        <is>
          <t>Bloqueante</t>
        </is>
      </c>
      <c r="E560" s="22" t="inlineStr">
        <is>
          <t>Dilutor descalibrado, fuga en la línea de calibración, o convertidor degradado</t>
        </is>
      </c>
      <c r="F560" s="20" t="n">
        <v>1</v>
      </c>
      <c r="G560" s="26" t="inlineStr">
        <is>
          <t>3.3.1</t>
        </is>
      </c>
      <c r="H560" s="22" t="inlineStr">
        <is>
          <t>Rendimiento del convertidor de NO2 a NO</t>
        </is>
      </c>
      <c r="I560" s="22" t="inlineStr">
        <is>
          <t>Verificar el dilutor con patrón externo antes de atribuir la no linealidad al equipo</t>
        </is>
      </c>
      <c r="J560" s="20">
        <f>IFERROR(INDEX('APNA-370 (NOx)'!$U$9:$U$84,MATCH($B560,'APNA-370 (NOx)'!$A$9:$A$84,0)),"")</f>
        <v/>
      </c>
      <c r="K560" s="20">
        <f>IF(OR($J560="No conforme",$J560="Requiere reemplazo"),"SÍ — verificar destino","")</f>
        <v/>
      </c>
    </row>
    <row r="561" ht="36" customHeight="1">
      <c r="A561" s="20" t="inlineStr">
        <is>
          <t>APNA-370 (NOx)</t>
        </is>
      </c>
      <c r="B561" s="26" t="inlineStr">
        <is>
          <t>3.4.7</t>
        </is>
      </c>
      <c r="C561" s="22" t="inlineStr">
        <is>
          <t>Linealidad del analizador</t>
        </is>
      </c>
      <c r="D561" s="24" t="inlineStr">
        <is>
          <t>Bloqueante</t>
        </is>
      </c>
      <c r="E561" s="22" t="inlineStr">
        <is>
          <t>Dilutor descalibrado, fuga en la línea de calibración, o convertidor degradado</t>
        </is>
      </c>
      <c r="F561" s="20" t="n">
        <v>2</v>
      </c>
      <c r="G561" s="26" t="inlineStr">
        <is>
          <t>10.2.1</t>
        </is>
      </c>
      <c r="H561" s="22" t="inlineStr">
        <is>
          <t>Racores y férulas en los puertos traseros</t>
        </is>
      </c>
      <c r="I561" s="22" t="inlineStr">
        <is>
          <t>Verificar el dilutor con patrón externo antes de atribuir la no linealidad al equipo</t>
        </is>
      </c>
      <c r="J561" s="20">
        <f>IFERROR(INDEX('APNA-370 (NOx)'!$U$9:$U$84,MATCH($B561,'APNA-370 (NOx)'!$A$9:$A$84,0)),"")</f>
        <v/>
      </c>
      <c r="K561" s="20">
        <f>IF(OR($J561="No conforme",$J561="Requiere reemplazo"),"SÍ — verificar destino","")</f>
        <v/>
      </c>
    </row>
    <row r="562" ht="36" customHeight="1">
      <c r="A562" s="20" t="inlineStr">
        <is>
          <t>APNA-370 (NOx)</t>
        </is>
      </c>
      <c r="B562" s="26" t="inlineStr">
        <is>
          <t>4.1.1</t>
        </is>
      </c>
      <c r="C562" s="22" t="inlineStr">
        <is>
          <t>Elemento filtrante de muestra (PTFE)</t>
        </is>
      </c>
      <c r="D562" s="25" t="inlineStr">
        <is>
          <t>Cobrable</t>
        </is>
      </c>
      <c r="E562" s="22" t="inlineStr">
        <is>
          <t>Filtro saturado de material particulado o humedecido</t>
        </is>
      </c>
      <c r="F562" s="20" t="n">
        <v>1</v>
      </c>
      <c r="G562" s="26" t="inlineStr">
        <is>
          <t>5.2.1</t>
        </is>
      </c>
      <c r="H562" s="22" t="inlineStr">
        <is>
          <t>Valor medido del flujo de muestra (Sample Flow)</t>
        </is>
      </c>
      <c r="I562" s="22" t="inlineStr">
        <is>
          <t>Reemplazar el elemento filtrante cada dos semanas o antes si hay polución alta</t>
        </is>
      </c>
      <c r="J562" s="20">
        <f>IFERROR(INDEX('APNA-370 (NOx)'!$U$9:$U$84,MATCH($B562,'APNA-370 (NOx)'!$A$9:$A$84,0)),"")</f>
        <v/>
      </c>
      <c r="K562" s="20">
        <f>IF(OR($J562="No conforme",$J562="Requiere reemplazo"),"SÍ — verificar destino","")</f>
        <v/>
      </c>
    </row>
    <row r="563" ht="36" customHeight="1">
      <c r="A563" s="20" t="inlineStr">
        <is>
          <t>APNA-370 (NOx)</t>
        </is>
      </c>
      <c r="B563" s="26" t="inlineStr">
        <is>
          <t>4.1.1</t>
        </is>
      </c>
      <c r="C563" s="22" t="inlineStr">
        <is>
          <t>Elemento filtrante de muestra (PTFE)</t>
        </is>
      </c>
      <c r="D563" s="25" t="inlineStr">
        <is>
          <t>Cobrable</t>
        </is>
      </c>
      <c r="E563" s="22" t="inlineStr">
        <is>
          <t>Filtro saturado de material particulado o humedecido</t>
        </is>
      </c>
      <c r="F563" s="20" t="n">
        <v>2</v>
      </c>
      <c r="G563" s="26" t="inlineStr">
        <is>
          <t>5.5.4</t>
        </is>
      </c>
      <c r="H563" s="22" t="inlineStr">
        <is>
          <t>Presión absoluta del detector (límite de alarma PRE1)</t>
        </is>
      </c>
      <c r="I563" s="22" t="inlineStr">
        <is>
          <t>Reemplazar el elemento filtrante cada dos semanas o antes si hay polución alta</t>
        </is>
      </c>
      <c r="J563" s="20">
        <f>IFERROR(INDEX('APNA-370 (NOx)'!$U$9:$U$84,MATCH($B563,'APNA-370 (NOx)'!$A$9:$A$84,0)),"")</f>
        <v/>
      </c>
      <c r="K563" s="20">
        <f>IF(OR($J563="No conforme",$J563="Requiere reemplazo"),"SÍ — verificar destino","")</f>
        <v/>
      </c>
    </row>
    <row r="564" ht="36" customHeight="1">
      <c r="A564" s="20" t="inlineStr">
        <is>
          <t>APNA-370 (NOx)</t>
        </is>
      </c>
      <c r="B564" s="26" t="inlineStr">
        <is>
          <t>4.1.2</t>
        </is>
      </c>
      <c r="C564" s="22" t="inlineStr">
        <is>
          <t>Empaque del filtro de partículas frontal</t>
        </is>
      </c>
      <c r="D564" s="25" t="inlineStr">
        <is>
          <t>Cobrable</t>
        </is>
      </c>
      <c r="E564" s="22" t="inlineStr">
        <is>
          <t>Empaque endurecido o agrietado: fuga en el portafiltros</t>
        </is>
      </c>
      <c r="F564" s="20" t="n">
        <v>1</v>
      </c>
      <c r="G564" s="26" t="inlineStr">
        <is>
          <t>4.1.3</t>
        </is>
      </c>
      <c r="H564" s="22" t="inlineStr">
        <is>
          <t>Junta tórica del portafiltro (O-Ring G70)</t>
        </is>
      </c>
      <c r="I564" s="22" t="inlineStr">
        <is>
          <t>Reemplazar el empaque FKM y repetir la prueba de hermeticidad</t>
        </is>
      </c>
      <c r="J564" s="20">
        <f>IFERROR(INDEX('APNA-370 (NOx)'!$U$9:$U$84,MATCH($B564,'APNA-370 (NOx)'!$A$9:$A$84,0)),"")</f>
        <v/>
      </c>
      <c r="K564" s="20">
        <f>IF(OR($J564="No conforme",$J564="Requiere reemplazo"),"SÍ — verificar destino","")</f>
        <v/>
      </c>
    </row>
    <row r="565" ht="36" customHeight="1">
      <c r="A565" s="20" t="inlineStr">
        <is>
          <t>APNA-370 (NOx)</t>
        </is>
      </c>
      <c r="B565" s="26" t="inlineStr">
        <is>
          <t>4.1.2</t>
        </is>
      </c>
      <c r="C565" s="22" t="inlineStr">
        <is>
          <t>Empaque del filtro de partículas frontal</t>
        </is>
      </c>
      <c r="D565" s="25" t="inlineStr">
        <is>
          <t>Cobrable</t>
        </is>
      </c>
      <c r="E565" s="22" t="inlineStr">
        <is>
          <t>Empaque endurecido o agrietado: fuga en el portafiltros</t>
        </is>
      </c>
      <c r="F565" s="20" t="n">
        <v>2</v>
      </c>
      <c r="G565" s="26" t="inlineStr">
        <is>
          <t>3.1.1</t>
        </is>
      </c>
      <c r="H565" s="22" t="inlineStr">
        <is>
          <t>Coeficiente de calibración de cero</t>
        </is>
      </c>
      <c r="I565" s="22" t="inlineStr">
        <is>
          <t>Reemplazar el empaque FKM y repetir la prueba de hermeticidad</t>
        </is>
      </c>
      <c r="J565" s="20">
        <f>IFERROR(INDEX('APNA-370 (NOx)'!$U$9:$U$84,MATCH($B565,'APNA-370 (NOx)'!$A$9:$A$84,0)),"")</f>
        <v/>
      </c>
      <c r="K565" s="20">
        <f>IF(OR($J565="No conforme",$J565="Requiere reemplazo"),"SÍ — verificar destino","")</f>
        <v/>
      </c>
    </row>
    <row r="566" ht="36" customHeight="1">
      <c r="A566" s="20" t="inlineStr">
        <is>
          <t>APNA-370 (NOx)</t>
        </is>
      </c>
      <c r="B566" s="26" t="inlineStr">
        <is>
          <t>4.1.3</t>
        </is>
      </c>
      <c r="C566" s="22" t="inlineStr">
        <is>
          <t>Junta tórica del portafiltro (O-Ring G70)</t>
        </is>
      </c>
      <c r="D566" s="25" t="inlineStr">
        <is>
          <t>Cobrable</t>
        </is>
      </c>
      <c r="E566" s="22" t="inlineStr">
        <is>
          <t>Junta con cortes o sin elasticidad: ingreso de aire ambiental</t>
        </is>
      </c>
      <c r="F566" s="20" t="n">
        <v>1</v>
      </c>
      <c r="G566" s="26" t="inlineStr">
        <is>
          <t>4.1.2</t>
        </is>
      </c>
      <c r="H566" s="22" t="inlineStr">
        <is>
          <t>Empaque del filtro de partículas frontal</t>
        </is>
      </c>
      <c r="I566" s="22" t="inlineStr">
        <is>
          <t>Reemplazar la junta tórica y repetir la prueba de hermeticidad</t>
        </is>
      </c>
      <c r="J566" s="20">
        <f>IFERROR(INDEX('APNA-370 (NOx)'!$U$9:$U$84,MATCH($B566,'APNA-370 (NOx)'!$A$9:$A$84,0)),"")</f>
        <v/>
      </c>
      <c r="K566" s="20">
        <f>IF(OR($J566="No conforme",$J566="Requiere reemplazo"),"SÍ — verificar destino","")</f>
        <v/>
      </c>
    </row>
    <row r="567" ht="36" customHeight="1">
      <c r="A567" s="20" t="inlineStr">
        <is>
          <t>APNA-370 (NOx)</t>
        </is>
      </c>
      <c r="B567" s="26" t="inlineStr">
        <is>
          <t>4.1.3</t>
        </is>
      </c>
      <c r="C567" s="22" t="inlineStr">
        <is>
          <t>Junta tórica del portafiltro (O-Ring G70)</t>
        </is>
      </c>
      <c r="D567" s="25" t="inlineStr">
        <is>
          <t>Cobrable</t>
        </is>
      </c>
      <c r="E567" s="22" t="inlineStr">
        <is>
          <t>Junta con cortes o sin elasticidad: ingreso de aire ambiental</t>
        </is>
      </c>
      <c r="F567" s="20" t="n">
        <v>2</v>
      </c>
      <c r="G567" s="26" t="inlineStr">
        <is>
          <t>3.1.1</t>
        </is>
      </c>
      <c r="H567" s="22" t="inlineStr">
        <is>
          <t>Coeficiente de calibración de cero</t>
        </is>
      </c>
      <c r="I567" s="22" t="inlineStr">
        <is>
          <t>Reemplazar la junta tórica y repetir la prueba de hermeticidad</t>
        </is>
      </c>
      <c r="J567" s="20">
        <f>IFERROR(INDEX('APNA-370 (NOx)'!$U$9:$U$84,MATCH($B567,'APNA-370 (NOx)'!$A$9:$A$84,0)),"")</f>
        <v/>
      </c>
      <c r="K567" s="20">
        <f>IF(OR($J567="No conforme",$J567="Requiere reemplazo"),"SÍ — verificar destino","")</f>
        <v/>
      </c>
    </row>
    <row r="568" ht="36" customHeight="1">
      <c r="A568" s="20" t="inlineStr">
        <is>
          <t>APNA-370 (NOx)</t>
        </is>
      </c>
      <c r="B568" s="26" t="inlineStr">
        <is>
          <t>4.2.1</t>
        </is>
      </c>
      <c r="C568" s="22" t="inlineStr">
        <is>
          <t>Tubería de teflón FEP externa</t>
        </is>
      </c>
      <c r="D568" s="25" t="inlineStr">
        <is>
          <t>Cobrable</t>
        </is>
      </c>
      <c r="E568" s="22" t="inlineStr">
        <is>
          <t>Manguera doblada, aplastada, o con humedad acumulada</t>
        </is>
      </c>
      <c r="F568" s="20" t="n">
        <v>1</v>
      </c>
      <c r="G568" s="26" t="inlineStr">
        <is>
          <t>5.2.1</t>
        </is>
      </c>
      <c r="H568" s="22" t="inlineStr">
        <is>
          <t>Valor medido del flujo de muestra (Sample Flow)</t>
        </is>
      </c>
      <c r="I568" s="22" t="inlineStr">
        <is>
          <t>Reemplazar el tramo afectado y purgar la línea con aire seco</t>
        </is>
      </c>
      <c r="J568" s="20">
        <f>IFERROR(INDEX('APNA-370 (NOx)'!$U$9:$U$84,MATCH($B568,'APNA-370 (NOx)'!$A$9:$A$84,0)),"")</f>
        <v/>
      </c>
      <c r="K568" s="20">
        <f>IF(OR($J568="No conforme",$J568="Requiere reemplazo"),"SÍ — verificar destino","")</f>
        <v/>
      </c>
    </row>
    <row r="569" ht="36" customHeight="1">
      <c r="A569" s="20" t="inlineStr">
        <is>
          <t>APNA-370 (NOx)</t>
        </is>
      </c>
      <c r="B569" s="26" t="inlineStr">
        <is>
          <t>4.2.1</t>
        </is>
      </c>
      <c r="C569" s="22" t="inlineStr">
        <is>
          <t>Tubería de teflón FEP externa</t>
        </is>
      </c>
      <c r="D569" s="25" t="inlineStr">
        <is>
          <t>Cobrable</t>
        </is>
      </c>
      <c r="E569" s="22" t="inlineStr">
        <is>
          <t>Manguera doblada, aplastada, o con humedad acumulada</t>
        </is>
      </c>
      <c r="F569" s="20" t="n">
        <v>2</v>
      </c>
      <c r="G569" s="26" t="inlineStr">
        <is>
          <t>4.3.1</t>
        </is>
      </c>
      <c r="H569" s="22" t="inlineStr">
        <is>
          <t>Tanque de condensación neumático (Buffer Tank)</t>
        </is>
      </c>
      <c r="I569" s="22" t="inlineStr">
        <is>
          <t>Reemplazar el tramo afectado y purgar la línea con aire seco</t>
        </is>
      </c>
      <c r="J569" s="20">
        <f>IFERROR(INDEX('APNA-370 (NOx)'!$U$9:$U$84,MATCH($B569,'APNA-370 (NOx)'!$A$9:$A$84,0)),"")</f>
        <v/>
      </c>
      <c r="K569" s="20">
        <f>IF(OR($J569="No conforme",$J569="Requiere reemplazo"),"SÍ — verificar destino","")</f>
        <v/>
      </c>
    </row>
    <row r="570" ht="36" customHeight="1">
      <c r="A570" s="20" t="inlineStr">
        <is>
          <t>APNA-370 (NOx)</t>
        </is>
      </c>
      <c r="B570" s="26" t="inlineStr">
        <is>
          <t>4.3.1</t>
        </is>
      </c>
      <c r="C570" s="22" t="inlineStr">
        <is>
          <t>Tanque de condensación neumático (Buffer Tank)</t>
        </is>
      </c>
      <c r="D570" s="24" t="inlineStr">
        <is>
          <t>Bloqueante</t>
        </is>
      </c>
      <c r="E570" s="22" t="inlineStr">
        <is>
          <t>Base fisurada o agua acumulada por condensación en el shelter</t>
        </is>
      </c>
      <c r="F570" s="20" t="n">
        <v>1</v>
      </c>
      <c r="G570" s="26" t="inlineStr">
        <is>
          <t>4.3.2</t>
        </is>
      </c>
      <c r="H570" s="22" t="inlineStr">
        <is>
          <t>Unidad deshumidificadora de membrana (PPD-1)</t>
        </is>
      </c>
      <c r="I570" s="22" t="inlineStr">
        <is>
          <t>Drenar el tanque, purgar con aire seco y corregir la oscilación térmica del shelter</t>
        </is>
      </c>
      <c r="J570" s="20">
        <f>IFERROR(INDEX('APNA-370 (NOx)'!$U$9:$U$84,MATCH($B570,'APNA-370 (NOx)'!$A$9:$A$84,0)),"")</f>
        <v/>
      </c>
      <c r="K570" s="20">
        <f>IF(OR($J570="No conforme",$J570="Requiere reemplazo"),"SÍ — verificar destino","")</f>
        <v/>
      </c>
    </row>
    <row r="571" ht="36" customHeight="1">
      <c r="A571" s="20" t="inlineStr">
        <is>
          <t>APNA-370 (NOx)</t>
        </is>
      </c>
      <c r="B571" s="26" t="inlineStr">
        <is>
          <t>4.3.1</t>
        </is>
      </c>
      <c r="C571" s="22" t="inlineStr">
        <is>
          <t>Tanque de condensación neumático (Buffer Tank)</t>
        </is>
      </c>
      <c r="D571" s="24" t="inlineStr">
        <is>
          <t>Bloqueante</t>
        </is>
      </c>
      <c r="E571" s="22" t="inlineStr">
        <is>
          <t>Base fisurada o agua acumulada por condensación en el shelter</t>
        </is>
      </c>
      <c r="F571" s="20" t="n">
        <v>2</v>
      </c>
      <c r="G571" s="26" t="inlineStr">
        <is>
          <t>10.3.1</t>
        </is>
      </c>
      <c r="H571" s="22" t="inlineStr">
        <is>
          <t>Rango de temperatura ambiente del sitio</t>
        </is>
      </c>
      <c r="I571" s="22" t="inlineStr">
        <is>
          <t>Drenar el tanque, purgar con aire seco y corregir la oscilación térmica del shelter</t>
        </is>
      </c>
      <c r="J571" s="20">
        <f>IFERROR(INDEX('APNA-370 (NOx)'!$U$9:$U$84,MATCH($B571,'APNA-370 (NOx)'!$A$9:$A$84,0)),"")</f>
        <v/>
      </c>
      <c r="K571" s="20">
        <f>IF(OR($J571="No conforme",$J571="Requiere reemplazo"),"SÍ — verificar destino","")</f>
        <v/>
      </c>
    </row>
    <row r="572" ht="36" customHeight="1">
      <c r="A572" s="20" t="inlineStr">
        <is>
          <t>APNA-370 (NOx)</t>
        </is>
      </c>
      <c r="B572" s="26" t="inlineStr">
        <is>
          <t>4.3.1</t>
        </is>
      </c>
      <c r="C572" s="22" t="inlineStr">
        <is>
          <t>Tanque de condensación neumático (Buffer Tank)</t>
        </is>
      </c>
      <c r="D572" s="24" t="inlineStr">
        <is>
          <t>Bloqueante</t>
        </is>
      </c>
      <c r="E572" s="22" t="inlineStr">
        <is>
          <t>Base fisurada o agua acumulada por condensación en el shelter</t>
        </is>
      </c>
      <c r="F572" s="20" t="n">
        <v>3</v>
      </c>
      <c r="G572" s="26" t="inlineStr">
        <is>
          <t>4.2.1</t>
        </is>
      </c>
      <c r="H572" s="22" t="inlineStr">
        <is>
          <t>Tubería de teflón FEP externa</t>
        </is>
      </c>
      <c r="I572" s="22" t="inlineStr">
        <is>
          <t>Drenar el tanque, purgar con aire seco y corregir la oscilación térmica del shelter</t>
        </is>
      </c>
      <c r="J572" s="20">
        <f>IFERROR(INDEX('APNA-370 (NOx)'!$U$9:$U$84,MATCH($B572,'APNA-370 (NOx)'!$A$9:$A$84,0)),"")</f>
        <v/>
      </c>
      <c r="K572" s="20">
        <f>IF(OR($J572="No conforme",$J572="Requiere reemplazo"),"SÍ — verificar destino","")</f>
        <v/>
      </c>
    </row>
    <row r="573" ht="36" customHeight="1">
      <c r="A573" s="20" t="inlineStr">
        <is>
          <t>APNA-370 (NOx)</t>
        </is>
      </c>
      <c r="B573" s="26" t="inlineStr">
        <is>
          <t>4.3.2</t>
        </is>
      </c>
      <c r="C573" s="22" t="inlineStr">
        <is>
          <t>Unidad deshumidificadora de membrana (PPD-1)</t>
        </is>
      </c>
      <c r="D573" s="25" t="inlineStr">
        <is>
          <t>Cobrable</t>
        </is>
      </c>
      <c r="E573" s="22" t="inlineStr">
        <is>
          <t>Membrana Nafion saturada, obstruida, o con fuga</t>
        </is>
      </c>
      <c r="F573" s="20" t="n">
        <v>1</v>
      </c>
      <c r="G573" s="26" t="inlineStr">
        <is>
          <t>4.3.1</t>
        </is>
      </c>
      <c r="H573" s="22" t="inlineStr">
        <is>
          <t>Tanque de condensación neumático (Buffer Tank)</t>
        </is>
      </c>
      <c r="I573" s="22" t="inlineStr">
        <is>
          <t>Reemplazar la unidad PPD-1; sin secado, el agua llega al detector</t>
        </is>
      </c>
      <c r="J573" s="20">
        <f>IFERROR(INDEX('APNA-370 (NOx)'!$U$9:$U$84,MATCH($B573,'APNA-370 (NOx)'!$A$9:$A$84,0)),"")</f>
        <v/>
      </c>
      <c r="K573" s="20">
        <f>IF(OR($J573="No conforme",$J573="Requiere reemplazo"),"SÍ — verificar destino","")</f>
        <v/>
      </c>
    </row>
    <row r="574" ht="36" customHeight="1">
      <c r="A574" s="20" t="inlineStr">
        <is>
          <t>APNA-370 (NOx)</t>
        </is>
      </c>
      <c r="B574" s="26" t="inlineStr">
        <is>
          <t>4.3.2</t>
        </is>
      </c>
      <c r="C574" s="22" t="inlineStr">
        <is>
          <t>Unidad deshumidificadora de membrana (PPD-1)</t>
        </is>
      </c>
      <c r="D574" s="25" t="inlineStr">
        <is>
          <t>Cobrable</t>
        </is>
      </c>
      <c r="E574" s="22" t="inlineStr">
        <is>
          <t>Membrana Nafion saturada, obstruida, o con fuga</t>
        </is>
      </c>
      <c r="F574" s="20" t="n">
        <v>2</v>
      </c>
      <c r="G574" s="26" t="inlineStr">
        <is>
          <t>5.2.1</t>
        </is>
      </c>
      <c r="H574" s="22" t="inlineStr">
        <is>
          <t>Valor medido del flujo de muestra (Sample Flow)</t>
        </is>
      </c>
      <c r="I574" s="22" t="inlineStr">
        <is>
          <t>Reemplazar la unidad PPD-1; sin secado, el agua llega al detector</t>
        </is>
      </c>
      <c r="J574" s="20">
        <f>IFERROR(INDEX('APNA-370 (NOx)'!$U$9:$U$84,MATCH($B574,'APNA-370 (NOx)'!$A$9:$A$84,0)),"")</f>
        <v/>
      </c>
      <c r="K574" s="20">
        <f>IF(OR($J574="No conforme",$J574="Requiere reemplazo"),"SÍ — verificar destino","")</f>
        <v/>
      </c>
    </row>
    <row r="575" ht="36" customHeight="1">
      <c r="A575" s="20" t="inlineStr">
        <is>
          <t>APNA-370 (NOx)</t>
        </is>
      </c>
      <c r="B575" s="26" t="inlineStr">
        <is>
          <t>5.1.1</t>
        </is>
      </c>
      <c r="C575" s="22" t="inlineStr">
        <is>
          <t>Bomba de muestreo neumática de doble cabezal (GD-6EH)</t>
        </is>
      </c>
      <c r="D575" s="25" t="inlineStr">
        <is>
          <t>Cobrable</t>
        </is>
      </c>
      <c r="E575" s="22" t="inlineStr">
        <is>
          <t>Rodamiento o motor desgastado, o sobrecalentamiento del chasis</t>
        </is>
      </c>
      <c r="F575" s="20" t="n">
        <v>1</v>
      </c>
      <c r="G575" s="26" t="inlineStr">
        <is>
          <t>5.1.2</t>
        </is>
      </c>
      <c r="H575" s="22" t="inlineStr">
        <is>
          <t>Ensamblaje del diafragma de la bomba (P-1-D)</t>
        </is>
      </c>
      <c r="I575" s="22" t="inlineStr">
        <is>
          <t>Discriminar por el tipo de ruido y reemplazar diafragmas o la unidad completa</t>
        </is>
      </c>
      <c r="J575" s="20">
        <f>IFERROR(INDEX('APNA-370 (NOx)'!$U$9:$U$84,MATCH($B575,'APNA-370 (NOx)'!$A$9:$A$84,0)),"")</f>
        <v/>
      </c>
      <c r="K575" s="20">
        <f>IF(OR($J575="No conforme",$J575="Requiere reemplazo"),"SÍ — verificar destino","")</f>
        <v/>
      </c>
    </row>
    <row r="576" ht="36" customHeight="1">
      <c r="A576" s="20" t="inlineStr">
        <is>
          <t>APNA-370 (NOx)</t>
        </is>
      </c>
      <c r="B576" s="26" t="inlineStr">
        <is>
          <t>5.1.1</t>
        </is>
      </c>
      <c r="C576" s="22" t="inlineStr">
        <is>
          <t>Bomba de muestreo neumática de doble cabezal (GD-6EH)</t>
        </is>
      </c>
      <c r="D576" s="25" t="inlineStr">
        <is>
          <t>Cobrable</t>
        </is>
      </c>
      <c r="E576" s="22" t="inlineStr">
        <is>
          <t>Rodamiento o motor desgastado, o sobrecalentamiento del chasis</t>
        </is>
      </c>
      <c r="F576" s="20" t="n">
        <v>2</v>
      </c>
      <c r="G576" s="26" t="inlineStr">
        <is>
          <t>5.5.4</t>
        </is>
      </c>
      <c r="H576" s="22" t="inlineStr">
        <is>
          <t>Presión absoluta del detector (límite de alarma PRE1)</t>
        </is>
      </c>
      <c r="I576" s="22" t="inlineStr">
        <is>
          <t>Discriminar por el tipo de ruido y reemplazar diafragmas o la unidad completa</t>
        </is>
      </c>
      <c r="J576" s="20">
        <f>IFERROR(INDEX('APNA-370 (NOx)'!$U$9:$U$84,MATCH($B576,'APNA-370 (NOx)'!$A$9:$A$84,0)),"")</f>
        <v/>
      </c>
      <c r="K576" s="20">
        <f>IF(OR($J576="No conforme",$J576="Requiere reemplazo"),"SÍ — verificar destino","")</f>
        <v/>
      </c>
    </row>
    <row r="577" ht="36" customHeight="1">
      <c r="A577" s="20" t="inlineStr">
        <is>
          <t>APNA-370 (NOx)</t>
        </is>
      </c>
      <c r="B577" s="26" t="inlineStr">
        <is>
          <t>5.1.2</t>
        </is>
      </c>
      <c r="C577" s="22" t="inlineStr">
        <is>
          <t>Ensamblaje del diafragma de la bomba (P-1-D)</t>
        </is>
      </c>
      <c r="D577" s="25" t="inlineStr">
        <is>
          <t>Cobrable</t>
        </is>
      </c>
      <c r="E577" s="22" t="inlineStr">
        <is>
          <t>Fatiga del EPDM por horas de servicio, o arrastre de condensado</t>
        </is>
      </c>
      <c r="F577" s="20" t="n">
        <v>1</v>
      </c>
      <c r="G577" s="26" t="inlineStr">
        <is>
          <t>5.1.3</t>
        </is>
      </c>
      <c r="H577" s="22" t="inlineStr">
        <is>
          <t>Empaque tipo válvula (Flapper valve)</t>
        </is>
      </c>
      <c r="I577" s="22" t="inlineStr">
        <is>
          <t>Reemplazar el juego de diafragmas y corregir el origen del condensado</t>
        </is>
      </c>
      <c r="J577" s="20">
        <f>IFERROR(INDEX('APNA-370 (NOx)'!$U$9:$U$84,MATCH($B577,'APNA-370 (NOx)'!$A$9:$A$84,0)),"")</f>
        <v/>
      </c>
      <c r="K577" s="20">
        <f>IF(OR($J577="No conforme",$J577="Requiere reemplazo"),"SÍ — verificar destino","")</f>
        <v/>
      </c>
    </row>
    <row r="578" ht="36" customHeight="1">
      <c r="A578" s="20" t="inlineStr">
        <is>
          <t>APNA-370 (NOx)</t>
        </is>
      </c>
      <c r="B578" s="26" t="inlineStr">
        <is>
          <t>5.1.2</t>
        </is>
      </c>
      <c r="C578" s="22" t="inlineStr">
        <is>
          <t>Ensamblaje del diafragma de la bomba (P-1-D)</t>
        </is>
      </c>
      <c r="D578" s="25" t="inlineStr">
        <is>
          <t>Cobrable</t>
        </is>
      </c>
      <c r="E578" s="22" t="inlineStr">
        <is>
          <t>Fatiga del EPDM por horas de servicio, o arrastre de condensado</t>
        </is>
      </c>
      <c r="F578" s="20" t="n">
        <v>2</v>
      </c>
      <c r="G578" s="26" t="inlineStr">
        <is>
          <t>4.3.1</t>
        </is>
      </c>
      <c r="H578" s="22" t="inlineStr">
        <is>
          <t>Tanque de condensación neumático (Buffer Tank)</t>
        </is>
      </c>
      <c r="I578" s="22" t="inlineStr">
        <is>
          <t>Reemplazar el juego de diafragmas y corregir el origen del condensado</t>
        </is>
      </c>
      <c r="J578" s="20">
        <f>IFERROR(INDEX('APNA-370 (NOx)'!$U$9:$U$84,MATCH($B578,'APNA-370 (NOx)'!$A$9:$A$84,0)),"")</f>
        <v/>
      </c>
      <c r="K578" s="20">
        <f>IF(OR($J578="No conforme",$J578="Requiere reemplazo"),"SÍ — verificar destino","")</f>
        <v/>
      </c>
    </row>
    <row r="579" ht="36" customHeight="1">
      <c r="A579" s="20" t="inlineStr">
        <is>
          <t>APNA-370 (NOx)</t>
        </is>
      </c>
      <c r="B579" s="26" t="inlineStr">
        <is>
          <t>5.1.3</t>
        </is>
      </c>
      <c r="C579" s="22" t="inlineStr">
        <is>
          <t>Empaque tipo válvula (Flapper valve)</t>
        </is>
      </c>
      <c r="D579" s="25" t="inlineStr">
        <is>
          <t>Cobrable</t>
        </is>
      </c>
      <c r="E579" s="22" t="inlineStr">
        <is>
          <t>Flapper deformado o endurecido: caudal fluctuante</t>
        </is>
      </c>
      <c r="F579" s="20" t="n">
        <v>1</v>
      </c>
      <c r="G579" s="26" t="inlineStr">
        <is>
          <t>5.1.2</t>
        </is>
      </c>
      <c r="H579" s="22" t="inlineStr">
        <is>
          <t>Ensamblaje del diafragma de la bomba (P-1-D)</t>
        </is>
      </c>
      <c r="I579" s="22" t="inlineStr">
        <is>
          <t>Limpiar, lubricar o reemplazar las válvulas junto con los diafragmas</t>
        </is>
      </c>
      <c r="J579" s="20">
        <f>IFERROR(INDEX('APNA-370 (NOx)'!$U$9:$U$84,MATCH($B579,'APNA-370 (NOx)'!$A$9:$A$84,0)),"")</f>
        <v/>
      </c>
      <c r="K579" s="20">
        <f>IF(OR($J579="No conforme",$J579="Requiere reemplazo"),"SÍ — verificar destino","")</f>
        <v/>
      </c>
    </row>
    <row r="580" ht="36" customHeight="1">
      <c r="A580" s="20" t="inlineStr">
        <is>
          <t>APNA-370 (NOx)</t>
        </is>
      </c>
      <c r="B580" s="26" t="inlineStr">
        <is>
          <t>5.1.3</t>
        </is>
      </c>
      <c r="C580" s="22" t="inlineStr">
        <is>
          <t>Empaque tipo válvula (Flapper valve)</t>
        </is>
      </c>
      <c r="D580" s="25" t="inlineStr">
        <is>
          <t>Cobrable</t>
        </is>
      </c>
      <c r="E580" s="22" t="inlineStr">
        <is>
          <t>Flapper deformado o endurecido: caudal fluctuante</t>
        </is>
      </c>
      <c r="F580" s="20" t="n">
        <v>2</v>
      </c>
      <c r="G580" s="26" t="inlineStr">
        <is>
          <t>5.2.1</t>
        </is>
      </c>
      <c r="H580" s="22" t="inlineStr">
        <is>
          <t>Valor medido del flujo de muestra (Sample Flow)</t>
        </is>
      </c>
      <c r="I580" s="22" t="inlineStr">
        <is>
          <t>Limpiar, lubricar o reemplazar las válvulas junto con los diafragmas</t>
        </is>
      </c>
      <c r="J580" s="20">
        <f>IFERROR(INDEX('APNA-370 (NOx)'!$U$9:$U$84,MATCH($B580,'APNA-370 (NOx)'!$A$9:$A$84,0)),"")</f>
        <v/>
      </c>
      <c r="K580" s="20">
        <f>IF(OR($J580="No conforme",$J580="Requiere reemplazo"),"SÍ — verificar destino","")</f>
        <v/>
      </c>
    </row>
    <row r="581" ht="36" customHeight="1">
      <c r="A581" s="20" t="inlineStr">
        <is>
          <t>APNA-370 (NOx)</t>
        </is>
      </c>
      <c r="B581" s="26" t="inlineStr">
        <is>
          <t>5.2.1</t>
        </is>
      </c>
      <c r="C581" s="22" t="inlineStr">
        <is>
          <t>Valor medido del flujo de muestra (Sample Flow)</t>
        </is>
      </c>
      <c r="D581" s="24" t="inlineStr">
        <is>
          <t>Bloqueante</t>
        </is>
      </c>
      <c r="E581" s="22" t="inlineStr">
        <is>
          <t>Filtro colmatado, orificio crítico obstruido, o diafragma desgastado</t>
        </is>
      </c>
      <c r="F581" s="20" t="n">
        <v>1</v>
      </c>
      <c r="G581" s="26" t="inlineStr">
        <is>
          <t>4.1.1</t>
        </is>
      </c>
      <c r="H581" s="22" t="inlineStr">
        <is>
          <t>Elemento filtrante de muestra (PTFE)</t>
        </is>
      </c>
      <c r="I581" s="22" t="inlineStr">
        <is>
          <t>Medir el caudal real con flujómetro patrón y recorrer la rama en ese orden</t>
        </is>
      </c>
      <c r="J581" s="20">
        <f>IFERROR(INDEX('APNA-370 (NOx)'!$U$9:$U$84,MATCH($B581,'APNA-370 (NOx)'!$A$9:$A$84,0)),"")</f>
        <v/>
      </c>
      <c r="K581" s="20">
        <f>IF(OR($J581="No conforme",$J581="Requiere reemplazo"),"SÍ — verificar destino","")</f>
        <v/>
      </c>
    </row>
    <row r="582" ht="36" customHeight="1">
      <c r="A582" s="20" t="inlineStr">
        <is>
          <t>APNA-370 (NOx)</t>
        </is>
      </c>
      <c r="B582" s="26" t="inlineStr">
        <is>
          <t>5.2.1</t>
        </is>
      </c>
      <c r="C582" s="22" t="inlineStr">
        <is>
          <t>Valor medido del flujo de muestra (Sample Flow)</t>
        </is>
      </c>
      <c r="D582" s="24" t="inlineStr">
        <is>
          <t>Bloqueante</t>
        </is>
      </c>
      <c r="E582" s="22" t="inlineStr">
        <is>
          <t>Filtro colmatado, orificio crítico obstruido, o diafragma desgastado</t>
        </is>
      </c>
      <c r="F582" s="20" t="n">
        <v>2</v>
      </c>
      <c r="G582" s="26" t="inlineStr">
        <is>
          <t>5.3.1</t>
        </is>
      </c>
      <c r="H582" s="22" t="inlineStr">
        <is>
          <t>Orificios de restricción de flujo (Critical Orifice)</t>
        </is>
      </c>
      <c r="I582" s="22" t="inlineStr">
        <is>
          <t>Medir el caudal real con flujómetro patrón y recorrer la rama en ese orden</t>
        </is>
      </c>
      <c r="J582" s="20">
        <f>IFERROR(INDEX('APNA-370 (NOx)'!$U$9:$U$84,MATCH($B582,'APNA-370 (NOx)'!$A$9:$A$84,0)),"")</f>
        <v/>
      </c>
      <c r="K582" s="20">
        <f>IF(OR($J582="No conforme",$J582="Requiere reemplazo"),"SÍ — verificar destino","")</f>
        <v/>
      </c>
    </row>
    <row r="583" ht="36" customHeight="1">
      <c r="A583" s="20" t="inlineStr">
        <is>
          <t>APNA-370 (NOx)</t>
        </is>
      </c>
      <c r="B583" s="26" t="inlineStr">
        <is>
          <t>5.2.1</t>
        </is>
      </c>
      <c r="C583" s="22" t="inlineStr">
        <is>
          <t>Valor medido del flujo de muestra (Sample Flow)</t>
        </is>
      </c>
      <c r="D583" s="24" t="inlineStr">
        <is>
          <t>Bloqueante</t>
        </is>
      </c>
      <c r="E583" s="22" t="inlineStr">
        <is>
          <t>Filtro colmatado, orificio crítico obstruido, o diafragma desgastado</t>
        </is>
      </c>
      <c r="F583" s="20" t="n">
        <v>3</v>
      </c>
      <c r="G583" s="26" t="inlineStr">
        <is>
          <t>5.1.2</t>
        </is>
      </c>
      <c r="H583" s="22" t="inlineStr">
        <is>
          <t>Ensamblaje del diafragma de la bomba (P-1-D)</t>
        </is>
      </c>
      <c r="I583" s="22" t="inlineStr">
        <is>
          <t>Medir el caudal real con flujómetro patrón y recorrer la rama en ese orden</t>
        </is>
      </c>
      <c r="J583" s="20">
        <f>IFERROR(INDEX('APNA-370 (NOx)'!$U$9:$U$84,MATCH($B583,'APNA-370 (NOx)'!$A$9:$A$84,0)),"")</f>
        <v/>
      </c>
      <c r="K583" s="20">
        <f>IF(OR($J583="No conforme",$J583="Requiere reemplazo"),"SÍ — verificar destino","")</f>
        <v/>
      </c>
    </row>
    <row r="584" ht="36" customHeight="1">
      <c r="A584" s="20" t="inlineStr">
        <is>
          <t>APNA-370 (NOx)</t>
        </is>
      </c>
      <c r="B584" s="26" t="inlineStr">
        <is>
          <t>5.2.1</t>
        </is>
      </c>
      <c r="C584" s="22" t="inlineStr">
        <is>
          <t>Valor medido del flujo de muestra (Sample Flow)</t>
        </is>
      </c>
      <c r="D584" s="24" t="inlineStr">
        <is>
          <t>Bloqueante</t>
        </is>
      </c>
      <c r="E584" s="22" t="inlineStr">
        <is>
          <t>Filtro colmatado, orificio crítico obstruido, o diafragma desgastado</t>
        </is>
      </c>
      <c r="F584" s="20" t="n">
        <v>4</v>
      </c>
      <c r="G584" s="26" t="inlineStr">
        <is>
          <t>5.2.3</t>
        </is>
      </c>
      <c r="H584" s="22" t="inlineStr">
        <is>
          <t>Caudal objetivo para ajuste manual con flujómetro</t>
        </is>
      </c>
      <c r="I584" s="22" t="inlineStr">
        <is>
          <t>Medir el caudal real con flujómetro patrón y recorrer la rama en ese orden</t>
        </is>
      </c>
      <c r="J584" s="20">
        <f>IFERROR(INDEX('APNA-370 (NOx)'!$U$9:$U$84,MATCH($B584,'APNA-370 (NOx)'!$A$9:$A$84,0)),"")</f>
        <v/>
      </c>
      <c r="K584" s="20">
        <f>IF(OR($J584="No conforme",$J584="Requiere reemplazo"),"SÍ — verificar destino","")</f>
        <v/>
      </c>
    </row>
    <row r="585" ht="36" customHeight="1">
      <c r="A585" s="20" t="inlineStr">
        <is>
          <t>APNA-370 (NOx)</t>
        </is>
      </c>
      <c r="B585" s="26" t="inlineStr">
        <is>
          <t>5.2.2</t>
        </is>
      </c>
      <c r="C585" s="22" t="inlineStr">
        <is>
          <t>Límites de alarma de flujo de muestra (FLO1)</t>
        </is>
      </c>
      <c r="D585" s="23" t="inlineStr">
        <is>
          <t>Alerta</t>
        </is>
      </c>
      <c r="E585" s="22" t="inlineStr">
        <is>
          <t>Rango de alarma distinto al criterio del manual de operación</t>
        </is>
      </c>
      <c r="F585" s="20" t="n">
        <v>1</v>
      </c>
      <c r="G585" s="26" t="inlineStr">
        <is>
          <t>5.2.1</t>
        </is>
      </c>
      <c r="H585" s="22" t="inlineStr">
        <is>
          <t>Valor medido del flujo de muestra (Sample Flow)</t>
        </is>
      </c>
      <c r="I585" s="22" t="inlineStr">
        <is>
          <t>Definir con el responsable técnico cuál rango manda y documentarlo</t>
        </is>
      </c>
      <c r="J585" s="20">
        <f>IFERROR(INDEX('APNA-370 (NOx)'!$U$9:$U$84,MATCH($B585,'APNA-370 (NOx)'!$A$9:$A$84,0)),"")</f>
        <v/>
      </c>
      <c r="K585" s="20">
        <f>IF(OR($J585="No conforme",$J585="Requiere reemplazo"),"SÍ — verificar destino","")</f>
        <v/>
      </c>
    </row>
    <row r="586" ht="36" customHeight="1">
      <c r="A586" s="20" t="inlineStr">
        <is>
          <t>APNA-370 (NOx)</t>
        </is>
      </c>
      <c r="B586" s="26" t="inlineStr">
        <is>
          <t>5.2.3</t>
        </is>
      </c>
      <c r="C586" s="22" t="inlineStr">
        <is>
          <t>Caudal objetivo para ajuste manual con flujómetro</t>
        </is>
      </c>
      <c r="D586" s="24" t="inlineStr">
        <is>
          <t>Bloqueante</t>
        </is>
      </c>
      <c r="E586" s="22" t="inlineStr">
        <is>
          <t>Caudal real fuera de 800 a 900 mL/min tras el mantenimiento</t>
        </is>
      </c>
      <c r="F586" s="20" t="n">
        <v>1</v>
      </c>
      <c r="G586" s="26" t="inlineStr">
        <is>
          <t>5.5.2</t>
        </is>
      </c>
      <c r="H586" s="22" t="inlineStr">
        <is>
          <t>Regulador de vacío R-2 (presión de la bomba)</t>
        </is>
      </c>
      <c r="I586" s="22" t="inlineStr">
        <is>
          <t>Ajustar el caudal en el regulador R-2 y volver a medir con flujómetro</t>
        </is>
      </c>
      <c r="J586" s="20">
        <f>IFERROR(INDEX('APNA-370 (NOx)'!$U$9:$U$84,MATCH($B586,'APNA-370 (NOx)'!$A$9:$A$84,0)),"")</f>
        <v/>
      </c>
      <c r="K586" s="20">
        <f>IF(OR($J586="No conforme",$J586="Requiere reemplazo"),"SÍ — verificar destino","")</f>
        <v/>
      </c>
    </row>
    <row r="587" ht="36" customHeight="1">
      <c r="A587" s="20" t="inlineStr">
        <is>
          <t>APNA-370 (NOx)</t>
        </is>
      </c>
      <c r="B587" s="26" t="inlineStr">
        <is>
          <t>5.2.3</t>
        </is>
      </c>
      <c r="C587" s="22" t="inlineStr">
        <is>
          <t>Caudal objetivo para ajuste manual con flujómetro</t>
        </is>
      </c>
      <c r="D587" s="24" t="inlineStr">
        <is>
          <t>Bloqueante</t>
        </is>
      </c>
      <c r="E587" s="22" t="inlineStr">
        <is>
          <t>Caudal real fuera de 800 a 900 mL/min tras el mantenimiento</t>
        </is>
      </c>
      <c r="F587" s="20" t="n">
        <v>2</v>
      </c>
      <c r="G587" s="26" t="inlineStr">
        <is>
          <t>5.3.1</t>
        </is>
      </c>
      <c r="H587" s="22" t="inlineStr">
        <is>
          <t>Orificios de restricción de flujo (Critical Orifice)</t>
        </is>
      </c>
      <c r="I587" s="22" t="inlineStr">
        <is>
          <t>Ajustar el caudal en el regulador R-2 y volver a medir con flujómetro</t>
        </is>
      </c>
      <c r="J587" s="20">
        <f>IFERROR(INDEX('APNA-370 (NOx)'!$U$9:$U$84,MATCH($B587,'APNA-370 (NOx)'!$A$9:$A$84,0)),"")</f>
        <v/>
      </c>
      <c r="K587" s="20">
        <f>IF(OR($J587="No conforme",$J587="Requiere reemplazo"),"SÍ — verificar destino","")</f>
        <v/>
      </c>
    </row>
    <row r="588" ht="36" customHeight="1">
      <c r="A588" s="20" t="inlineStr">
        <is>
          <t>APNA-370 (NOx)</t>
        </is>
      </c>
      <c r="B588" s="26" t="inlineStr">
        <is>
          <t>5.3.1</t>
        </is>
      </c>
      <c r="C588" s="22" t="inlineStr">
        <is>
          <t>Orificios de restricción de flujo (Critical Orifice)</t>
        </is>
      </c>
      <c r="D588" s="24" t="inlineStr">
        <is>
          <t>Bloqueante</t>
        </is>
      </c>
      <c r="E588" s="22" t="inlineStr">
        <is>
          <t>Orificio obstruido por polvo que entró sin filtro</t>
        </is>
      </c>
      <c r="F588" s="20" t="n">
        <v>1</v>
      </c>
      <c r="G588" s="26" t="inlineStr">
        <is>
          <t>4.1.1</t>
        </is>
      </c>
      <c r="H588" s="22" t="inlineStr">
        <is>
          <t>Elemento filtrante de muestra (PTFE)</t>
        </is>
      </c>
      <c r="I588" s="22" t="inlineStr">
        <is>
          <t>Limpiar con aire seco filtrado; si no se recupera, reemplazar el orificio</t>
        </is>
      </c>
      <c r="J588" s="20">
        <f>IFERROR(INDEX('APNA-370 (NOx)'!$U$9:$U$84,MATCH($B588,'APNA-370 (NOx)'!$A$9:$A$84,0)),"")</f>
        <v/>
      </c>
      <c r="K588" s="20">
        <f>IF(OR($J588="No conforme",$J588="Requiere reemplazo"),"SÍ — verificar destino","")</f>
        <v/>
      </c>
    </row>
    <row r="589" ht="36" customHeight="1">
      <c r="A589" s="20" t="inlineStr">
        <is>
          <t>APNA-370 (NOx)</t>
        </is>
      </c>
      <c r="B589" s="26" t="inlineStr">
        <is>
          <t>5.3.1</t>
        </is>
      </c>
      <c r="C589" s="22" t="inlineStr">
        <is>
          <t>Orificios de restricción de flujo (Critical Orifice)</t>
        </is>
      </c>
      <c r="D589" s="24" t="inlineStr">
        <is>
          <t>Bloqueante</t>
        </is>
      </c>
      <c r="E589" s="22" t="inlineStr">
        <is>
          <t>Orificio obstruido por polvo que entró sin filtro</t>
        </is>
      </c>
      <c r="F589" s="20" t="n">
        <v>2</v>
      </c>
      <c r="G589" s="26" t="inlineStr">
        <is>
          <t>5.2.1</t>
        </is>
      </c>
      <c r="H589" s="22" t="inlineStr">
        <is>
          <t>Valor medido del flujo de muestra (Sample Flow)</t>
        </is>
      </c>
      <c r="I589" s="22" t="inlineStr">
        <is>
          <t>Limpiar con aire seco filtrado; si no se recupera, reemplazar el orificio</t>
        </is>
      </c>
      <c r="J589" s="20">
        <f>IFERROR(INDEX('APNA-370 (NOx)'!$U$9:$U$84,MATCH($B589,'APNA-370 (NOx)'!$A$9:$A$84,0)),"")</f>
        <v/>
      </c>
      <c r="K589" s="20">
        <f>IF(OR($J589="No conforme",$J589="Requiere reemplazo"),"SÍ — verificar destino","")</f>
        <v/>
      </c>
    </row>
    <row r="590" ht="36" customHeight="1">
      <c r="A590" s="20" t="inlineStr">
        <is>
          <t>APNA-370 (NOx)</t>
        </is>
      </c>
      <c r="B590" s="26" t="inlineStr">
        <is>
          <t>5.4.1</t>
        </is>
      </c>
      <c r="C590" s="22" t="inlineStr">
        <is>
          <t>Estado mecánico de las electroválvulas (SV-2, SV-3, SV-11)</t>
        </is>
      </c>
      <c r="D590" s="24" t="inlineStr">
        <is>
          <t>Bloqueante</t>
        </is>
      </c>
      <c r="E590" s="22" t="inlineStr">
        <is>
          <t>Bobina quemada, vástago atascado, o fuga interna</t>
        </is>
      </c>
      <c r="F590" s="20" t="n">
        <v>1</v>
      </c>
      <c r="G590" s="26" t="inlineStr">
        <is>
          <t>9.3.1</t>
        </is>
      </c>
      <c r="H590" s="22" t="inlineStr">
        <is>
          <t>Canal de alimentación interna de 24 V DC</t>
        </is>
      </c>
      <c r="I590" s="22" t="inlineStr">
        <is>
          <t>Reemplazar la electroválvula afectada y verificar el sello con agua jabonosa</t>
        </is>
      </c>
      <c r="J590" s="20">
        <f>IFERROR(INDEX('APNA-370 (NOx)'!$U$9:$U$84,MATCH($B590,'APNA-370 (NOx)'!$A$9:$A$84,0)),"")</f>
        <v/>
      </c>
      <c r="K590" s="20">
        <f>IF(OR($J590="No conforme",$J590="Requiere reemplazo"),"SÍ — verificar destino","")</f>
        <v/>
      </c>
    </row>
    <row r="591" ht="36" customHeight="1">
      <c r="A591" s="20" t="inlineStr">
        <is>
          <t>APNA-370 (NOx)</t>
        </is>
      </c>
      <c r="B591" s="26" t="inlineStr">
        <is>
          <t>5.4.1</t>
        </is>
      </c>
      <c r="C591" s="22" t="inlineStr">
        <is>
          <t>Estado mecánico de las electroválvulas (SV-2, SV-3, SV-11)</t>
        </is>
      </c>
      <c r="D591" s="24" t="inlineStr">
        <is>
          <t>Bloqueante</t>
        </is>
      </c>
      <c r="E591" s="22" t="inlineStr">
        <is>
          <t>Bobina quemada, vástago atascado, o fuga interna</t>
        </is>
      </c>
      <c r="F591" s="20" t="n">
        <v>2</v>
      </c>
      <c r="G591" s="26" t="inlineStr">
        <is>
          <t>3.1.1</t>
        </is>
      </c>
      <c r="H591" s="22" t="inlineStr">
        <is>
          <t>Coeficiente de calibración de cero</t>
        </is>
      </c>
      <c r="I591" s="22" t="inlineStr">
        <is>
          <t>Reemplazar la electroválvula afectada y verificar el sello con agua jabonosa</t>
        </is>
      </c>
      <c r="J591" s="20">
        <f>IFERROR(INDEX('APNA-370 (NOx)'!$U$9:$U$84,MATCH($B591,'APNA-370 (NOx)'!$A$9:$A$84,0)),"")</f>
        <v/>
      </c>
      <c r="K591" s="20">
        <f>IF(OR($J591="No conforme",$J591="Requiere reemplazo"),"SÍ — verificar destino","")</f>
        <v/>
      </c>
    </row>
    <row r="592" ht="36" customHeight="1">
      <c r="A592" s="20" t="inlineStr">
        <is>
          <t>APNA-370 (NOx)</t>
        </is>
      </c>
      <c r="B592" s="26" t="inlineStr">
        <is>
          <t>5.5.1</t>
        </is>
      </c>
      <c r="C592" s="22" t="inlineStr">
        <is>
          <t>Regulador de presión R-1</t>
        </is>
      </c>
      <c r="D592" s="24" t="inlineStr">
        <is>
          <t>Bloqueante</t>
        </is>
      </c>
      <c r="E592" s="22" t="inlineStr">
        <is>
          <t>Restrictor sucio, membrana fatigada, o tornillo desajustado por vibración</t>
        </is>
      </c>
      <c r="F592" s="20" t="n">
        <v>1</v>
      </c>
      <c r="G592" s="26" t="inlineStr">
        <is>
          <t>5.5.2</t>
        </is>
      </c>
      <c r="H592" s="22" t="inlineStr">
        <is>
          <t>Regulador de vacío R-2 (presión de la bomba)</t>
        </is>
      </c>
      <c r="I592" s="22" t="inlineStr">
        <is>
          <t>Ajustar a 80 ± 4 kPa; si no regula, reemplazar la unidad</t>
        </is>
      </c>
      <c r="J592" s="20">
        <f>IFERROR(INDEX('APNA-370 (NOx)'!$U$9:$U$84,MATCH($B592,'APNA-370 (NOx)'!$A$9:$A$84,0)),"")</f>
        <v/>
      </c>
      <c r="K592" s="20">
        <f>IF(OR($J592="No conforme",$J592="Requiere reemplazo"),"SÍ — verificar destino","")</f>
        <v/>
      </c>
    </row>
    <row r="593" ht="36" customHeight="1">
      <c r="A593" s="20" t="inlineStr">
        <is>
          <t>APNA-370 (NOx)</t>
        </is>
      </c>
      <c r="B593" s="26" t="inlineStr">
        <is>
          <t>5.5.1</t>
        </is>
      </c>
      <c r="C593" s="22" t="inlineStr">
        <is>
          <t>Regulador de presión R-1</t>
        </is>
      </c>
      <c r="D593" s="24" t="inlineStr">
        <is>
          <t>Bloqueante</t>
        </is>
      </c>
      <c r="E593" s="22" t="inlineStr">
        <is>
          <t>Restrictor sucio, membrana fatigada, o tornillo desajustado por vibración</t>
        </is>
      </c>
      <c r="F593" s="20" t="n">
        <v>2</v>
      </c>
      <c r="G593" s="26" t="inlineStr">
        <is>
          <t>5.5.4</t>
        </is>
      </c>
      <c r="H593" s="22" t="inlineStr">
        <is>
          <t>Presión absoluta del detector (límite de alarma PRE1)</t>
        </is>
      </c>
      <c r="I593" s="22" t="inlineStr">
        <is>
          <t>Ajustar a 80 ± 4 kPa; si no regula, reemplazar la unidad</t>
        </is>
      </c>
      <c r="J593" s="20">
        <f>IFERROR(INDEX('APNA-370 (NOx)'!$U$9:$U$84,MATCH($B593,'APNA-370 (NOx)'!$A$9:$A$84,0)),"")</f>
        <v/>
      </c>
      <c r="K593" s="20">
        <f>IF(OR($J593="No conforme",$J593="Requiere reemplazo"),"SÍ — verificar destino","")</f>
        <v/>
      </c>
    </row>
    <row r="594" ht="36" customHeight="1">
      <c r="A594" s="20" t="inlineStr">
        <is>
          <t>APNA-370 (NOx)</t>
        </is>
      </c>
      <c r="B594" s="26" t="inlineStr">
        <is>
          <t>5.5.2</t>
        </is>
      </c>
      <c r="C594" s="22" t="inlineStr">
        <is>
          <t>Regulador de vacío R-2 (presión de la bomba)</t>
        </is>
      </c>
      <c r="D594" s="24" t="inlineStr">
        <is>
          <t>Bloqueante</t>
        </is>
      </c>
      <c r="E594" s="22" t="inlineStr">
        <is>
          <t>Restrictor sucio, membrana fatigada, o desajuste por vibración</t>
        </is>
      </c>
      <c r="F594" s="20" t="n">
        <v>1</v>
      </c>
      <c r="G594" s="26" t="inlineStr">
        <is>
          <t>5.5.4</t>
        </is>
      </c>
      <c r="H594" s="22" t="inlineStr">
        <is>
          <t>Presión absoluta del detector (límite de alarma PRE1)</t>
        </is>
      </c>
      <c r="I594" s="22" t="inlineStr">
        <is>
          <t>Ajustar al rango de diseño; si no regula, reemplazar la unidad</t>
        </is>
      </c>
      <c r="J594" s="20">
        <f>IFERROR(INDEX('APNA-370 (NOx)'!$U$9:$U$84,MATCH($B594,'APNA-370 (NOx)'!$A$9:$A$84,0)),"")</f>
        <v/>
      </c>
      <c r="K594" s="20">
        <f>IF(OR($J594="No conforme",$J594="Requiere reemplazo"),"SÍ — verificar destino","")</f>
        <v/>
      </c>
    </row>
    <row r="595" ht="36" customHeight="1">
      <c r="A595" s="20" t="inlineStr">
        <is>
          <t>APNA-370 (NOx)</t>
        </is>
      </c>
      <c r="B595" s="26" t="inlineStr">
        <is>
          <t>5.5.2</t>
        </is>
      </c>
      <c r="C595" s="22" t="inlineStr">
        <is>
          <t>Regulador de vacío R-2 (presión de la bomba)</t>
        </is>
      </c>
      <c r="D595" s="24" t="inlineStr">
        <is>
          <t>Bloqueante</t>
        </is>
      </c>
      <c r="E595" s="22" t="inlineStr">
        <is>
          <t>Restrictor sucio, membrana fatigada, o desajuste por vibración</t>
        </is>
      </c>
      <c r="F595" s="20" t="n">
        <v>2</v>
      </c>
      <c r="G595" s="26" t="inlineStr">
        <is>
          <t>5.2.3</t>
        </is>
      </c>
      <c r="H595" s="22" t="inlineStr">
        <is>
          <t>Caudal objetivo para ajuste manual con flujómetro</t>
        </is>
      </c>
      <c r="I595" s="22" t="inlineStr">
        <is>
          <t>Ajustar al rango de diseño; si no regula, reemplazar la unidad</t>
        </is>
      </c>
      <c r="J595" s="20">
        <f>IFERROR(INDEX('APNA-370 (NOx)'!$U$9:$U$84,MATCH($B595,'APNA-370 (NOx)'!$A$9:$A$84,0)),"")</f>
        <v/>
      </c>
      <c r="K595" s="20">
        <f>IF(OR($J595="No conforme",$J595="Requiere reemplazo"),"SÍ — verificar destino","")</f>
        <v/>
      </c>
    </row>
    <row r="596" ht="36" customHeight="1">
      <c r="A596" s="20" t="inlineStr">
        <is>
          <t>APNA-370 (NOx)</t>
        </is>
      </c>
      <c r="B596" s="26" t="inlineStr">
        <is>
          <t>5.5.3</t>
        </is>
      </c>
      <c r="C596" s="22" t="inlineStr">
        <is>
          <t>Regulador diferencial R-3</t>
        </is>
      </c>
      <c r="D596" s="24" t="inlineStr">
        <is>
          <t>Bloqueante</t>
        </is>
      </c>
      <c r="E596" s="22" t="inlineStr">
        <is>
          <t>Restrictor sucio o membrana fatigada</t>
        </is>
      </c>
      <c r="F596" s="20" t="n">
        <v>1</v>
      </c>
      <c r="G596" s="26" t="inlineStr">
        <is>
          <t>5.5.2</t>
        </is>
      </c>
      <c r="H596" s="22" t="inlineStr">
        <is>
          <t>Regulador de vacío R-2 (presión de la bomba)</t>
        </is>
      </c>
      <c r="I596" s="22" t="inlineStr">
        <is>
          <t>Ajustar al rango de diseño; si no regula, reemplazar la unidad</t>
        </is>
      </c>
      <c r="J596" s="20">
        <f>IFERROR(INDEX('APNA-370 (NOx)'!$U$9:$U$84,MATCH($B596,'APNA-370 (NOx)'!$A$9:$A$84,0)),"")</f>
        <v/>
      </c>
      <c r="K596" s="20">
        <f>IF(OR($J596="No conforme",$J596="Requiere reemplazo"),"SÍ — verificar destino","")</f>
        <v/>
      </c>
    </row>
    <row r="597" ht="36" customHeight="1">
      <c r="A597" s="20" t="inlineStr">
        <is>
          <t>APNA-370 (NOx)</t>
        </is>
      </c>
      <c r="B597" s="26" t="inlineStr">
        <is>
          <t>5.5.3</t>
        </is>
      </c>
      <c r="C597" s="22" t="inlineStr">
        <is>
          <t>Regulador diferencial R-3</t>
        </is>
      </c>
      <c r="D597" s="24" t="inlineStr">
        <is>
          <t>Bloqueante</t>
        </is>
      </c>
      <c r="E597" s="22" t="inlineStr">
        <is>
          <t>Restrictor sucio o membrana fatigada</t>
        </is>
      </c>
      <c r="F597" s="20" t="n">
        <v>2</v>
      </c>
      <c r="G597" s="26" t="inlineStr">
        <is>
          <t>9.2.1</t>
        </is>
      </c>
      <c r="H597" s="22" t="inlineStr">
        <is>
          <t>Presión interna del detector (PUMP PRESS)</t>
        </is>
      </c>
      <c r="I597" s="22" t="inlineStr">
        <is>
          <t>Ajustar al rango de diseño; si no regula, reemplazar la unidad</t>
        </is>
      </c>
      <c r="J597" s="20">
        <f>IFERROR(INDEX('APNA-370 (NOx)'!$U$9:$U$84,MATCH($B597,'APNA-370 (NOx)'!$A$9:$A$84,0)),"")</f>
        <v/>
      </c>
      <c r="K597" s="20">
        <f>IF(OR($J597="No conforme",$J597="Requiere reemplazo"),"SÍ — verificar destino","")</f>
        <v/>
      </c>
    </row>
    <row r="598" ht="36" customHeight="1">
      <c r="A598" s="20" t="inlineStr">
        <is>
          <t>APNA-370 (NOx)</t>
        </is>
      </c>
      <c r="B598" s="26" t="inlineStr">
        <is>
          <t>5.5.4</t>
        </is>
      </c>
      <c r="C598" s="22" t="inlineStr">
        <is>
          <t>Presión absoluta del detector (límite de alarma PRE1)</t>
        </is>
      </c>
      <c r="D598" s="24" t="inlineStr">
        <is>
          <t>Bloqueante</t>
        </is>
      </c>
      <c r="E598" s="22" t="inlineStr">
        <is>
          <t>Regulador R-2 desajustado, diafragma roto, o fuga en el colector interno</t>
        </is>
      </c>
      <c r="F598" s="20" t="n">
        <v>1</v>
      </c>
      <c r="G598" s="26" t="inlineStr">
        <is>
          <t>5.5.2</t>
        </is>
      </c>
      <c r="H598" s="22" t="inlineStr">
        <is>
          <t>Regulador de vacío R-2 (presión de la bomba)</t>
        </is>
      </c>
      <c r="I598" s="22" t="inlineStr">
        <is>
          <t>Ajustar R-2 primero; si la presión no responde al ajuste, buscar fuga o diafragma roto</t>
        </is>
      </c>
      <c r="J598" s="20">
        <f>IFERROR(INDEX('APNA-370 (NOx)'!$U$9:$U$84,MATCH($B598,'APNA-370 (NOx)'!$A$9:$A$84,0)),"")</f>
        <v/>
      </c>
      <c r="K598" s="20">
        <f>IF(OR($J598="No conforme",$J598="Requiere reemplazo"),"SÍ — verificar destino","")</f>
        <v/>
      </c>
    </row>
    <row r="599" ht="36" customHeight="1">
      <c r="A599" s="20" t="inlineStr">
        <is>
          <t>APNA-370 (NOx)</t>
        </is>
      </c>
      <c r="B599" s="26" t="inlineStr">
        <is>
          <t>5.5.4</t>
        </is>
      </c>
      <c r="C599" s="22" t="inlineStr">
        <is>
          <t>Presión absoluta del detector (límite de alarma PRE1)</t>
        </is>
      </c>
      <c r="D599" s="24" t="inlineStr">
        <is>
          <t>Bloqueante</t>
        </is>
      </c>
      <c r="E599" s="22" t="inlineStr">
        <is>
          <t>Regulador R-2 desajustado, diafragma roto, o fuga en el colector interno</t>
        </is>
      </c>
      <c r="F599" s="20" t="n">
        <v>2</v>
      </c>
      <c r="G599" s="26" t="inlineStr">
        <is>
          <t>5.1.2</t>
        </is>
      </c>
      <c r="H599" s="22" t="inlineStr">
        <is>
          <t>Ensamblaje del diafragma de la bomba (P-1-D)</t>
        </is>
      </c>
      <c r="I599" s="22" t="inlineStr">
        <is>
          <t>Ajustar R-2 primero; si la presión no responde al ajuste, buscar fuga o diafragma roto</t>
        </is>
      </c>
      <c r="J599" s="20">
        <f>IFERROR(INDEX('APNA-370 (NOx)'!$U$9:$U$84,MATCH($B599,'APNA-370 (NOx)'!$A$9:$A$84,0)),"")</f>
        <v/>
      </c>
      <c r="K599" s="20">
        <f>IF(OR($J599="No conforme",$J599="Requiere reemplazo"),"SÍ — verificar destino","")</f>
        <v/>
      </c>
    </row>
    <row r="600" ht="36" customHeight="1">
      <c r="A600" s="20" t="inlineStr">
        <is>
          <t>APNA-370 (NOx)</t>
        </is>
      </c>
      <c r="B600" s="26" t="inlineStr">
        <is>
          <t>5.5.4</t>
        </is>
      </c>
      <c r="C600" s="22" t="inlineStr">
        <is>
          <t>Presión absoluta del detector (límite de alarma PRE1)</t>
        </is>
      </c>
      <c r="D600" s="24" t="inlineStr">
        <is>
          <t>Bloqueante</t>
        </is>
      </c>
      <c r="E600" s="22" t="inlineStr">
        <is>
          <t>Regulador R-2 desajustado, diafragma roto, o fuga en el colector interno</t>
        </is>
      </c>
      <c r="F600" s="20" t="n">
        <v>3</v>
      </c>
      <c r="G600" s="26" t="inlineStr">
        <is>
          <t>6.1.1</t>
        </is>
      </c>
      <c r="H600" s="22" t="inlineStr">
        <is>
          <t>Hermeticidad del reactor</t>
        </is>
      </c>
      <c r="I600" s="22" t="inlineStr">
        <is>
          <t>Ajustar R-2 primero; si la presión no responde al ajuste, buscar fuga o diafragma roto</t>
        </is>
      </c>
      <c r="J600" s="20">
        <f>IFERROR(INDEX('APNA-370 (NOx)'!$U$9:$U$84,MATCH($B600,'APNA-370 (NOx)'!$A$9:$A$84,0)),"")</f>
        <v/>
      </c>
      <c r="K600" s="20">
        <f>IF(OR($J600="No conforme",$J600="Requiere reemplazo"),"SÍ — verificar destino","")</f>
        <v/>
      </c>
    </row>
    <row r="601" ht="36" customHeight="1">
      <c r="A601" s="20" t="inlineStr">
        <is>
          <t>APNA-370 (NOx)</t>
        </is>
      </c>
      <c r="B601" s="26" t="inlineStr">
        <is>
          <t>5.5.4</t>
        </is>
      </c>
      <c r="C601" s="22" t="inlineStr">
        <is>
          <t>Presión absoluta del detector (límite de alarma PRE1)</t>
        </is>
      </c>
      <c r="D601" s="24" t="inlineStr">
        <is>
          <t>Bloqueante</t>
        </is>
      </c>
      <c r="E601" s="22" t="inlineStr">
        <is>
          <t>Regulador R-2 desajustado, diafragma roto, o fuga en el colector interno</t>
        </is>
      </c>
      <c r="F601" s="20" t="n">
        <v>4</v>
      </c>
      <c r="G601" s="26" t="inlineStr">
        <is>
          <t>10.2.1</t>
        </is>
      </c>
      <c r="H601" s="22" t="inlineStr">
        <is>
          <t>Racores y férulas en los puertos traseros</t>
        </is>
      </c>
      <c r="I601" s="22" t="inlineStr">
        <is>
          <t>Ajustar R-2 primero; si la presión no responde al ajuste, buscar fuga o diafragma roto</t>
        </is>
      </c>
      <c r="J601" s="20">
        <f>IFERROR(INDEX('APNA-370 (NOx)'!$U$9:$U$84,MATCH($B601,'APNA-370 (NOx)'!$A$9:$A$84,0)),"")</f>
        <v/>
      </c>
      <c r="K601" s="20">
        <f>IF(OR($J601="No conforme",$J601="Requiere reemplazo"),"SÍ — verificar destino","")</f>
        <v/>
      </c>
    </row>
    <row r="602" ht="36" customHeight="1">
      <c r="A602" s="20" t="inlineStr">
        <is>
          <t>APNA-370 (NOx)</t>
        </is>
      </c>
      <c r="B602" s="26" t="inlineStr">
        <is>
          <t>6.1.1</t>
        </is>
      </c>
      <c r="C602" s="22" t="inlineStr">
        <is>
          <t>Hermeticidad del reactor</t>
        </is>
      </c>
      <c r="D602" s="24" t="inlineStr">
        <is>
          <t>Bloqueante</t>
        </is>
      </c>
      <c r="E602" s="22" t="inlineStr">
        <is>
          <t>O-Ring W degradado, o fisura en el bloque del reactor</t>
        </is>
      </c>
      <c r="F602" s="20" t="n">
        <v>1</v>
      </c>
      <c r="G602" s="26" t="inlineStr">
        <is>
          <t>5.5.4</t>
        </is>
      </c>
      <c r="H602" s="22" t="inlineStr">
        <is>
          <t>Presión absoluta del detector (límite de alarma PRE1)</t>
        </is>
      </c>
      <c r="I602" s="22" t="inlineStr">
        <is>
          <t>Reemplazar el O-Ring W de Vitón y repetir la prueba de hermeticidad</t>
        </is>
      </c>
      <c r="J602" s="20">
        <f>IFERROR(INDEX('APNA-370 (NOx)'!$U$9:$U$84,MATCH($B602,'APNA-370 (NOx)'!$A$9:$A$84,0)),"")</f>
        <v/>
      </c>
      <c r="K602" s="20">
        <f>IF(OR($J602="No conforme",$J602="Requiere reemplazo"),"SÍ — verificar destino","")</f>
        <v/>
      </c>
    </row>
    <row r="603" ht="36" customHeight="1">
      <c r="A603" s="20" t="inlineStr">
        <is>
          <t>APNA-370 (NOx)</t>
        </is>
      </c>
      <c r="B603" s="26" t="inlineStr">
        <is>
          <t>6.1.1</t>
        </is>
      </c>
      <c r="C603" s="22" t="inlineStr">
        <is>
          <t>Hermeticidad del reactor</t>
        </is>
      </c>
      <c r="D603" s="24" t="inlineStr">
        <is>
          <t>Bloqueante</t>
        </is>
      </c>
      <c r="E603" s="22" t="inlineStr">
        <is>
          <t>O-Ring W degradado, o fisura en el bloque del reactor</t>
        </is>
      </c>
      <c r="F603" s="20" t="n">
        <v>2</v>
      </c>
      <c r="G603" s="26" t="inlineStr">
        <is>
          <t>3.1.1</t>
        </is>
      </c>
      <c r="H603" s="22" t="inlineStr">
        <is>
          <t>Coeficiente de calibración de cero</t>
        </is>
      </c>
      <c r="I603" s="22" t="inlineStr">
        <is>
          <t>Reemplazar el O-Ring W de Vitón y repetir la prueba de hermeticidad</t>
        </is>
      </c>
      <c r="J603" s="20">
        <f>IFERROR(INDEX('APNA-370 (NOx)'!$U$9:$U$84,MATCH($B603,'APNA-370 (NOx)'!$A$9:$A$84,0)),"")</f>
        <v/>
      </c>
      <c r="K603" s="20">
        <f>IF(OR($J603="No conforme",$J603="Requiere reemplazo"),"SÍ — verificar destino","")</f>
        <v/>
      </c>
    </row>
    <row r="604" ht="36" customHeight="1">
      <c r="A604" s="20" t="inlineStr">
        <is>
          <t>APNA-370 (NOx)</t>
        </is>
      </c>
      <c r="B604" s="26" t="inlineStr">
        <is>
          <t>6.2.1</t>
        </is>
      </c>
      <c r="C604" s="22" t="inlineStr">
        <is>
          <t>Tubo catalizador de reducción (COM-1)</t>
        </is>
      </c>
      <c r="D604" s="24" t="inlineStr">
        <is>
          <t>Bloqueante</t>
        </is>
      </c>
      <c r="E604" s="22" t="inlineStr">
        <is>
          <t>Catalizador agotado, obstruido, o resistencia calefactora abierta</t>
        </is>
      </c>
      <c r="F604" s="20" t="n">
        <v>1</v>
      </c>
      <c r="G604" s="26" t="inlineStr">
        <is>
          <t>3.3.1</t>
        </is>
      </c>
      <c r="H604" s="22" t="inlineStr">
        <is>
          <t>Rendimiento del convertidor de NO2 a NO</t>
        </is>
      </c>
      <c r="I604" s="22" t="inlineStr">
        <is>
          <t>Reemplazar el tubo COM-1 y reajustar el coeficiente de eficiencia por GPT</t>
        </is>
      </c>
      <c r="J604" s="20">
        <f>IFERROR(INDEX('APNA-370 (NOx)'!$U$9:$U$84,MATCH($B604,'APNA-370 (NOx)'!$A$9:$A$84,0)),"")</f>
        <v/>
      </c>
      <c r="K604" s="20">
        <f>IF(OR($J604="No conforme",$J604="Requiere reemplazo"),"SÍ — verificar destino","")</f>
        <v/>
      </c>
    </row>
    <row r="605" ht="36" customHeight="1">
      <c r="A605" s="20" t="inlineStr">
        <is>
          <t>APNA-370 (NOx)</t>
        </is>
      </c>
      <c r="B605" s="26" t="inlineStr">
        <is>
          <t>6.2.1</t>
        </is>
      </c>
      <c r="C605" s="22" t="inlineStr">
        <is>
          <t>Tubo catalizador de reducción (COM-1)</t>
        </is>
      </c>
      <c r="D605" s="24" t="inlineStr">
        <is>
          <t>Bloqueante</t>
        </is>
      </c>
      <c r="E605" s="22" t="inlineStr">
        <is>
          <t>Catalizador agotado, obstruido, o resistencia calefactora abierta</t>
        </is>
      </c>
      <c r="F605" s="20" t="n">
        <v>2</v>
      </c>
      <c r="G605" s="26" t="inlineStr">
        <is>
          <t>1.3.1</t>
        </is>
      </c>
      <c r="H605" s="22" t="inlineStr">
        <is>
          <t>Tiempo de calentamiento posterior al encendido</t>
        </is>
      </c>
      <c r="I605" s="22" t="inlineStr">
        <is>
          <t>Reemplazar el tubo COM-1 y reajustar el coeficiente de eficiencia por GPT</t>
        </is>
      </c>
      <c r="J605" s="20">
        <f>IFERROR(INDEX('APNA-370 (NOx)'!$U$9:$U$84,MATCH($B605,'APNA-370 (NOx)'!$A$9:$A$84,0)),"")</f>
        <v/>
      </c>
      <c r="K605" s="20">
        <f>IF(OR($J605="No conforme",$J605="Requiere reemplazo"),"SÍ — verificar destino","")</f>
        <v/>
      </c>
    </row>
    <row r="606" ht="36" customHeight="1">
      <c r="A606" s="20" t="inlineStr">
        <is>
          <t>APNA-370 (NOx)</t>
        </is>
      </c>
      <c r="B606" s="26" t="inlineStr">
        <is>
          <t>6.3.1</t>
        </is>
      </c>
      <c r="C606" s="22" t="inlineStr">
        <is>
          <t>Tarjeta de potencia del ozonizador (AP-UVP-03)</t>
        </is>
      </c>
      <c r="D606" s="24" t="inlineStr">
        <is>
          <t>Bloqueante</t>
        </is>
      </c>
      <c r="E606" s="22" t="inlineStr">
        <is>
          <t>Tarjeta inversora quemada, o lámpara de ozono agotada</t>
        </is>
      </c>
      <c r="F606" s="20" t="n">
        <v>1</v>
      </c>
      <c r="G606" s="26" t="inlineStr">
        <is>
          <t>1.1.2</t>
        </is>
      </c>
      <c r="H606" s="22" t="inlineStr">
        <is>
          <t>Operación del ozonizador interno</t>
        </is>
      </c>
      <c r="I606" s="22" t="inlineStr">
        <is>
          <t>Descartar primero un apagado de protección por otra alarma; luego reemplazar tarjeta o lámpara</t>
        </is>
      </c>
      <c r="J606" s="20">
        <f>IFERROR(INDEX('APNA-370 (NOx)'!$U$9:$U$84,MATCH($B606,'APNA-370 (NOx)'!$A$9:$A$84,0)),"")</f>
        <v/>
      </c>
      <c r="K606" s="20">
        <f>IF(OR($J606="No conforme",$J606="Requiere reemplazo"),"SÍ — verificar destino","")</f>
        <v/>
      </c>
    </row>
    <row r="607" ht="36" customHeight="1">
      <c r="A607" s="20" t="inlineStr">
        <is>
          <t>APNA-370 (NOx)</t>
        </is>
      </c>
      <c r="B607" s="26" t="inlineStr">
        <is>
          <t>6.3.1</t>
        </is>
      </c>
      <c r="C607" s="22" t="inlineStr">
        <is>
          <t>Tarjeta de potencia del ozonizador (AP-UVP-03)</t>
        </is>
      </c>
      <c r="D607" s="24" t="inlineStr">
        <is>
          <t>Bloqueante</t>
        </is>
      </c>
      <c r="E607" s="22" t="inlineStr">
        <is>
          <t>Tarjeta inversora quemada, o lámpara de ozono agotada</t>
        </is>
      </c>
      <c r="F607" s="20" t="n">
        <v>2</v>
      </c>
      <c r="G607" s="26" t="inlineStr">
        <is>
          <t>6.3.2</t>
        </is>
      </c>
      <c r="H607" s="22" t="inlineStr">
        <is>
          <t>Protector de PTFE de la lámpara UV (UV liner)</t>
        </is>
      </c>
      <c r="I607" s="22" t="inlineStr">
        <is>
          <t>Descartar primero un apagado de protección por otra alarma; luego reemplazar tarjeta o lámpara</t>
        </is>
      </c>
      <c r="J607" s="20">
        <f>IFERROR(INDEX('APNA-370 (NOx)'!$U$9:$U$84,MATCH($B607,'APNA-370 (NOx)'!$A$9:$A$84,0)),"")</f>
        <v/>
      </c>
      <c r="K607" s="20">
        <f>IF(OR($J607="No conforme",$J607="Requiere reemplazo"),"SÍ — verificar destino","")</f>
        <v/>
      </c>
    </row>
    <row r="608" ht="36" customHeight="1">
      <c r="A608" s="20" t="inlineStr">
        <is>
          <t>APNA-370 (NOx)</t>
        </is>
      </c>
      <c r="B608" s="26" t="inlineStr">
        <is>
          <t>6.3.1</t>
        </is>
      </c>
      <c r="C608" s="22" t="inlineStr">
        <is>
          <t>Tarjeta de potencia del ozonizador (AP-UVP-03)</t>
        </is>
      </c>
      <c r="D608" s="24" t="inlineStr">
        <is>
          <t>Bloqueante</t>
        </is>
      </c>
      <c r="E608" s="22" t="inlineStr">
        <is>
          <t>Tarjeta inversora quemada, o lámpara de ozono agotada</t>
        </is>
      </c>
      <c r="F608" s="20" t="n">
        <v>3</v>
      </c>
      <c r="G608" s="26" t="inlineStr">
        <is>
          <t>9.3.1</t>
        </is>
      </c>
      <c r="H608" s="22" t="inlineStr">
        <is>
          <t>Canal de alimentación interna de 24 V DC</t>
        </is>
      </c>
      <c r="I608" s="22" t="inlineStr">
        <is>
          <t>Descartar primero un apagado de protección por otra alarma; luego reemplazar tarjeta o lámpara</t>
        </is>
      </c>
      <c r="J608" s="20">
        <f>IFERROR(INDEX('APNA-370 (NOx)'!$U$9:$U$84,MATCH($B608,'APNA-370 (NOx)'!$A$9:$A$84,0)),"")</f>
        <v/>
      </c>
      <c r="K608" s="20">
        <f>IF(OR($J608="No conforme",$J608="Requiere reemplazo"),"SÍ — verificar destino","")</f>
        <v/>
      </c>
    </row>
    <row r="609" ht="36" customHeight="1">
      <c r="A609" s="20" t="inlineStr">
        <is>
          <t>APNA-370 (NOx)</t>
        </is>
      </c>
      <c r="B609" s="26" t="inlineStr">
        <is>
          <t>6.3.2</t>
        </is>
      </c>
      <c r="C609" s="22" t="inlineStr">
        <is>
          <t>Protector de PTFE de la lámpara UV (UV liner)</t>
        </is>
      </c>
      <c r="D609" s="25" t="inlineStr">
        <is>
          <t>Cobrable</t>
        </is>
      </c>
      <c r="E609" s="22" t="inlineStr">
        <is>
          <t>Funda agrietada o deformada por el calor de la descarga</t>
        </is>
      </c>
      <c r="F609" s="20" t="n">
        <v>1</v>
      </c>
      <c r="G609" s="26" t="inlineStr">
        <is>
          <t>6.3.1</t>
        </is>
      </c>
      <c r="H609" s="22" t="inlineStr">
        <is>
          <t>Tarjeta de potencia del ozonizador (AP-UVP-03)</t>
        </is>
      </c>
      <c r="I609" s="22" t="inlineStr">
        <is>
          <t>Reemplazar el protector de PTFE junto con la lámpara del ozonizador</t>
        </is>
      </c>
      <c r="J609" s="20">
        <f>IFERROR(INDEX('APNA-370 (NOx)'!$U$9:$U$84,MATCH($B609,'APNA-370 (NOx)'!$A$9:$A$84,0)),"")</f>
        <v/>
      </c>
      <c r="K609" s="20">
        <f>IF(OR($J609="No conforme",$J609="Requiere reemplazo"),"SÍ — verificar destino","")</f>
        <v/>
      </c>
    </row>
    <row r="610" ht="36" customHeight="1">
      <c r="A610" s="20" t="inlineStr">
        <is>
          <t>APNA-370 (NOx)</t>
        </is>
      </c>
      <c r="B610" s="26" t="inlineStr">
        <is>
          <t>6.3.2</t>
        </is>
      </c>
      <c r="C610" s="22" t="inlineStr">
        <is>
          <t>Protector de PTFE de la lámpara UV (UV liner)</t>
        </is>
      </c>
      <c r="D610" s="25" t="inlineStr">
        <is>
          <t>Cobrable</t>
        </is>
      </c>
      <c r="E610" s="22" t="inlineStr">
        <is>
          <t>Funda agrietada o deformada por el calor de la descarga</t>
        </is>
      </c>
      <c r="F610" s="20" t="n">
        <v>2</v>
      </c>
      <c r="G610" s="26" t="inlineStr">
        <is>
          <t>1.1.2</t>
        </is>
      </c>
      <c r="H610" s="22" t="inlineStr">
        <is>
          <t>Operación del ozonizador interno</t>
        </is>
      </c>
      <c r="I610" s="22" t="inlineStr">
        <is>
          <t>Reemplazar el protector de PTFE junto con la lámpara del ozonizador</t>
        </is>
      </c>
      <c r="J610" s="20">
        <f>IFERROR(INDEX('APNA-370 (NOx)'!$U$9:$U$84,MATCH($B610,'APNA-370 (NOx)'!$A$9:$A$84,0)),"")</f>
        <v/>
      </c>
      <c r="K610" s="20">
        <f>IF(OR($J610="No conforme",$J610="Requiere reemplazo"),"SÍ — verificar destino","")</f>
        <v/>
      </c>
    </row>
    <row r="611" ht="36" customHeight="1">
      <c r="A611" s="20" t="inlineStr">
        <is>
          <t>APNA-370 (NOx)</t>
        </is>
      </c>
      <c r="B611" s="26" t="inlineStr">
        <is>
          <t>6.4.1</t>
        </is>
      </c>
      <c r="C611" s="22" t="inlineStr">
        <is>
          <t>Detector de luz de reacción</t>
        </is>
      </c>
      <c r="D611" s="24" t="inlineStr">
        <is>
          <t>Bloqueante</t>
        </is>
      </c>
      <c r="E611" s="22" t="inlineStr">
        <is>
          <t>Fotodiodo degradado, o cadena de amplificación en falla</t>
        </is>
      </c>
      <c r="F611" s="20" t="n">
        <v>1</v>
      </c>
      <c r="G611" s="26" t="inlineStr">
        <is>
          <t>6.4.2</t>
        </is>
      </c>
      <c r="H611" s="22" t="inlineStr">
        <is>
          <t>Limpieza de filtros ópticos y ventana de celda</t>
        </is>
      </c>
      <c r="I611" s="22" t="inlineStr">
        <is>
          <t>Limpiar la óptica antes de sospechar del detector; el APNA usa fotodiodo, no PMT</t>
        </is>
      </c>
      <c r="J611" s="20">
        <f>IFERROR(INDEX('APNA-370 (NOx)'!$U$9:$U$84,MATCH($B611,'APNA-370 (NOx)'!$A$9:$A$84,0)),"")</f>
        <v/>
      </c>
      <c r="K611" s="20">
        <f>IF(OR($J611="No conforme",$J611="Requiere reemplazo"),"SÍ — verificar destino","")</f>
        <v/>
      </c>
    </row>
    <row r="612" ht="36" customHeight="1">
      <c r="A612" s="20" t="inlineStr">
        <is>
          <t>APNA-370 (NOx)</t>
        </is>
      </c>
      <c r="B612" s="26" t="inlineStr">
        <is>
          <t>6.4.1</t>
        </is>
      </c>
      <c r="C612" s="22" t="inlineStr">
        <is>
          <t>Detector de luz de reacción</t>
        </is>
      </c>
      <c r="D612" s="24" t="inlineStr">
        <is>
          <t>Bloqueante</t>
        </is>
      </c>
      <c r="E612" s="22" t="inlineStr">
        <is>
          <t>Fotodiodo degradado, o cadena de amplificación en falla</t>
        </is>
      </c>
      <c r="F612" s="20" t="n">
        <v>2</v>
      </c>
      <c r="G612" s="26" t="inlineStr">
        <is>
          <t>6.1.1</t>
        </is>
      </c>
      <c r="H612" s="22" t="inlineStr">
        <is>
          <t>Hermeticidad del reactor</t>
        </is>
      </c>
      <c r="I612" s="22" t="inlineStr">
        <is>
          <t>Limpiar la óptica antes de sospechar del detector; el APNA usa fotodiodo, no PMT</t>
        </is>
      </c>
      <c r="J612" s="20">
        <f>IFERROR(INDEX('APNA-370 (NOx)'!$U$9:$U$84,MATCH($B612,'APNA-370 (NOx)'!$A$9:$A$84,0)),"")</f>
        <v/>
      </c>
      <c r="K612" s="20">
        <f>IF(OR($J612="No conforme",$J612="Requiere reemplazo"),"SÍ — verificar destino","")</f>
        <v/>
      </c>
    </row>
    <row r="613" ht="36" customHeight="1">
      <c r="A613" s="20" t="inlineStr">
        <is>
          <t>APNA-370 (NOx)</t>
        </is>
      </c>
      <c r="B613" s="26" t="inlineStr">
        <is>
          <t>6.4.1</t>
        </is>
      </c>
      <c r="C613" s="22" t="inlineStr">
        <is>
          <t>Detector de luz de reacción</t>
        </is>
      </c>
      <c r="D613" s="24" t="inlineStr">
        <is>
          <t>Bloqueante</t>
        </is>
      </c>
      <c r="E613" s="22" t="inlineStr">
        <is>
          <t>Fotodiodo degradado, o cadena de amplificación en falla</t>
        </is>
      </c>
      <c r="F613" s="20" t="n">
        <v>3</v>
      </c>
      <c r="G613" s="26" t="inlineStr">
        <is>
          <t>9.1.1</t>
        </is>
      </c>
      <c r="H613" s="22" t="inlineStr">
        <is>
          <t>Temperatura del detector (DETECTOR TEMP)</t>
        </is>
      </c>
      <c r="I613" s="22" t="inlineStr">
        <is>
          <t>Limpiar la óptica antes de sospechar del detector; el APNA usa fotodiodo, no PMT</t>
        </is>
      </c>
      <c r="J613" s="20">
        <f>IFERROR(INDEX('APNA-370 (NOx)'!$U$9:$U$84,MATCH($B613,'APNA-370 (NOx)'!$A$9:$A$84,0)),"")</f>
        <v/>
      </c>
      <c r="K613" s="20">
        <f>IF(OR($J613="No conforme",$J613="Requiere reemplazo"),"SÍ — verificar destino","")</f>
        <v/>
      </c>
    </row>
    <row r="614" ht="36" customHeight="1">
      <c r="A614" s="20" t="inlineStr">
        <is>
          <t>APNA-370 (NOx)</t>
        </is>
      </c>
      <c r="B614" s="26" t="inlineStr">
        <is>
          <t>6.4.2</t>
        </is>
      </c>
      <c r="C614" s="22" t="inlineStr">
        <is>
          <t>Limpieza de filtros ópticos y ventana de celda</t>
        </is>
      </c>
      <c r="D614" s="25" t="inlineStr">
        <is>
          <t>Cobrable</t>
        </is>
      </c>
      <c r="E614" s="22" t="inlineStr">
        <is>
          <t>Ventana empañada o con depósitos por humedad en el circuito</t>
        </is>
      </c>
      <c r="F614" s="20" t="n">
        <v>1</v>
      </c>
      <c r="G614" s="26" t="inlineStr">
        <is>
          <t>6.6.1</t>
        </is>
      </c>
      <c r="H614" s="22" t="inlineStr">
        <is>
          <t>Contenedores de gel de sílice (Dryer D-1)</t>
        </is>
      </c>
      <c r="I614" s="22" t="inlineStr">
        <is>
          <t>Limpiar en seco con tejido óptico y eliminar el origen de la humedad</t>
        </is>
      </c>
      <c r="J614" s="20">
        <f>IFERROR(INDEX('APNA-370 (NOx)'!$U$9:$U$84,MATCH($B614,'APNA-370 (NOx)'!$A$9:$A$84,0)),"")</f>
        <v/>
      </c>
      <c r="K614" s="20">
        <f>IF(OR($J614="No conforme",$J614="Requiere reemplazo"),"SÍ — verificar destino","")</f>
        <v/>
      </c>
    </row>
    <row r="615" ht="36" customHeight="1">
      <c r="A615" s="20" t="inlineStr">
        <is>
          <t>APNA-370 (NOx)</t>
        </is>
      </c>
      <c r="B615" s="26" t="inlineStr">
        <is>
          <t>6.4.2</t>
        </is>
      </c>
      <c r="C615" s="22" t="inlineStr">
        <is>
          <t>Limpieza de filtros ópticos y ventana de celda</t>
        </is>
      </c>
      <c r="D615" s="25" t="inlineStr">
        <is>
          <t>Cobrable</t>
        </is>
      </c>
      <c r="E615" s="22" t="inlineStr">
        <is>
          <t>Ventana empañada o con depósitos por humedad en el circuito</t>
        </is>
      </c>
      <c r="F615" s="20" t="n">
        <v>2</v>
      </c>
      <c r="G615" s="26" t="inlineStr">
        <is>
          <t>4.3.1</t>
        </is>
      </c>
      <c r="H615" s="22" t="inlineStr">
        <is>
          <t>Tanque de condensación neumático (Buffer Tank)</t>
        </is>
      </c>
      <c r="I615" s="22" t="inlineStr">
        <is>
          <t>Limpiar en seco con tejido óptico y eliminar el origen de la humedad</t>
        </is>
      </c>
      <c r="J615" s="20">
        <f>IFERROR(INDEX('APNA-370 (NOx)'!$U$9:$U$84,MATCH($B615,'APNA-370 (NOx)'!$A$9:$A$84,0)),"")</f>
        <v/>
      </c>
      <c r="K615" s="20">
        <f>IF(OR($J615="No conforme",$J615="Requiere reemplazo"),"SÍ — verificar destino","")</f>
        <v/>
      </c>
    </row>
    <row r="616" ht="36" customHeight="1">
      <c r="A616" s="20" t="inlineStr">
        <is>
          <t>APNA-370 (NOx)</t>
        </is>
      </c>
      <c r="B616" s="26" t="inlineStr">
        <is>
          <t>6.4.2</t>
        </is>
      </c>
      <c r="C616" s="22" t="inlineStr">
        <is>
          <t>Limpieza de filtros ópticos y ventana de celda</t>
        </is>
      </c>
      <c r="D616" s="25" t="inlineStr">
        <is>
          <t>Cobrable</t>
        </is>
      </c>
      <c r="E616" s="22" t="inlineStr">
        <is>
          <t>Ventana empañada o con depósitos por humedad en el circuito</t>
        </is>
      </c>
      <c r="F616" s="20" t="n">
        <v>3</v>
      </c>
      <c r="G616" s="26" t="inlineStr">
        <is>
          <t>6.4.1</t>
        </is>
      </c>
      <c r="H616" s="22" t="inlineStr">
        <is>
          <t>Detector de luz de reacción</t>
        </is>
      </c>
      <c r="I616" s="22" t="inlineStr">
        <is>
          <t>Limpiar en seco con tejido óptico y eliminar el origen de la humedad</t>
        </is>
      </c>
      <c r="J616" s="20">
        <f>IFERROR(INDEX('APNA-370 (NOx)'!$U$9:$U$84,MATCH($B616,'APNA-370 (NOx)'!$A$9:$A$84,0)),"")</f>
        <v/>
      </c>
      <c r="K616" s="20">
        <f>IF(OR($J616="No conforme",$J616="Requiere reemplazo"),"SÍ — verificar destino","")</f>
        <v/>
      </c>
    </row>
    <row r="617" ht="36" customHeight="1">
      <c r="A617" s="20" t="inlineStr">
        <is>
          <t>APNA-370 (NOx)</t>
        </is>
      </c>
      <c r="B617" s="26" t="inlineStr">
        <is>
          <t>6.5.1</t>
        </is>
      </c>
      <c r="C617" s="22" t="inlineStr">
        <is>
          <t>Catalizador de ozono de escape (DO-1 / Deozonizer)</t>
        </is>
      </c>
      <c r="D617" s="24" t="inlineStr">
        <is>
          <t>Bloqueante</t>
        </is>
      </c>
      <c r="E617" s="22" t="inlineStr">
        <is>
          <t>Catalizador saturado o degradado por humedad</t>
        </is>
      </c>
      <c r="F617" s="20" t="n">
        <v>1</v>
      </c>
      <c r="G617" s="26" t="inlineStr">
        <is>
          <t>8.2.1</t>
        </is>
      </c>
      <c r="H617" s="22" t="inlineStr">
        <is>
          <t>Depurador de gases de escape (Scrubber BAA-050)</t>
        </is>
      </c>
      <c r="I617" s="22" t="inlineStr">
        <is>
          <t>Reemplazar de inmediato: el ozono residual destruye los diafragmas de la bomba</t>
        </is>
      </c>
      <c r="J617" s="20">
        <f>IFERROR(INDEX('APNA-370 (NOx)'!$U$9:$U$84,MATCH($B617,'APNA-370 (NOx)'!$A$9:$A$84,0)),"")</f>
        <v/>
      </c>
      <c r="K617" s="20">
        <f>IF(OR($J617="No conforme",$J617="Requiere reemplazo"),"SÍ — verificar destino","")</f>
        <v/>
      </c>
    </row>
    <row r="618" ht="36" customHeight="1">
      <c r="A618" s="20" t="inlineStr">
        <is>
          <t>APNA-370 (NOx)</t>
        </is>
      </c>
      <c r="B618" s="26" t="inlineStr">
        <is>
          <t>6.5.1</t>
        </is>
      </c>
      <c r="C618" s="22" t="inlineStr">
        <is>
          <t>Catalizador de ozono de escape (DO-1 / Deozonizer)</t>
        </is>
      </c>
      <c r="D618" s="24" t="inlineStr">
        <is>
          <t>Bloqueante</t>
        </is>
      </c>
      <c r="E618" s="22" t="inlineStr">
        <is>
          <t>Catalizador saturado o degradado por humedad</t>
        </is>
      </c>
      <c r="F618" s="20" t="n">
        <v>2</v>
      </c>
      <c r="G618" s="26" t="inlineStr">
        <is>
          <t>5.1.2</t>
        </is>
      </c>
      <c r="H618" s="22" t="inlineStr">
        <is>
          <t>Ensamblaje del diafragma de la bomba (P-1-D)</t>
        </is>
      </c>
      <c r="I618" s="22" t="inlineStr">
        <is>
          <t>Reemplazar de inmediato: el ozono residual destruye los diafragmas de la bomba</t>
        </is>
      </c>
      <c r="J618" s="20">
        <f>IFERROR(INDEX('APNA-370 (NOx)'!$U$9:$U$84,MATCH($B618,'APNA-370 (NOx)'!$A$9:$A$84,0)),"")</f>
        <v/>
      </c>
      <c r="K618" s="20">
        <f>IF(OR($J618="No conforme",$J618="Requiere reemplazo"),"SÍ — verificar destino","")</f>
        <v/>
      </c>
    </row>
    <row r="619" ht="36" customHeight="1">
      <c r="A619" s="20" t="inlineStr">
        <is>
          <t>APNA-370 (NOx)</t>
        </is>
      </c>
      <c r="B619" s="26" t="inlineStr">
        <is>
          <t>6.6.1</t>
        </is>
      </c>
      <c r="C619" s="22" t="inlineStr">
        <is>
          <t>Contenedores de gel de sílice (Dryer D-1)</t>
        </is>
      </c>
      <c r="D619" s="25" t="inlineStr">
        <is>
          <t>Cobrable</t>
        </is>
      </c>
      <c r="E619" s="22" t="inlineStr">
        <is>
          <t>Sílica saturada, o ciclo de reactivación sin calentar</t>
        </is>
      </c>
      <c r="F619" s="20" t="n">
        <v>1</v>
      </c>
      <c r="G619" s="26" t="inlineStr">
        <is>
          <t>6.6.2</t>
        </is>
      </c>
      <c r="H619" s="22" t="inlineStr">
        <is>
          <t>Temperatura de reactivación del cilindro secador</t>
        </is>
      </c>
      <c r="I619" s="22" t="inlineStr">
        <is>
          <t>Reemplazar la carga de sílica en ambos cilindros y verificar el ciclo de reactivación</t>
        </is>
      </c>
      <c r="J619" s="20">
        <f>IFERROR(INDEX('APNA-370 (NOx)'!$U$9:$U$84,MATCH($B619,'APNA-370 (NOx)'!$A$9:$A$84,0)),"")</f>
        <v/>
      </c>
      <c r="K619" s="20">
        <f>IF(OR($J619="No conforme",$J619="Requiere reemplazo"),"SÍ — verificar destino","")</f>
        <v/>
      </c>
    </row>
    <row r="620" ht="36" customHeight="1">
      <c r="A620" s="20" t="inlineStr">
        <is>
          <t>APNA-370 (NOx)</t>
        </is>
      </c>
      <c r="B620" s="26" t="inlineStr">
        <is>
          <t>6.6.1</t>
        </is>
      </c>
      <c r="C620" s="22" t="inlineStr">
        <is>
          <t>Contenedores de gel de sílice (Dryer D-1)</t>
        </is>
      </c>
      <c r="D620" s="25" t="inlineStr">
        <is>
          <t>Cobrable</t>
        </is>
      </c>
      <c r="E620" s="22" t="inlineStr">
        <is>
          <t>Sílica saturada, o ciclo de reactivación sin calentar</t>
        </is>
      </c>
      <c r="F620" s="20" t="n">
        <v>2</v>
      </c>
      <c r="G620" s="26" t="inlineStr">
        <is>
          <t>8.1.1</t>
        </is>
      </c>
      <c r="H620" s="22" t="inlineStr">
        <is>
          <t>Filtro de aire en línea del ozonizador</t>
        </is>
      </c>
      <c r="I620" s="22" t="inlineStr">
        <is>
          <t>Reemplazar la carga de sílica en ambos cilindros y verificar el ciclo de reactivación</t>
        </is>
      </c>
      <c r="J620" s="20">
        <f>IFERROR(INDEX('APNA-370 (NOx)'!$U$9:$U$84,MATCH($B620,'APNA-370 (NOx)'!$A$9:$A$84,0)),"")</f>
        <v/>
      </c>
      <c r="K620" s="20">
        <f>IF(OR($J620="No conforme",$J620="Requiere reemplazo"),"SÍ — verificar destino","")</f>
        <v/>
      </c>
    </row>
    <row r="621" ht="36" customHeight="1">
      <c r="A621" s="20" t="inlineStr">
        <is>
          <t>APNA-370 (NOx)</t>
        </is>
      </c>
      <c r="B621" s="26" t="inlineStr">
        <is>
          <t>6.6.2</t>
        </is>
      </c>
      <c r="C621" s="22" t="inlineStr">
        <is>
          <t>Temperatura de reactivación del cilindro secador</t>
        </is>
      </c>
      <c r="D621" s="24" t="inlineStr">
        <is>
          <t>Bloqueante</t>
        </is>
      </c>
      <c r="E621" s="22" t="inlineStr">
        <is>
          <t>Resistencia del secador quemada, termocupla abierta, o relé de alternancia en falla</t>
        </is>
      </c>
      <c r="F621" s="20" t="n">
        <v>1</v>
      </c>
      <c r="G621" s="26" t="inlineStr">
        <is>
          <t>6.6.1</t>
        </is>
      </c>
      <c r="H621" s="22" t="inlineStr">
        <is>
          <t>Contenedores de gel de sílice (Dryer D-1)</t>
        </is>
      </c>
      <c r="I621" s="22" t="inlineStr">
        <is>
          <t>Medir continuidad de resistencia y termocupla antes de intervenir la tarjeta</t>
        </is>
      </c>
      <c r="J621" s="20">
        <f>IFERROR(INDEX('APNA-370 (NOx)'!$U$9:$U$84,MATCH($B621,'APNA-370 (NOx)'!$A$9:$A$84,0)),"")</f>
        <v/>
      </c>
      <c r="K621" s="20">
        <f>IF(OR($J621="No conforme",$J621="Requiere reemplazo"),"SÍ — verificar destino","")</f>
        <v/>
      </c>
    </row>
    <row r="622" ht="36" customHeight="1">
      <c r="A622" s="20" t="inlineStr">
        <is>
          <t>APNA-370 (NOx)</t>
        </is>
      </c>
      <c r="B622" s="26" t="inlineStr">
        <is>
          <t>6.6.2</t>
        </is>
      </c>
      <c r="C622" s="22" t="inlineStr">
        <is>
          <t>Temperatura de reactivación del cilindro secador</t>
        </is>
      </c>
      <c r="D622" s="24" t="inlineStr">
        <is>
          <t>Bloqueante</t>
        </is>
      </c>
      <c r="E622" s="22" t="inlineStr">
        <is>
          <t>Resistencia del secador quemada, termocupla abierta, o relé de alternancia en falla</t>
        </is>
      </c>
      <c r="F622" s="20" t="n">
        <v>2</v>
      </c>
      <c r="G622" s="26" t="inlineStr">
        <is>
          <t>7.1.3</t>
        </is>
      </c>
      <c r="H622" s="22" t="inlineStr">
        <is>
          <t>Tarjeta de relés y contactos (AP-RPL-02 / AP-RPL-02A)</t>
        </is>
      </c>
      <c r="I622" s="22" t="inlineStr">
        <is>
          <t>Medir continuidad de resistencia y termocupla antes de intervenir la tarjeta</t>
        </is>
      </c>
      <c r="J622" s="20">
        <f>IFERROR(INDEX('APNA-370 (NOx)'!$U$9:$U$84,MATCH($B622,'APNA-370 (NOx)'!$A$9:$A$84,0)),"")</f>
        <v/>
      </c>
      <c r="K622" s="20">
        <f>IF(OR($J622="No conforme",$J622="Requiere reemplazo"),"SÍ — verificar destino","")</f>
        <v/>
      </c>
    </row>
    <row r="623" ht="36" customHeight="1">
      <c r="A623" s="20" t="inlineStr">
        <is>
          <t>APNA-370 (NOx)</t>
        </is>
      </c>
      <c r="B623" s="26" t="inlineStr">
        <is>
          <t>7.1.1</t>
        </is>
      </c>
      <c r="C623" s="22" t="inlineStr">
        <is>
          <t>Tarjeta CPU (AP-CPU-01 / AP-CPU-02)</t>
        </is>
      </c>
      <c r="D623" s="24" t="inlineStr">
        <is>
          <t>Bloqueante</t>
        </is>
      </c>
      <c r="E623" s="22" t="inlineStr">
        <is>
          <t>Firmware congelado, daño térmico, o CPU sin inicializar tras sustitución</t>
        </is>
      </c>
      <c r="F623" s="20" t="n">
        <v>1</v>
      </c>
      <c r="G623" s="26" t="inlineStr">
        <is>
          <t>7.3.1</t>
        </is>
      </c>
      <c r="H623" s="22" t="inlineStr">
        <is>
          <t>Cintas de datos planas (Tape Wire)</t>
        </is>
      </c>
      <c r="I623" s="22" t="inlineStr">
        <is>
          <t>Reasentar conectores; si no destella, inicializar la CPU y ejecutar el memory scan</t>
        </is>
      </c>
      <c r="J623" s="20">
        <f>IFERROR(INDEX('APNA-370 (NOx)'!$U$9:$U$84,MATCH($B623,'APNA-370 (NOx)'!$A$9:$A$84,0)),"")</f>
        <v/>
      </c>
      <c r="K623" s="20">
        <f>IF(OR($J623="No conforme",$J623="Requiere reemplazo"),"SÍ — verificar destino","")</f>
        <v/>
      </c>
    </row>
    <row r="624" ht="36" customHeight="1">
      <c r="A624" s="20" t="inlineStr">
        <is>
          <t>APNA-370 (NOx)</t>
        </is>
      </c>
      <c r="B624" s="26" t="inlineStr">
        <is>
          <t>7.1.1</t>
        </is>
      </c>
      <c r="C624" s="22" t="inlineStr">
        <is>
          <t>Tarjeta CPU (AP-CPU-01 / AP-CPU-02)</t>
        </is>
      </c>
      <c r="D624" s="24" t="inlineStr">
        <is>
          <t>Bloqueante</t>
        </is>
      </c>
      <c r="E624" s="22" t="inlineStr">
        <is>
          <t>Firmware congelado, daño térmico, o CPU sin inicializar tras sustitución</t>
        </is>
      </c>
      <c r="F624" s="20" t="n">
        <v>2</v>
      </c>
      <c r="G624" s="26" t="inlineStr">
        <is>
          <t>7.2.1</t>
        </is>
      </c>
      <c r="H624" s="22" t="inlineStr">
        <is>
          <t>Pila de memoria y reloj RTC</t>
        </is>
      </c>
      <c r="I624" s="22" t="inlineStr">
        <is>
          <t>Reasentar conectores; si no destella, inicializar la CPU y ejecutar el memory scan</t>
        </is>
      </c>
      <c r="J624" s="20">
        <f>IFERROR(INDEX('APNA-370 (NOx)'!$U$9:$U$84,MATCH($B624,'APNA-370 (NOx)'!$A$9:$A$84,0)),"")</f>
        <v/>
      </c>
      <c r="K624" s="20">
        <f>IF(OR($J624="No conforme",$J624="Requiere reemplazo"),"SÍ — verificar destino","")</f>
        <v/>
      </c>
    </row>
    <row r="625" ht="36" customHeight="1">
      <c r="A625" s="20" t="inlineStr">
        <is>
          <t>APNA-370 (NOx)</t>
        </is>
      </c>
      <c r="B625" s="26" t="inlineStr">
        <is>
          <t>7.1.1</t>
        </is>
      </c>
      <c r="C625" s="22" t="inlineStr">
        <is>
          <t>Tarjeta CPU (AP-CPU-01 / AP-CPU-02)</t>
        </is>
      </c>
      <c r="D625" s="24" t="inlineStr">
        <is>
          <t>Bloqueante</t>
        </is>
      </c>
      <c r="E625" s="22" t="inlineStr">
        <is>
          <t>Firmware congelado, daño térmico, o CPU sin inicializar tras sustitución</t>
        </is>
      </c>
      <c r="F625" s="20" t="n">
        <v>3</v>
      </c>
      <c r="G625" s="26" t="inlineStr">
        <is>
          <t>9.3.2</t>
        </is>
      </c>
      <c r="H625" s="22" t="inlineStr">
        <is>
          <t>Canal de alimentación interna de 5 V DC</t>
        </is>
      </c>
      <c r="I625" s="22" t="inlineStr">
        <is>
          <t>Reasentar conectores; si no destella, inicializar la CPU y ejecutar el memory scan</t>
        </is>
      </c>
      <c r="J625" s="20">
        <f>IFERROR(INDEX('APNA-370 (NOx)'!$U$9:$U$84,MATCH($B625,'APNA-370 (NOx)'!$A$9:$A$84,0)),"")</f>
        <v/>
      </c>
      <c r="K625" s="20">
        <f>IF(OR($J625="No conforme",$J625="Requiere reemplazo"),"SÍ — verificar destino","")</f>
        <v/>
      </c>
    </row>
    <row r="626" ht="36" customHeight="1">
      <c r="A626" s="20" t="inlineStr">
        <is>
          <t>APNA-370 (NOx)</t>
        </is>
      </c>
      <c r="B626" s="26" t="inlineStr">
        <is>
          <t>7.1.2</t>
        </is>
      </c>
      <c r="C626" s="22" t="inlineStr">
        <is>
          <t>Tarjeta de conversión analógica-digital (AP-ADC-05)</t>
        </is>
      </c>
      <c r="D626" s="24" t="inlineStr">
        <is>
          <t>Bloqueante</t>
        </is>
      </c>
      <c r="E626" s="22" t="inlineStr">
        <is>
          <t>Configuración de modelo alterada, o tarjeta sin alimentación</t>
        </is>
      </c>
      <c r="F626" s="20" t="n">
        <v>1</v>
      </c>
      <c r="G626" s="26" t="inlineStr">
        <is>
          <t>9.3.1</t>
        </is>
      </c>
      <c r="H626" s="22" t="inlineStr">
        <is>
          <t>Canal de alimentación interna de 24 V DC</t>
        </is>
      </c>
      <c r="I626" s="22" t="inlineStr">
        <is>
          <t>Restituir los bits de modelo del APNA-370 y verificar la alimentación antes de reemplazar</t>
        </is>
      </c>
      <c r="J626" s="20">
        <f>IFERROR(INDEX('APNA-370 (NOx)'!$U$9:$U$84,MATCH($B626,'APNA-370 (NOx)'!$A$9:$A$84,0)),"")</f>
        <v/>
      </c>
      <c r="K626" s="20">
        <f>IF(OR($J626="No conforme",$J626="Requiere reemplazo"),"SÍ — verificar destino","")</f>
        <v/>
      </c>
    </row>
    <row r="627" ht="36" customHeight="1">
      <c r="A627" s="20" t="inlineStr">
        <is>
          <t>APNA-370 (NOx)</t>
        </is>
      </c>
      <c r="B627" s="26" t="inlineStr">
        <is>
          <t>7.1.2</t>
        </is>
      </c>
      <c r="C627" s="22" t="inlineStr">
        <is>
          <t>Tarjeta de conversión analógica-digital (AP-ADC-05)</t>
        </is>
      </c>
      <c r="D627" s="24" t="inlineStr">
        <is>
          <t>Bloqueante</t>
        </is>
      </c>
      <c r="E627" s="22" t="inlineStr">
        <is>
          <t>Configuración de modelo alterada, o tarjeta sin alimentación</t>
        </is>
      </c>
      <c r="F627" s="20" t="n">
        <v>2</v>
      </c>
      <c r="G627" s="26" t="inlineStr">
        <is>
          <t>9.3.2</t>
        </is>
      </c>
      <c r="H627" s="22" t="inlineStr">
        <is>
          <t>Canal de alimentación interna de 5 V DC</t>
        </is>
      </c>
      <c r="I627" s="22" t="inlineStr">
        <is>
          <t>Restituir los bits de modelo del APNA-370 y verificar la alimentación antes de reemplazar</t>
        </is>
      </c>
      <c r="J627" s="20">
        <f>IFERROR(INDEX('APNA-370 (NOx)'!$U$9:$U$84,MATCH($B627,'APNA-370 (NOx)'!$A$9:$A$84,0)),"")</f>
        <v/>
      </c>
      <c r="K627" s="20">
        <f>IF(OR($J627="No conforme",$J627="Requiere reemplazo"),"SÍ — verificar destino","")</f>
        <v/>
      </c>
    </row>
    <row r="628" ht="36" customHeight="1">
      <c r="A628" s="20" t="inlineStr">
        <is>
          <t>APNA-370 (NOx)</t>
        </is>
      </c>
      <c r="B628" s="26" t="inlineStr">
        <is>
          <t>7.1.2</t>
        </is>
      </c>
      <c r="C628" s="22" t="inlineStr">
        <is>
          <t>Tarjeta de conversión analógica-digital (AP-ADC-05)</t>
        </is>
      </c>
      <c r="D628" s="24" t="inlineStr">
        <is>
          <t>Bloqueante</t>
        </is>
      </c>
      <c r="E628" s="22" t="inlineStr">
        <is>
          <t>Configuración de modelo alterada, o tarjeta sin alimentación</t>
        </is>
      </c>
      <c r="F628" s="20" t="n">
        <v>3</v>
      </c>
      <c r="G628" s="26" t="inlineStr">
        <is>
          <t>7.1.1</t>
        </is>
      </c>
      <c r="H628" s="22" t="inlineStr">
        <is>
          <t>Tarjeta CPU (AP-CPU-01 / AP-CPU-02)</t>
        </is>
      </c>
      <c r="I628" s="22" t="inlineStr">
        <is>
          <t>Restituir los bits de modelo del APNA-370 y verificar la alimentación antes de reemplazar</t>
        </is>
      </c>
      <c r="J628" s="20">
        <f>IFERROR(INDEX('APNA-370 (NOx)'!$U$9:$U$84,MATCH($B628,'APNA-370 (NOx)'!$A$9:$A$84,0)),"")</f>
        <v/>
      </c>
      <c r="K628" s="20">
        <f>IF(OR($J628="No conforme",$J628="Requiere reemplazo"),"SÍ — verificar destino","")</f>
        <v/>
      </c>
    </row>
    <row r="629" ht="36" customHeight="1">
      <c r="A629" s="20" t="inlineStr">
        <is>
          <t>APNA-370 (NOx)</t>
        </is>
      </c>
      <c r="B629" s="26" t="inlineStr">
        <is>
          <t>7.1.3</t>
        </is>
      </c>
      <c r="C629" s="22" t="inlineStr">
        <is>
          <t>Tarjeta de relés y contactos (AP-RPL-02 / AP-RPL-02A)</t>
        </is>
      </c>
      <c r="D629" s="24" t="inlineStr">
        <is>
          <t>Bloqueante</t>
        </is>
      </c>
      <c r="E629" s="22" t="inlineStr">
        <is>
          <t>Cinta plana I2C floja, microprocesador H8 bloqueado, o terminal corroído</t>
        </is>
      </c>
      <c r="F629" s="20" t="n">
        <v>1</v>
      </c>
      <c r="G629" s="26" t="inlineStr">
        <is>
          <t>7.3.1</t>
        </is>
      </c>
      <c r="H629" s="22" t="inlineStr">
        <is>
          <t>Cintas de datos planas (Tape Wire)</t>
        </is>
      </c>
      <c r="I629" s="22" t="inlineStr">
        <is>
          <t>Reasentar la cinta I2C; si ST1 sigue fijo, reemplazar la tarjeta AP-RPL</t>
        </is>
      </c>
      <c r="J629" s="20">
        <f>IFERROR(INDEX('APNA-370 (NOx)'!$U$9:$U$84,MATCH($B629,'APNA-370 (NOx)'!$A$9:$A$84,0)),"")</f>
        <v/>
      </c>
      <c r="K629" s="20">
        <f>IF(OR($J629="No conforme",$J629="Requiere reemplazo"),"SÍ — verificar destino","")</f>
        <v/>
      </c>
    </row>
    <row r="630" ht="36" customHeight="1">
      <c r="A630" s="20" t="inlineStr">
        <is>
          <t>APNA-370 (NOx)</t>
        </is>
      </c>
      <c r="B630" s="26" t="inlineStr">
        <is>
          <t>7.1.3</t>
        </is>
      </c>
      <c r="C630" s="22" t="inlineStr">
        <is>
          <t>Tarjeta de relés y contactos (AP-RPL-02 / AP-RPL-02A)</t>
        </is>
      </c>
      <c r="D630" s="24" t="inlineStr">
        <is>
          <t>Bloqueante</t>
        </is>
      </c>
      <c r="E630" s="22" t="inlineStr">
        <is>
          <t>Cinta plana I2C floja, microprocesador H8 bloqueado, o terminal corroído</t>
        </is>
      </c>
      <c r="F630" s="20" t="n">
        <v>2</v>
      </c>
      <c r="G630" s="26" t="inlineStr">
        <is>
          <t>7.1.1</t>
        </is>
      </c>
      <c r="H630" s="22" t="inlineStr">
        <is>
          <t>Tarjeta CPU (AP-CPU-01 / AP-CPU-02)</t>
        </is>
      </c>
      <c r="I630" s="22" t="inlineStr">
        <is>
          <t>Reasentar la cinta I2C; si ST1 sigue fijo, reemplazar la tarjeta AP-RPL</t>
        </is>
      </c>
      <c r="J630" s="20">
        <f>IFERROR(INDEX('APNA-370 (NOx)'!$U$9:$U$84,MATCH($B630,'APNA-370 (NOx)'!$A$9:$A$84,0)),"")</f>
        <v/>
      </c>
      <c r="K630" s="20">
        <f>IF(OR($J630="No conforme",$J630="Requiere reemplazo"),"SÍ — verificar destino","")</f>
        <v/>
      </c>
    </row>
    <row r="631" ht="36" customHeight="1">
      <c r="A631" s="20" t="inlineStr">
        <is>
          <t>APNA-370 (NOx)</t>
        </is>
      </c>
      <c r="B631" s="26" t="inlineStr">
        <is>
          <t>7.1.4</t>
        </is>
      </c>
      <c r="C631" s="22" t="inlineStr">
        <is>
          <t>Tarjeta de comunicación serial RS-232C (AP-SIO-04)</t>
        </is>
      </c>
      <c r="D631" s="23" t="inlineStr">
        <is>
          <t>Alerta</t>
        </is>
      </c>
      <c r="E631" s="22" t="inlineStr">
        <is>
          <t>Tarjeta suelta o cable CN2 desconectado</t>
        </is>
      </c>
      <c r="F631" s="20" t="n">
        <v>1</v>
      </c>
      <c r="G631" s="26" t="inlineStr">
        <is>
          <t>7.4.1</t>
        </is>
      </c>
      <c r="H631" s="22" t="inlineStr">
        <is>
          <t>Señales de concentración de salida (Mom/Avg)</t>
        </is>
      </c>
      <c r="I631" s="22" t="inlineStr">
        <is>
          <t>Fijar la tarjeta con sus tornillos y reasentar el cable de 5 hilos</t>
        </is>
      </c>
      <c r="J631" s="20">
        <f>IFERROR(INDEX('APNA-370 (NOx)'!$U$9:$U$84,MATCH($B631,'APNA-370 (NOx)'!$A$9:$A$84,0)),"")</f>
        <v/>
      </c>
      <c r="K631" s="20">
        <f>IF(OR($J631="No conforme",$J631="Requiere reemplazo"),"SÍ — verificar destino","")</f>
        <v/>
      </c>
    </row>
    <row r="632" ht="36" customHeight="1">
      <c r="A632" s="20" t="inlineStr">
        <is>
          <t>APNA-370 (NOx)</t>
        </is>
      </c>
      <c r="B632" s="26" t="inlineStr">
        <is>
          <t>7.2.1</t>
        </is>
      </c>
      <c r="C632" s="22" t="inlineStr">
        <is>
          <t>Pila de memoria y reloj RTC</t>
        </is>
      </c>
      <c r="D632" s="25" t="inlineStr">
        <is>
          <t>Cobrable</t>
        </is>
      </c>
      <c r="E632" s="22" t="inlineStr">
        <is>
          <t>Pila al final de su vida útil (unos 3 años de servicio)</t>
        </is>
      </c>
      <c r="F632" s="20" t="n">
        <v>1</v>
      </c>
      <c r="G632" s="26" t="inlineStr">
        <is>
          <t>7.1.1</t>
        </is>
      </c>
      <c r="H632" s="22" t="inlineStr">
        <is>
          <t>Tarjeta CPU (AP-CPU-01 / AP-CPU-02)</t>
        </is>
      </c>
      <c r="I632" s="22" t="inlineStr">
        <is>
          <t>Reemplazar la CR2032 y reprogramar fecha, hora y secuencia AIC</t>
        </is>
      </c>
      <c r="J632" s="20">
        <f>IFERROR(INDEX('APNA-370 (NOx)'!$U$9:$U$84,MATCH($B632,'APNA-370 (NOx)'!$A$9:$A$84,0)),"")</f>
        <v/>
      </c>
      <c r="K632" s="20">
        <f>IF(OR($J632="No conforme",$J632="Requiere reemplazo"),"SÍ — verificar destino","")</f>
        <v/>
      </c>
    </row>
    <row r="633" ht="36" customHeight="1">
      <c r="A633" s="20" t="inlineStr">
        <is>
          <t>APNA-370 (NOx)</t>
        </is>
      </c>
      <c r="B633" s="26" t="inlineStr">
        <is>
          <t>7.3.1</t>
        </is>
      </c>
      <c r="C633" s="22" t="inlineStr">
        <is>
          <t>Cintas de datos planas (Tape Wire)</t>
        </is>
      </c>
      <c r="D633" s="25" t="inlineStr">
        <is>
          <t>Cobrable</t>
        </is>
      </c>
      <c r="E633" s="22" t="inlineStr">
        <is>
          <t>Cinta con hilos partidos, o conector mal asentado</t>
        </is>
      </c>
      <c r="F633" s="20" t="n">
        <v>1</v>
      </c>
      <c r="G633" s="26" t="inlineStr">
        <is>
          <t>7.1.1</t>
        </is>
      </c>
      <c r="H633" s="22" t="inlineStr">
        <is>
          <t>Tarjeta CPU (AP-CPU-01 / AP-CPU-02)</t>
        </is>
      </c>
      <c r="I633" s="22" t="inlineStr">
        <is>
          <t>Reasentar o reemplazar la cinta antes de cambiar cualquier tarjeta</t>
        </is>
      </c>
      <c r="J633" s="20">
        <f>IFERROR(INDEX('APNA-370 (NOx)'!$U$9:$U$84,MATCH($B633,'APNA-370 (NOx)'!$A$9:$A$84,0)),"")</f>
        <v/>
      </c>
      <c r="K633" s="20">
        <f>IF(OR($J633="No conforme",$J633="Requiere reemplazo"),"SÍ — verificar destino","")</f>
        <v/>
      </c>
    </row>
    <row r="634" ht="36" customHeight="1">
      <c r="A634" s="20" t="inlineStr">
        <is>
          <t>APNA-370 (NOx)</t>
        </is>
      </c>
      <c r="B634" s="26" t="inlineStr">
        <is>
          <t>7.3.1</t>
        </is>
      </c>
      <c r="C634" s="22" t="inlineStr">
        <is>
          <t>Cintas de datos planas (Tape Wire)</t>
        </is>
      </c>
      <c r="D634" s="25" t="inlineStr">
        <is>
          <t>Cobrable</t>
        </is>
      </c>
      <c r="E634" s="22" t="inlineStr">
        <is>
          <t>Cinta con hilos partidos, o conector mal asentado</t>
        </is>
      </c>
      <c r="F634" s="20" t="n">
        <v>2</v>
      </c>
      <c r="G634" s="26" t="inlineStr">
        <is>
          <t>7.1.3</t>
        </is>
      </c>
      <c r="H634" s="22" t="inlineStr">
        <is>
          <t>Tarjeta de relés y contactos (AP-RPL-02 / AP-RPL-02A)</t>
        </is>
      </c>
      <c r="I634" s="22" t="inlineStr">
        <is>
          <t>Reasentar o reemplazar la cinta antes de cambiar cualquier tarjeta</t>
        </is>
      </c>
      <c r="J634" s="20">
        <f>IFERROR(INDEX('APNA-370 (NOx)'!$U$9:$U$84,MATCH($B634,'APNA-370 (NOx)'!$A$9:$A$84,0)),"")</f>
        <v/>
      </c>
      <c r="K634" s="20">
        <f>IF(OR($J634="No conforme",$J634="Requiere reemplazo"),"SÍ — verificar destino","")</f>
        <v/>
      </c>
    </row>
    <row r="635" ht="36" customHeight="1">
      <c r="A635" s="20" t="inlineStr">
        <is>
          <t>APNA-370 (NOx)</t>
        </is>
      </c>
      <c r="B635" s="26" t="inlineStr">
        <is>
          <t>7.3.2</t>
        </is>
      </c>
      <c r="C635" s="22" t="inlineStr">
        <is>
          <t>Panel digitalizador táctil (Touch Panel)</t>
        </is>
      </c>
      <c r="D635" s="25" t="inlineStr">
        <is>
          <t>Cobrable</t>
        </is>
      </c>
      <c r="E635" s="22" t="inlineStr">
        <is>
          <t>Delaminación por humedad, o desgaste por objetos punzantes</t>
        </is>
      </c>
      <c r="F635" s="20" t="n">
        <v>1</v>
      </c>
      <c r="G635" s="26" t="inlineStr">
        <is>
          <t>1.1.3</t>
        </is>
      </c>
      <c r="H635" s="22" t="inlineStr">
        <is>
          <t>Estado y brillo del display LCD</t>
        </is>
      </c>
      <c r="I635" s="22" t="inlineStr">
        <is>
          <t>Recalibrar el panel; si no responde, reemplazarlo y controlar la humedad de la cabina</t>
        </is>
      </c>
      <c r="J635" s="20">
        <f>IFERROR(INDEX('APNA-370 (NOx)'!$U$9:$U$84,MATCH($B635,'APNA-370 (NOx)'!$A$9:$A$84,0)),"")</f>
        <v/>
      </c>
      <c r="K635" s="20">
        <f>IF(OR($J635="No conforme",$J635="Requiere reemplazo"),"SÍ — verificar destino","")</f>
        <v/>
      </c>
    </row>
    <row r="636" ht="36" customHeight="1">
      <c r="A636" s="20" t="inlineStr">
        <is>
          <t>APNA-370 (NOx)</t>
        </is>
      </c>
      <c r="B636" s="26" t="inlineStr">
        <is>
          <t>7.3.2</t>
        </is>
      </c>
      <c r="C636" s="22" t="inlineStr">
        <is>
          <t>Panel digitalizador táctil (Touch Panel)</t>
        </is>
      </c>
      <c r="D636" s="25" t="inlineStr">
        <is>
          <t>Cobrable</t>
        </is>
      </c>
      <c r="E636" s="22" t="inlineStr">
        <is>
          <t>Delaminación por humedad, o desgaste por objetos punzantes</t>
        </is>
      </c>
      <c r="F636" s="20" t="n">
        <v>2</v>
      </c>
      <c r="G636" s="26" t="inlineStr">
        <is>
          <t>10.3.2</t>
        </is>
      </c>
      <c r="H636" s="22" t="inlineStr">
        <is>
          <t>Límites de humedad relativa ambiente</t>
        </is>
      </c>
      <c r="I636" s="22" t="inlineStr">
        <is>
          <t>Recalibrar el panel; si no responde, reemplazarlo y controlar la humedad de la cabina</t>
        </is>
      </c>
      <c r="J636" s="20">
        <f>IFERROR(INDEX('APNA-370 (NOx)'!$U$9:$U$84,MATCH($B636,'APNA-370 (NOx)'!$A$9:$A$84,0)),"")</f>
        <v/>
      </c>
      <c r="K636" s="20">
        <f>IF(OR($J636="No conforme",$J636="Requiere reemplazo"),"SÍ — verificar destino","")</f>
        <v/>
      </c>
    </row>
    <row r="637" ht="36" customHeight="1">
      <c r="A637" s="20" t="inlineStr">
        <is>
          <t>APNA-370 (NOx)</t>
        </is>
      </c>
      <c r="B637" s="26" t="inlineStr">
        <is>
          <t>7.4.1</t>
        </is>
      </c>
      <c r="C637" s="22" t="inlineStr">
        <is>
          <t>Señales de concentración de salida (Mom/Avg)</t>
        </is>
      </c>
      <c r="D637" s="24" t="inlineStr">
        <is>
          <t>Bloqueante</t>
        </is>
      </c>
      <c r="E637" s="22" t="inlineStr">
        <is>
          <t>Salida analógica descalibrada o canal mal asignado</t>
        </is>
      </c>
      <c r="F637" s="20" t="n">
        <v>1</v>
      </c>
      <c r="G637" s="26" t="inlineStr">
        <is>
          <t>7.1.4</t>
        </is>
      </c>
      <c r="H637" s="22" t="inlineStr">
        <is>
          <t>Tarjeta de comunicación serial RS-232C (AP-SIO-04)</t>
        </is>
      </c>
      <c r="I637" s="22" t="inlineStr">
        <is>
          <t>Reajustar la salida y confirmar la lectura en el datalogger de la estación</t>
        </is>
      </c>
      <c r="J637" s="20">
        <f>IFERROR(INDEX('APNA-370 (NOx)'!$U$9:$U$84,MATCH($B637,'APNA-370 (NOx)'!$A$9:$A$84,0)),"")</f>
        <v/>
      </c>
      <c r="K637" s="20">
        <f>IF(OR($J637="No conforme",$J637="Requiere reemplazo"),"SÍ — verificar destino","")</f>
        <v/>
      </c>
    </row>
    <row r="638" ht="36" customHeight="1">
      <c r="A638" s="20" t="inlineStr">
        <is>
          <t>APNA-370 (NOx)</t>
        </is>
      </c>
      <c r="B638" s="26" t="inlineStr">
        <is>
          <t>7.4.1</t>
        </is>
      </c>
      <c r="C638" s="22" t="inlineStr">
        <is>
          <t>Señales de concentración de salida (Mom/Avg)</t>
        </is>
      </c>
      <c r="D638" s="24" t="inlineStr">
        <is>
          <t>Bloqueante</t>
        </is>
      </c>
      <c r="E638" s="22" t="inlineStr">
        <is>
          <t>Salida analógica descalibrada o canal mal asignado</t>
        </is>
      </c>
      <c r="F638" s="20" t="n">
        <v>2</v>
      </c>
      <c r="G638" s="26" t="inlineStr">
        <is>
          <t>7.1.2</t>
        </is>
      </c>
      <c r="H638" s="22" t="inlineStr">
        <is>
          <t>Tarjeta de conversión analógica-digital (AP-ADC-05)</t>
        </is>
      </c>
      <c r="I638" s="22" t="inlineStr">
        <is>
          <t>Reajustar la salida y confirmar la lectura en el datalogger de la estación</t>
        </is>
      </c>
      <c r="J638" s="20">
        <f>IFERROR(INDEX('APNA-370 (NOx)'!$U$9:$U$84,MATCH($B638,'APNA-370 (NOx)'!$A$9:$A$84,0)),"")</f>
        <v/>
      </c>
      <c r="K638" s="20">
        <f>IF(OR($J638="No conforme",$J638="Requiere reemplazo"),"SÍ — verificar destino","")</f>
        <v/>
      </c>
    </row>
    <row r="639" ht="36" customHeight="1">
      <c r="A639" s="20" t="inlineStr">
        <is>
          <t>APNA-370 (NOx)</t>
        </is>
      </c>
      <c r="B639" s="26" t="inlineStr">
        <is>
          <t>7.5.1</t>
        </is>
      </c>
      <c r="C639" s="22" t="inlineStr">
        <is>
          <t>Fusibles de entrada de red AC</t>
        </is>
      </c>
      <c r="D639" s="24" t="inlineStr">
        <is>
          <t>Bloqueante</t>
        </is>
      </c>
      <c r="E639" s="22" t="inlineStr">
        <is>
          <t>Fusible abierto por sobrecorriente o por falla de la fuente</t>
        </is>
      </c>
      <c r="F639" s="20" t="n">
        <v>1</v>
      </c>
      <c r="G639" s="26" t="inlineStr">
        <is>
          <t>9.3.1</t>
        </is>
      </c>
      <c r="H639" s="22" t="inlineStr">
        <is>
          <t>Canal de alimentación interna de 24 V DC</t>
        </is>
      </c>
      <c r="I639" s="22" t="inlineStr">
        <is>
          <t>Reponer el fusible del tipo y amperaje correctos; si vuelve a abrir, buscar el cortocircuito</t>
        </is>
      </c>
      <c r="J639" s="20">
        <f>IFERROR(INDEX('APNA-370 (NOx)'!$U$9:$U$84,MATCH($B639,'APNA-370 (NOx)'!$A$9:$A$84,0)),"")</f>
        <v/>
      </c>
      <c r="K639" s="20">
        <f>IF(OR($J639="No conforme",$J639="Requiere reemplazo"),"SÍ — verificar destino","")</f>
        <v/>
      </c>
    </row>
    <row r="640" ht="36" customHeight="1">
      <c r="A640" s="20" t="inlineStr">
        <is>
          <t>APNA-370 (NOx)</t>
        </is>
      </c>
      <c r="B640" s="26" t="inlineStr">
        <is>
          <t>7.5.1</t>
        </is>
      </c>
      <c r="C640" s="22" t="inlineStr">
        <is>
          <t>Fusibles de entrada de red AC</t>
        </is>
      </c>
      <c r="D640" s="24" t="inlineStr">
        <is>
          <t>Bloqueante</t>
        </is>
      </c>
      <c r="E640" s="22" t="inlineStr">
        <is>
          <t>Fusible abierto por sobrecorriente o por falla de la fuente</t>
        </is>
      </c>
      <c r="F640" s="20" t="n">
        <v>2</v>
      </c>
      <c r="G640" s="26" t="inlineStr">
        <is>
          <t>9.3.2</t>
        </is>
      </c>
      <c r="H640" s="22" t="inlineStr">
        <is>
          <t>Canal de alimentación interna de 5 V DC</t>
        </is>
      </c>
      <c r="I640" s="22" t="inlineStr">
        <is>
          <t>Reponer el fusible del tipo y amperaje correctos; si vuelve a abrir, buscar el cortocircuito</t>
        </is>
      </c>
      <c r="J640" s="20">
        <f>IFERROR(INDEX('APNA-370 (NOx)'!$U$9:$U$84,MATCH($B640,'APNA-370 (NOx)'!$A$9:$A$84,0)),"")</f>
        <v/>
      </c>
      <c r="K640" s="20">
        <f>IF(OR($J640="No conforme",$J640="Requiere reemplazo"),"SÍ — verificar destino","")</f>
        <v/>
      </c>
    </row>
    <row r="641" ht="36" customHeight="1">
      <c r="A641" s="20" t="inlineStr">
        <is>
          <t>APNA-370 (NOx)</t>
        </is>
      </c>
      <c r="B641" s="26" t="inlineStr">
        <is>
          <t>8.1.1</t>
        </is>
      </c>
      <c r="C641" s="22" t="inlineStr">
        <is>
          <t>Filtro de aire en línea del ozonizador</t>
        </is>
      </c>
      <c r="D641" s="25" t="inlineStr">
        <is>
          <t>Cobrable</t>
        </is>
      </c>
      <c r="E641" s="22" t="inlineStr">
        <is>
          <t>Elemento de 0,3 µm saturado o humedecido</t>
        </is>
      </c>
      <c r="F641" s="20" t="n">
        <v>1</v>
      </c>
      <c r="G641" s="26" t="inlineStr">
        <is>
          <t>6.6.1</t>
        </is>
      </c>
      <c r="H641" s="22" t="inlineStr">
        <is>
          <t>Contenedores de gel de sílice (Dryer D-1)</t>
        </is>
      </c>
      <c r="I641" s="22" t="inlineStr">
        <is>
          <t>Reemplazar el filtro de aire y verificar que la sílica esté seca</t>
        </is>
      </c>
      <c r="J641" s="20">
        <f>IFERROR(INDEX('APNA-370 (NOx)'!$U$9:$U$84,MATCH($B641,'APNA-370 (NOx)'!$A$9:$A$84,0)),"")</f>
        <v/>
      </c>
      <c r="K641" s="20">
        <f>IF(OR($J641="No conforme",$J641="Requiere reemplazo"),"SÍ — verificar destino","")</f>
        <v/>
      </c>
    </row>
    <row r="642" ht="36" customHeight="1">
      <c r="A642" s="20" t="inlineStr">
        <is>
          <t>APNA-370 (NOx)</t>
        </is>
      </c>
      <c r="B642" s="26" t="inlineStr">
        <is>
          <t>8.1.1</t>
        </is>
      </c>
      <c r="C642" s="22" t="inlineStr">
        <is>
          <t>Filtro de aire en línea del ozonizador</t>
        </is>
      </c>
      <c r="D642" s="25" t="inlineStr">
        <is>
          <t>Cobrable</t>
        </is>
      </c>
      <c r="E642" s="22" t="inlineStr">
        <is>
          <t>Elemento de 0,3 µm saturado o humedecido</t>
        </is>
      </c>
      <c r="F642" s="20" t="n">
        <v>2</v>
      </c>
      <c r="G642" s="26" t="inlineStr">
        <is>
          <t>1.1.2</t>
        </is>
      </c>
      <c r="H642" s="22" t="inlineStr">
        <is>
          <t>Operación del ozonizador interno</t>
        </is>
      </c>
      <c r="I642" s="22" t="inlineStr">
        <is>
          <t>Reemplazar el filtro de aire y verificar que la sílica esté seca</t>
        </is>
      </c>
      <c r="J642" s="20">
        <f>IFERROR(INDEX('APNA-370 (NOx)'!$U$9:$U$84,MATCH($B642,'APNA-370 (NOx)'!$A$9:$A$84,0)),"")</f>
        <v/>
      </c>
      <c r="K642" s="20">
        <f>IF(OR($J642="No conforme",$J642="Requiere reemplazo"),"SÍ — verificar destino","")</f>
        <v/>
      </c>
    </row>
    <row r="643" ht="24" customHeight="1">
      <c r="A643" s="20" t="inlineStr">
        <is>
          <t>APNA-370 (NOx)</t>
        </is>
      </c>
      <c r="B643" s="26" t="inlineStr">
        <is>
          <t>8.2.1</t>
        </is>
      </c>
      <c r="C643" s="22" t="inlineStr">
        <is>
          <t>Depurador de gases de escape (Scrubber BAA-050)</t>
        </is>
      </c>
      <c r="D643" s="25" t="inlineStr">
        <is>
          <t>Cobrable</t>
        </is>
      </c>
      <c r="E643" s="22" t="inlineStr">
        <is>
          <t>Alúmina activada decolorada o saturada</t>
        </is>
      </c>
      <c r="F643" s="20" t="n">
        <v>1</v>
      </c>
      <c r="G643" s="26" t="inlineStr">
        <is>
          <t>6.5.1</t>
        </is>
      </c>
      <c r="H643" s="22" t="inlineStr">
        <is>
          <t>Catalizador de ozono de escape (DO-1 / Deozonizer)</t>
        </is>
      </c>
      <c r="I643" s="22" t="inlineStr">
        <is>
          <t>Reemplazar el cartucho BAA-050</t>
        </is>
      </c>
      <c r="J643" s="20">
        <f>IFERROR(INDEX('APNA-370 (NOx)'!$U$9:$U$84,MATCH($B643,'APNA-370 (NOx)'!$A$9:$A$84,0)),"")</f>
        <v/>
      </c>
      <c r="K643" s="20">
        <f>IF(OR($J643="No conforme",$J643="Requiere reemplazo"),"SÍ — verificar destino","")</f>
        <v/>
      </c>
    </row>
    <row r="644" ht="36" customHeight="1">
      <c r="A644" s="20" t="inlineStr">
        <is>
          <t>APNA-370 (NOx)</t>
        </is>
      </c>
      <c r="B644" s="26" t="inlineStr">
        <is>
          <t>8.3.1</t>
        </is>
      </c>
      <c r="C644" s="22" t="inlineStr">
        <is>
          <t>Filtros de esponja de ventilación del chasis</t>
        </is>
      </c>
      <c r="D644" s="25" t="inlineStr">
        <is>
          <t>Cobrable</t>
        </is>
      </c>
      <c r="E644" s="22" t="inlineStr">
        <is>
          <t>Polvo del shelter acumulado: reduce el aire de enfriamiento</t>
        </is>
      </c>
      <c r="F644" s="20" t="n">
        <v>1</v>
      </c>
      <c r="G644" s="26" t="inlineStr">
        <is>
          <t>9.1.1</t>
        </is>
      </c>
      <c r="H644" s="22" t="inlineStr">
        <is>
          <t>Temperatura del detector (DETECTOR TEMP)</t>
        </is>
      </c>
      <c r="I644" s="22" t="inlineStr">
        <is>
          <t>Lavar o reemplazar las esponjas y revisar el nivel de polvo de la cabina</t>
        </is>
      </c>
      <c r="J644" s="20">
        <f>IFERROR(INDEX('APNA-370 (NOx)'!$U$9:$U$84,MATCH($B644,'APNA-370 (NOx)'!$A$9:$A$84,0)),"")</f>
        <v/>
      </c>
      <c r="K644" s="20">
        <f>IF(OR($J644="No conforme",$J644="Requiere reemplazo"),"SÍ — verificar destino","")</f>
        <v/>
      </c>
    </row>
    <row r="645" ht="36" customHeight="1">
      <c r="A645" s="20" t="inlineStr">
        <is>
          <t>APNA-370 (NOx)</t>
        </is>
      </c>
      <c r="B645" s="26" t="inlineStr">
        <is>
          <t>8.3.1</t>
        </is>
      </c>
      <c r="C645" s="22" t="inlineStr">
        <is>
          <t>Filtros de esponja de ventilación del chasis</t>
        </is>
      </c>
      <c r="D645" s="25" t="inlineStr">
        <is>
          <t>Cobrable</t>
        </is>
      </c>
      <c r="E645" s="22" t="inlineStr">
        <is>
          <t>Polvo del shelter acumulado: reduce el aire de enfriamiento</t>
        </is>
      </c>
      <c r="F645" s="20" t="n">
        <v>2</v>
      </c>
      <c r="G645" s="26" t="inlineStr">
        <is>
          <t>10.3.1</t>
        </is>
      </c>
      <c r="H645" s="22" t="inlineStr">
        <is>
          <t>Rango de temperatura ambiente del sitio</t>
        </is>
      </c>
      <c r="I645" s="22" t="inlineStr">
        <is>
          <t>Lavar o reemplazar las esponjas y revisar el nivel de polvo de la cabina</t>
        </is>
      </c>
      <c r="J645" s="20">
        <f>IFERROR(INDEX('APNA-370 (NOx)'!$U$9:$U$84,MATCH($B645,'APNA-370 (NOx)'!$A$9:$A$84,0)),"")</f>
        <v/>
      </c>
      <c r="K645" s="20">
        <f>IF(OR($J645="No conforme",$J645="Requiere reemplazo"),"SÍ — verificar destino","")</f>
        <v/>
      </c>
    </row>
    <row r="646" ht="36" customHeight="1">
      <c r="A646" s="20" t="inlineStr">
        <is>
          <t>APNA-370 (NOx)</t>
        </is>
      </c>
      <c r="B646" s="26" t="inlineStr">
        <is>
          <t>9.1.1</t>
        </is>
      </c>
      <c r="C646" s="22" t="inlineStr">
        <is>
          <t>Temperatura del detector (DETECTOR TEMP)</t>
        </is>
      </c>
      <c r="D646" s="24" t="inlineStr">
        <is>
          <t>Bloqueante</t>
        </is>
      </c>
      <c r="E646" s="22" t="inlineStr">
        <is>
          <t>Temperatura de sala fuera de rango, termistor dañado, o resistencia del detector abierta</t>
        </is>
      </c>
      <c r="F646" s="20" t="n">
        <v>1</v>
      </c>
      <c r="G646" s="26" t="inlineStr">
        <is>
          <t>10.3.1</t>
        </is>
      </c>
      <c r="H646" s="22" t="inlineStr">
        <is>
          <t>Rango de temperatura ambiente del sitio</t>
        </is>
      </c>
      <c r="I646" s="22" t="inlineStr">
        <is>
          <t>Descartar primero la sala; una lectura absurda apunta al termistor del detector</t>
        </is>
      </c>
      <c r="J646" s="20">
        <f>IFERROR(INDEX('APNA-370 (NOx)'!$U$9:$U$84,MATCH($B646,'APNA-370 (NOx)'!$A$9:$A$84,0)),"")</f>
        <v/>
      </c>
      <c r="K646" s="20">
        <f>IF(OR($J646="No conforme",$J646="Requiere reemplazo"),"SÍ — verificar destino","")</f>
        <v/>
      </c>
    </row>
    <row r="647" ht="36" customHeight="1">
      <c r="A647" s="20" t="inlineStr">
        <is>
          <t>APNA-370 (NOx)</t>
        </is>
      </c>
      <c r="B647" s="26" t="inlineStr">
        <is>
          <t>9.1.1</t>
        </is>
      </c>
      <c r="C647" s="22" t="inlineStr">
        <is>
          <t>Temperatura del detector (DETECTOR TEMP)</t>
        </is>
      </c>
      <c r="D647" s="24" t="inlineStr">
        <is>
          <t>Bloqueante</t>
        </is>
      </c>
      <c r="E647" s="22" t="inlineStr">
        <is>
          <t>Temperatura de sala fuera de rango, termistor dañado, o resistencia del detector abierta</t>
        </is>
      </c>
      <c r="F647" s="20" t="n">
        <v>2</v>
      </c>
      <c r="G647" s="26" t="inlineStr">
        <is>
          <t>8.3.1</t>
        </is>
      </c>
      <c r="H647" s="22" t="inlineStr">
        <is>
          <t>Filtros de esponja de ventilación del chasis</t>
        </is>
      </c>
      <c r="I647" s="22" t="inlineStr">
        <is>
          <t>Descartar primero la sala; una lectura absurda apunta al termistor del detector</t>
        </is>
      </c>
      <c r="J647" s="20">
        <f>IFERROR(INDEX('APNA-370 (NOx)'!$U$9:$U$84,MATCH($B647,'APNA-370 (NOx)'!$A$9:$A$84,0)),"")</f>
        <v/>
      </c>
      <c r="K647" s="20">
        <f>IF(OR($J647="No conforme",$J647="Requiere reemplazo"),"SÍ — verificar destino","")</f>
        <v/>
      </c>
    </row>
    <row r="648" ht="36" customHeight="1">
      <c r="A648" s="20" t="inlineStr">
        <is>
          <t>APNA-370 (NOx)</t>
        </is>
      </c>
      <c r="B648" s="26" t="inlineStr">
        <is>
          <t>9.1.1</t>
        </is>
      </c>
      <c r="C648" s="22" t="inlineStr">
        <is>
          <t>Temperatura del detector (DETECTOR TEMP)</t>
        </is>
      </c>
      <c r="D648" s="24" t="inlineStr">
        <is>
          <t>Bloqueante</t>
        </is>
      </c>
      <c r="E648" s="22" t="inlineStr">
        <is>
          <t>Temperatura de sala fuera de rango, termistor dañado, o resistencia del detector abierta</t>
        </is>
      </c>
      <c r="F648" s="20" t="n">
        <v>3</v>
      </c>
      <c r="G648" s="26" t="inlineStr">
        <is>
          <t>7.1.2</t>
        </is>
      </c>
      <c r="H648" s="22" t="inlineStr">
        <is>
          <t>Tarjeta de conversión analógica-digital (AP-ADC-05)</t>
        </is>
      </c>
      <c r="I648" s="22" t="inlineStr">
        <is>
          <t>Descartar primero la sala; una lectura absurda apunta al termistor del detector</t>
        </is>
      </c>
      <c r="J648" s="20">
        <f>IFERROR(INDEX('APNA-370 (NOx)'!$U$9:$U$84,MATCH($B648,'APNA-370 (NOx)'!$A$9:$A$84,0)),"")</f>
        <v/>
      </c>
      <c r="K648" s="20">
        <f>IF(OR($J648="No conforme",$J648="Requiere reemplazo"),"SÍ — verificar destino","")</f>
        <v/>
      </c>
    </row>
    <row r="649" ht="36" customHeight="1">
      <c r="A649" s="20" t="inlineStr">
        <is>
          <t>APNA-370 (NOx)</t>
        </is>
      </c>
      <c r="B649" s="26" t="inlineStr">
        <is>
          <t>9.2.1</t>
        </is>
      </c>
      <c r="C649" s="22" t="inlineStr">
        <is>
          <t>Presión interna del detector (PUMP PRESS)</t>
        </is>
      </c>
      <c r="D649" s="24" t="inlineStr">
        <is>
          <t>Bloqueante</t>
        </is>
      </c>
      <c r="E649" s="22" t="inlineStr">
        <is>
          <t>Regulador desajustado, fuga interna, o diafragma de bomba desgastado</t>
        </is>
      </c>
      <c r="F649" s="20" t="n">
        <v>1</v>
      </c>
      <c r="G649" s="26" t="inlineStr">
        <is>
          <t>5.5.4</t>
        </is>
      </c>
      <c r="H649" s="22" t="inlineStr">
        <is>
          <t>Presión absoluta del detector (límite de alarma PRE1)</t>
        </is>
      </c>
      <c r="I649" s="22" t="inlineStr">
        <is>
          <t>Ajustar los reguladores antes de intervenir la bomba</t>
        </is>
      </c>
      <c r="J649" s="20">
        <f>IFERROR(INDEX('APNA-370 (NOx)'!$U$9:$U$84,MATCH($B649,'APNA-370 (NOx)'!$A$9:$A$84,0)),"")</f>
        <v/>
      </c>
      <c r="K649" s="20">
        <f>IF(OR($J649="No conforme",$J649="Requiere reemplazo"),"SÍ — verificar destino","")</f>
        <v/>
      </c>
    </row>
    <row r="650" ht="36" customHeight="1">
      <c r="A650" s="20" t="inlineStr">
        <is>
          <t>APNA-370 (NOx)</t>
        </is>
      </c>
      <c r="B650" s="26" t="inlineStr">
        <is>
          <t>9.2.1</t>
        </is>
      </c>
      <c r="C650" s="22" t="inlineStr">
        <is>
          <t>Presión interna del detector (PUMP PRESS)</t>
        </is>
      </c>
      <c r="D650" s="24" t="inlineStr">
        <is>
          <t>Bloqueante</t>
        </is>
      </c>
      <c r="E650" s="22" t="inlineStr">
        <is>
          <t>Regulador desajustado, fuga interna, o diafragma de bomba desgastado</t>
        </is>
      </c>
      <c r="F650" s="20" t="n">
        <v>2</v>
      </c>
      <c r="G650" s="26" t="inlineStr">
        <is>
          <t>5.5.3</t>
        </is>
      </c>
      <c r="H650" s="22" t="inlineStr">
        <is>
          <t>Regulador diferencial R-3</t>
        </is>
      </c>
      <c r="I650" s="22" t="inlineStr">
        <is>
          <t>Ajustar los reguladores antes de intervenir la bomba</t>
        </is>
      </c>
      <c r="J650" s="20">
        <f>IFERROR(INDEX('APNA-370 (NOx)'!$U$9:$U$84,MATCH($B650,'APNA-370 (NOx)'!$A$9:$A$84,0)),"")</f>
        <v/>
      </c>
      <c r="K650" s="20">
        <f>IF(OR($J650="No conforme",$J650="Requiere reemplazo"),"SÍ — verificar destino","")</f>
        <v/>
      </c>
    </row>
    <row r="651" ht="36" customHeight="1">
      <c r="A651" s="20" t="inlineStr">
        <is>
          <t>APNA-370 (NOx)</t>
        </is>
      </c>
      <c r="B651" s="26" t="inlineStr">
        <is>
          <t>9.2.2</t>
        </is>
      </c>
      <c r="C651" s="22" t="inlineStr">
        <is>
          <t>Presión ambiental (AMBIENT PRESS)</t>
        </is>
      </c>
      <c r="D651" s="24" t="inlineStr">
        <is>
          <t>Bloqueante</t>
        </is>
      </c>
      <c r="E651" s="22" t="inlineStr">
        <is>
          <t>Transductor descalibrado por la altitud del sitio, o dañado</t>
        </is>
      </c>
      <c r="F651" s="20" t="n">
        <v>1</v>
      </c>
      <c r="G651" s="26" t="inlineStr">
        <is>
          <t>9.2.1</t>
        </is>
      </c>
      <c r="H651" s="22" t="inlineStr">
        <is>
          <t>Presión interna del detector (PUMP PRESS)</t>
        </is>
      </c>
      <c r="I651" s="22" t="inlineStr">
        <is>
          <t>Comparar contra barómetro patrón y compensar el intercepto con PRESS ADJUSTMENT</t>
        </is>
      </c>
      <c r="J651" s="20">
        <f>IFERROR(INDEX('APNA-370 (NOx)'!$U$9:$U$84,MATCH($B651,'APNA-370 (NOx)'!$A$9:$A$84,0)),"")</f>
        <v/>
      </c>
      <c r="K651" s="20">
        <f>IF(OR($J651="No conforme",$J651="Requiere reemplazo"),"SÍ — verificar destino","")</f>
        <v/>
      </c>
    </row>
    <row r="652" ht="36" customHeight="1">
      <c r="A652" s="20" t="inlineStr">
        <is>
          <t>APNA-370 (NOx)</t>
        </is>
      </c>
      <c r="B652" s="26" t="inlineStr">
        <is>
          <t>9.3.1</t>
        </is>
      </c>
      <c r="C652" s="22" t="inlineStr">
        <is>
          <t>Canal de alimentación interna de 24 V DC</t>
        </is>
      </c>
      <c r="D652" s="24" t="inlineStr">
        <is>
          <t>Bloqueante</t>
        </is>
      </c>
      <c r="E652" s="22" t="inlineStr">
        <is>
          <t>Fuente degradada o carga excesiva sobre el riel</t>
        </is>
      </c>
      <c r="F652" s="20" t="n">
        <v>1</v>
      </c>
      <c r="G652" s="26" t="inlineStr">
        <is>
          <t>7.5.1</t>
        </is>
      </c>
      <c r="H652" s="22" t="inlineStr">
        <is>
          <t>Fusibles de entrada de red AC</t>
        </is>
      </c>
      <c r="I652" s="22" t="inlineStr">
        <is>
          <t>Medir en el punto de prueba de la tarjeta; si la fuente no regula, reemplazarla</t>
        </is>
      </c>
      <c r="J652" s="20">
        <f>IFERROR(INDEX('APNA-370 (NOx)'!$U$9:$U$84,MATCH($B652,'APNA-370 (NOx)'!$A$9:$A$84,0)),"")</f>
        <v/>
      </c>
      <c r="K652" s="20">
        <f>IF(OR($J652="No conforme",$J652="Requiere reemplazo"),"SÍ — verificar destino","")</f>
        <v/>
      </c>
    </row>
    <row r="653" ht="36" customHeight="1">
      <c r="A653" s="20" t="inlineStr">
        <is>
          <t>APNA-370 (NOx)</t>
        </is>
      </c>
      <c r="B653" s="26" t="inlineStr">
        <is>
          <t>9.3.1</t>
        </is>
      </c>
      <c r="C653" s="22" t="inlineStr">
        <is>
          <t>Canal de alimentación interna de 24 V DC</t>
        </is>
      </c>
      <c r="D653" s="24" t="inlineStr">
        <is>
          <t>Bloqueante</t>
        </is>
      </c>
      <c r="E653" s="22" t="inlineStr">
        <is>
          <t>Fuente degradada o carga excesiva sobre el riel</t>
        </is>
      </c>
      <c r="F653" s="20" t="n">
        <v>2</v>
      </c>
      <c r="G653" s="26" t="inlineStr">
        <is>
          <t>7.1.2</t>
        </is>
      </c>
      <c r="H653" s="22" t="inlineStr">
        <is>
          <t>Tarjeta de conversión analógica-digital (AP-ADC-05)</t>
        </is>
      </c>
      <c r="I653" s="22" t="inlineStr">
        <is>
          <t>Medir en el punto de prueba de la tarjeta; si la fuente no regula, reemplazarla</t>
        </is>
      </c>
      <c r="J653" s="20">
        <f>IFERROR(INDEX('APNA-370 (NOx)'!$U$9:$U$84,MATCH($B653,'APNA-370 (NOx)'!$A$9:$A$84,0)),"")</f>
        <v/>
      </c>
      <c r="K653" s="20">
        <f>IF(OR($J653="No conforme",$J653="Requiere reemplazo"),"SÍ — verificar destino","")</f>
        <v/>
      </c>
    </row>
    <row r="654" ht="36" customHeight="1">
      <c r="A654" s="20" t="inlineStr">
        <is>
          <t>APNA-370 (NOx)</t>
        </is>
      </c>
      <c r="B654" s="26" t="inlineStr">
        <is>
          <t>9.3.2</t>
        </is>
      </c>
      <c r="C654" s="22" t="inlineStr">
        <is>
          <t>Canal de alimentación interna de 5 V DC</t>
        </is>
      </c>
      <c r="D654" s="24" t="inlineStr">
        <is>
          <t>Bloqueante</t>
        </is>
      </c>
      <c r="E654" s="22" t="inlineStr">
        <is>
          <t>Regulador de la fuente fuera de tolerancia</t>
        </is>
      </c>
      <c r="F654" s="20" t="n">
        <v>1</v>
      </c>
      <c r="G654" s="26" t="inlineStr">
        <is>
          <t>7.5.1</t>
        </is>
      </c>
      <c r="H654" s="22" t="inlineStr">
        <is>
          <t>Fusibles de entrada de red AC</t>
        </is>
      </c>
      <c r="I654" s="22" t="inlineStr">
        <is>
          <t>Medir en el punto de prueba; si está fuera de ±0,5 V, reemplazar la fuente</t>
        </is>
      </c>
      <c r="J654" s="20">
        <f>IFERROR(INDEX('APNA-370 (NOx)'!$U$9:$U$84,MATCH($B654,'APNA-370 (NOx)'!$A$9:$A$84,0)),"")</f>
        <v/>
      </c>
      <c r="K654" s="20">
        <f>IF(OR($J654="No conforme",$J654="Requiere reemplazo"),"SÍ — verificar destino","")</f>
        <v/>
      </c>
    </row>
    <row r="655" ht="36" customHeight="1">
      <c r="A655" s="20" t="inlineStr">
        <is>
          <t>APNA-370 (NOx)</t>
        </is>
      </c>
      <c r="B655" s="26" t="inlineStr">
        <is>
          <t>9.3.2</t>
        </is>
      </c>
      <c r="C655" s="22" t="inlineStr">
        <is>
          <t>Canal de alimentación interna de 5 V DC</t>
        </is>
      </c>
      <c r="D655" s="24" t="inlineStr">
        <is>
          <t>Bloqueante</t>
        </is>
      </c>
      <c r="E655" s="22" t="inlineStr">
        <is>
          <t>Regulador de la fuente fuera de tolerancia</t>
        </is>
      </c>
      <c r="F655" s="20" t="n">
        <v>2</v>
      </c>
      <c r="G655" s="26" t="inlineStr">
        <is>
          <t>7.1.1</t>
        </is>
      </c>
      <c r="H655" s="22" t="inlineStr">
        <is>
          <t>Tarjeta CPU (AP-CPU-01 / AP-CPU-02)</t>
        </is>
      </c>
      <c r="I655" s="22" t="inlineStr">
        <is>
          <t>Medir en el punto de prueba; si está fuera de ±0,5 V, reemplazar la fuente</t>
        </is>
      </c>
      <c r="J655" s="20">
        <f>IFERROR(INDEX('APNA-370 (NOx)'!$U$9:$U$84,MATCH($B655,'APNA-370 (NOx)'!$A$9:$A$84,0)),"")</f>
        <v/>
      </c>
      <c r="K655" s="20">
        <f>IF(OR($J655="No conforme",$J655="Requiere reemplazo"),"SÍ — verificar destino","")</f>
        <v/>
      </c>
    </row>
    <row r="656" ht="36" customHeight="1">
      <c r="A656" s="20" t="inlineStr">
        <is>
          <t>APNA-370 (NOx)</t>
        </is>
      </c>
      <c r="B656" s="26" t="inlineStr">
        <is>
          <t>10.1.1</t>
        </is>
      </c>
      <c r="C656" s="22" t="inlineStr">
        <is>
          <t>Dimensiones físicas externas</t>
        </is>
      </c>
      <c r="D656" s="23" t="inlineStr">
        <is>
          <t>Alerta</t>
        </is>
      </c>
      <c r="E656" s="22" t="inlineStr">
        <is>
          <t>Espacio de rack insuficiente para el chasis y sus conexiones</t>
        </is>
      </c>
      <c r="F656" s="20" t="n">
        <v>1</v>
      </c>
      <c r="G656" s="26" t="inlineStr">
        <is>
          <t>10.1.2</t>
        </is>
      </c>
      <c r="H656" s="22" t="inlineStr">
        <is>
          <t>Masa total del analizador</t>
        </is>
      </c>
      <c r="I656" s="22" t="inlineStr">
        <is>
          <t>Liberar el espacio de 5U y dejar holgura trasera para mangueras y cables</t>
        </is>
      </c>
      <c r="J656" s="20">
        <f>IFERROR(INDEX('APNA-370 (NOx)'!$U$9:$U$84,MATCH($B656,'APNA-370 (NOx)'!$A$9:$A$84,0)),"")</f>
        <v/>
      </c>
      <c r="K656" s="20">
        <f>IF(OR($J656="No conforme",$J656="Requiere reemplazo"),"SÍ — verificar destino","")</f>
        <v/>
      </c>
    </row>
    <row r="657" ht="36" customHeight="1">
      <c r="A657" s="20" t="inlineStr">
        <is>
          <t>APNA-370 (NOx)</t>
        </is>
      </c>
      <c r="B657" s="26" t="inlineStr">
        <is>
          <t>10.1.2</t>
        </is>
      </c>
      <c r="C657" s="22" t="inlineStr">
        <is>
          <t>Masa total del analizador</t>
        </is>
      </c>
      <c r="D657" s="23" t="inlineStr">
        <is>
          <t>Alerta</t>
        </is>
      </c>
      <c r="E657" s="22" t="inlineStr">
        <is>
          <t>Bandeja o rieles no dimensionados para el peso del equipo</t>
        </is>
      </c>
      <c r="F657" s="20" t="n">
        <v>1</v>
      </c>
      <c r="G657" s="26" t="inlineStr">
        <is>
          <t>10.1.1</t>
        </is>
      </c>
      <c r="H657" s="22" t="inlineStr">
        <is>
          <t>Dimensiones físicas externas</t>
        </is>
      </c>
      <c r="I657" s="22" t="inlineStr">
        <is>
          <t>Instalar soporte adecuado; el traslado requiere dos personas</t>
        </is>
      </c>
      <c r="J657" s="20">
        <f>IFERROR(INDEX('APNA-370 (NOx)'!$U$9:$U$84,MATCH($B657,'APNA-370 (NOx)'!$A$9:$A$84,0)),"")</f>
        <v/>
      </c>
      <c r="K657" s="20">
        <f>IF(OR($J657="No conforme",$J657="Requiere reemplazo"),"SÍ — verificar destino","")</f>
        <v/>
      </c>
    </row>
    <row r="658" ht="24" customHeight="1">
      <c r="A658" s="20" t="inlineStr">
        <is>
          <t>APNA-370 (NOx)</t>
        </is>
      </c>
      <c r="B658" s="26" t="inlineStr">
        <is>
          <t>10.1.3</t>
        </is>
      </c>
      <c r="C658" s="22" t="inlineStr">
        <is>
          <t>Tornillos de fijación de la cubierta superior</t>
        </is>
      </c>
      <c r="D658" s="25" t="inlineStr">
        <is>
          <t>Cobrable</t>
        </is>
      </c>
      <c r="E658" s="22" t="inlineStr">
        <is>
          <t>Tornillos ausentes o flojos por vibración</t>
        </is>
      </c>
      <c r="F658" s="20" t="n">
        <v>1</v>
      </c>
      <c r="G658" s="26" t="inlineStr">
        <is>
          <t>8.3.1</t>
        </is>
      </c>
      <c r="H658" s="22" t="inlineStr">
        <is>
          <t>Filtros de esponja de ventilación del chasis</t>
        </is>
      </c>
      <c r="I658" s="22" t="inlineStr">
        <is>
          <t>Reponer y ajustar los 8 tornillos M3 de la tapa</t>
        </is>
      </c>
      <c r="J658" s="20">
        <f>IFERROR(INDEX('APNA-370 (NOx)'!$U$9:$U$84,MATCH($B658,'APNA-370 (NOx)'!$A$9:$A$84,0)),"")</f>
        <v/>
      </c>
      <c r="K658" s="20">
        <f>IF(OR($J658="No conforme",$J658="Requiere reemplazo"),"SÍ — verificar destino","")</f>
        <v/>
      </c>
    </row>
    <row r="659" ht="36" customHeight="1">
      <c r="A659" s="20" t="inlineStr">
        <is>
          <t>APNA-370 (NOx)</t>
        </is>
      </c>
      <c r="B659" s="26" t="inlineStr">
        <is>
          <t>10.1.4</t>
        </is>
      </c>
      <c r="C659" s="22" t="inlineStr">
        <is>
          <t>Casquillos de bisagra de la puerta frontal</t>
        </is>
      </c>
      <c r="D659" s="25" t="inlineStr">
        <is>
          <t>Cobrable</t>
        </is>
      </c>
      <c r="E659" s="22" t="inlineStr">
        <is>
          <t>Casquillo desgastado: la puerta se descuelga</t>
        </is>
      </c>
      <c r="F659" s="20" t="n">
        <v>1</v>
      </c>
      <c r="G659" s="26" t="inlineStr">
        <is>
          <t>10.1.3</t>
        </is>
      </c>
      <c r="H659" s="22" t="inlineStr">
        <is>
          <t>Tornillos de fijación de la cubierta superior</t>
        </is>
      </c>
      <c r="I659" s="22" t="inlineStr">
        <is>
          <t>Reemplazar los casquillos de bisagra y realinear la puerta</t>
        </is>
      </c>
      <c r="J659" s="20">
        <f>IFERROR(INDEX('APNA-370 (NOx)'!$U$9:$U$84,MATCH($B659,'APNA-370 (NOx)'!$A$9:$A$84,0)),"")</f>
        <v/>
      </c>
      <c r="K659" s="20">
        <f>IF(OR($J659="No conforme",$J659="Requiere reemplazo"),"SÍ — verificar destino","")</f>
        <v/>
      </c>
    </row>
    <row r="660" ht="36" customHeight="1">
      <c r="A660" s="20" t="inlineStr">
        <is>
          <t>APNA-370 (NOx)</t>
        </is>
      </c>
      <c r="B660" s="26" t="inlineStr">
        <is>
          <t>10.2.1</t>
        </is>
      </c>
      <c r="C660" s="22" t="inlineStr">
        <is>
          <t>Racores y férulas en los puertos traseros</t>
        </is>
      </c>
      <c r="D660" s="24" t="inlineStr">
        <is>
          <t>Bloqueante</t>
        </is>
      </c>
      <c r="E660" s="22" t="inlineStr">
        <is>
          <t>Férula o tuerca ausente: ingreso de aire falso por los puertos</t>
        </is>
      </c>
      <c r="F660" s="20" t="n">
        <v>1</v>
      </c>
      <c r="G660" s="26" t="inlineStr">
        <is>
          <t>5.5.4</t>
        </is>
      </c>
      <c r="H660" s="22" t="inlineStr">
        <is>
          <t>Presión absoluta del detector (límite de alarma PRE1)</t>
        </is>
      </c>
      <c r="I660" s="22" t="inlineStr">
        <is>
          <t>Instalar férulas y tuercas de PVDF y repetir la prueba de hermeticidad antes de calibrar</t>
        </is>
      </c>
      <c r="J660" s="20">
        <f>IFERROR(INDEX('APNA-370 (NOx)'!$U$9:$U$84,MATCH($B660,'APNA-370 (NOx)'!$A$9:$A$84,0)),"")</f>
        <v/>
      </c>
      <c r="K660" s="20">
        <f>IF(OR($J660="No conforme",$J660="Requiere reemplazo"),"SÍ — verificar destino","")</f>
        <v/>
      </c>
    </row>
    <row r="661" ht="36" customHeight="1">
      <c r="A661" s="20" t="inlineStr">
        <is>
          <t>APNA-370 (NOx)</t>
        </is>
      </c>
      <c r="B661" s="26" t="inlineStr">
        <is>
          <t>10.2.1</t>
        </is>
      </c>
      <c r="C661" s="22" t="inlineStr">
        <is>
          <t>Racores y férulas en los puertos traseros</t>
        </is>
      </c>
      <c r="D661" s="24" t="inlineStr">
        <is>
          <t>Bloqueante</t>
        </is>
      </c>
      <c r="E661" s="22" t="inlineStr">
        <is>
          <t>Férula o tuerca ausente: ingreso de aire falso por los puertos</t>
        </is>
      </c>
      <c r="F661" s="20" t="n">
        <v>2</v>
      </c>
      <c r="G661" s="26" t="inlineStr">
        <is>
          <t>3.1.1</t>
        </is>
      </c>
      <c r="H661" s="22" t="inlineStr">
        <is>
          <t>Coeficiente de calibración de cero</t>
        </is>
      </c>
      <c r="I661" s="22" t="inlineStr">
        <is>
          <t>Instalar férulas y tuercas de PVDF y repetir la prueba de hermeticidad antes de calibrar</t>
        </is>
      </c>
      <c r="J661" s="20">
        <f>IFERROR(INDEX('APNA-370 (NOx)'!$U$9:$U$84,MATCH($B661,'APNA-370 (NOx)'!$A$9:$A$84,0)),"")</f>
        <v/>
      </c>
      <c r="K661" s="20">
        <f>IF(OR($J661="No conforme",$J661="Requiere reemplazo"),"SÍ — verificar destino","")</f>
        <v/>
      </c>
    </row>
    <row r="662" ht="36" customHeight="1">
      <c r="A662" s="20" t="inlineStr">
        <is>
          <t>APNA-370 (NOx)</t>
        </is>
      </c>
      <c r="B662" s="26" t="inlineStr">
        <is>
          <t>10.2.1</t>
        </is>
      </c>
      <c r="C662" s="22" t="inlineStr">
        <is>
          <t>Racores y férulas en los puertos traseros</t>
        </is>
      </c>
      <c r="D662" s="24" t="inlineStr">
        <is>
          <t>Bloqueante</t>
        </is>
      </c>
      <c r="E662" s="22" t="inlineStr">
        <is>
          <t>Férula o tuerca ausente: ingreso de aire falso por los puertos</t>
        </is>
      </c>
      <c r="F662" s="20" t="n">
        <v>3</v>
      </c>
      <c r="G662" s="26" t="inlineStr">
        <is>
          <t>5.2.1</t>
        </is>
      </c>
      <c r="H662" s="22" t="inlineStr">
        <is>
          <t>Valor medido del flujo de muestra (Sample Flow)</t>
        </is>
      </c>
      <c r="I662" s="22" t="inlineStr">
        <is>
          <t>Instalar férulas y tuercas de PVDF y repetir la prueba de hermeticidad antes de calibrar</t>
        </is>
      </c>
      <c r="J662" s="20">
        <f>IFERROR(INDEX('APNA-370 (NOx)'!$U$9:$U$84,MATCH($B662,'APNA-370 (NOx)'!$A$9:$A$84,0)),"")</f>
        <v/>
      </c>
      <c r="K662" s="20">
        <f>IF(OR($J662="No conforme",$J662="Requiere reemplazo"),"SÍ — verificar destino","")</f>
        <v/>
      </c>
    </row>
    <row r="663" ht="36" customHeight="1">
      <c r="A663" s="20" t="inlineStr">
        <is>
          <t>APNA-370 (NOx)</t>
        </is>
      </c>
      <c r="B663" s="26" t="inlineStr">
        <is>
          <t>10.3.1</t>
        </is>
      </c>
      <c r="C663" s="22" t="inlineStr">
        <is>
          <t>Rango de temperatura ambiente del sitio</t>
        </is>
      </c>
      <c r="D663" s="23" t="inlineStr">
        <is>
          <t>Alerta</t>
        </is>
      </c>
      <c r="E663" s="22" t="inlineStr">
        <is>
          <t>Aire acondicionado insuficiente o en falla</t>
        </is>
      </c>
      <c r="F663" s="20" t="n">
        <v>1</v>
      </c>
      <c r="G663" s="26" t="inlineStr">
        <is>
          <t>9.1.1</t>
        </is>
      </c>
      <c r="H663" s="22" t="inlineStr">
        <is>
          <t>Temperatura del detector (DETECTOR TEMP)</t>
        </is>
      </c>
      <c r="I663" s="22" t="inlineStr">
        <is>
          <t>Corregir la climatización del shelter; la deriva no se juzga hasta estabilizar la sala</t>
        </is>
      </c>
      <c r="J663" s="20">
        <f>IFERROR(INDEX('APNA-370 (NOx)'!$U$9:$U$84,MATCH($B663,'APNA-370 (NOx)'!$A$9:$A$84,0)),"")</f>
        <v/>
      </c>
      <c r="K663" s="20">
        <f>IF(OR($J663="No conforme",$J663="Requiere reemplazo"),"SÍ — verificar destino","")</f>
        <v/>
      </c>
    </row>
    <row r="664" ht="36" customHeight="1">
      <c r="A664" s="20" t="inlineStr">
        <is>
          <t>APNA-370 (NOx)</t>
        </is>
      </c>
      <c r="B664" s="26" t="inlineStr">
        <is>
          <t>10.3.1</t>
        </is>
      </c>
      <c r="C664" s="22" t="inlineStr">
        <is>
          <t>Rango de temperatura ambiente del sitio</t>
        </is>
      </c>
      <c r="D664" s="23" t="inlineStr">
        <is>
          <t>Alerta</t>
        </is>
      </c>
      <c r="E664" s="22" t="inlineStr">
        <is>
          <t>Aire acondicionado insuficiente o en falla</t>
        </is>
      </c>
      <c r="F664" s="20" t="n">
        <v>2</v>
      </c>
      <c r="G664" s="26" t="inlineStr">
        <is>
          <t>10.3.2</t>
        </is>
      </c>
      <c r="H664" s="22" t="inlineStr">
        <is>
          <t>Límites de humedad relativa ambiente</t>
        </is>
      </c>
      <c r="I664" s="22" t="inlineStr">
        <is>
          <t>Corregir la climatización del shelter; la deriva no se juzga hasta estabilizar la sala</t>
        </is>
      </c>
      <c r="J664" s="20">
        <f>IFERROR(INDEX('APNA-370 (NOx)'!$U$9:$U$84,MATCH($B664,'APNA-370 (NOx)'!$A$9:$A$84,0)),"")</f>
        <v/>
      </c>
      <c r="K664" s="20">
        <f>IF(OR($J664="No conforme",$J664="Requiere reemplazo"),"SÍ — verificar destino","")</f>
        <v/>
      </c>
    </row>
    <row r="665" ht="36" customHeight="1">
      <c r="A665" s="20" t="inlineStr">
        <is>
          <t>APNA-370 (NOx)</t>
        </is>
      </c>
      <c r="B665" s="26" t="inlineStr">
        <is>
          <t>10.3.2</t>
        </is>
      </c>
      <c r="C665" s="22" t="inlineStr">
        <is>
          <t>Límites de humedad relativa ambiente</t>
        </is>
      </c>
      <c r="D665" s="23" t="inlineStr">
        <is>
          <t>Alerta</t>
        </is>
      </c>
      <c r="E665" s="22" t="inlineStr">
        <is>
          <t>Humedad alta: condensación en líneas y sulfatación del panel táctil</t>
        </is>
      </c>
      <c r="F665" s="20" t="n">
        <v>1</v>
      </c>
      <c r="G665" s="26" t="inlineStr">
        <is>
          <t>4.3.1</t>
        </is>
      </c>
      <c r="H665" s="22" t="inlineStr">
        <is>
          <t>Tanque de condensación neumático (Buffer Tank)</t>
        </is>
      </c>
      <c r="I665" s="22" t="inlineStr">
        <is>
          <t>Deshumidificar la cabina y revisar la línea de muestreo</t>
        </is>
      </c>
      <c r="J665" s="20">
        <f>IFERROR(INDEX('APNA-370 (NOx)'!$U$9:$U$84,MATCH($B665,'APNA-370 (NOx)'!$A$9:$A$84,0)),"")</f>
        <v/>
      </c>
      <c r="K665" s="20">
        <f>IF(OR($J665="No conforme",$J665="Requiere reemplazo"),"SÍ — verificar destino","")</f>
        <v/>
      </c>
    </row>
    <row r="666" ht="36" customHeight="1">
      <c r="A666" s="20" t="inlineStr">
        <is>
          <t>APNA-370 (NOx)</t>
        </is>
      </c>
      <c r="B666" s="26" t="inlineStr">
        <is>
          <t>10.3.2</t>
        </is>
      </c>
      <c r="C666" s="22" t="inlineStr">
        <is>
          <t>Límites de humedad relativa ambiente</t>
        </is>
      </c>
      <c r="D666" s="23" t="inlineStr">
        <is>
          <t>Alerta</t>
        </is>
      </c>
      <c r="E666" s="22" t="inlineStr">
        <is>
          <t>Humedad alta: condensación en líneas y sulfatación del panel táctil</t>
        </is>
      </c>
      <c r="F666" s="20" t="n">
        <v>2</v>
      </c>
      <c r="G666" s="26" t="inlineStr">
        <is>
          <t>7.3.2</t>
        </is>
      </c>
      <c r="H666" s="22" t="inlineStr">
        <is>
          <t>Panel digitalizador táctil (Touch Panel)</t>
        </is>
      </c>
      <c r="I666" s="22" t="inlineStr">
        <is>
          <t>Deshumidificar la cabina y revisar la línea de muestreo</t>
        </is>
      </c>
      <c r="J666" s="20">
        <f>IFERROR(INDEX('APNA-370 (NOx)'!$U$9:$U$84,MATCH($B666,'APNA-370 (NOx)'!$A$9:$A$84,0)),"")</f>
        <v/>
      </c>
      <c r="K666" s="20">
        <f>IF(OR($J666="No conforme",$J666="Requiere reemplazo"),"SÍ — verificar destino","")</f>
        <v/>
      </c>
    </row>
    <row r="667" ht="36" customHeight="1">
      <c r="A667" s="20" t="inlineStr">
        <is>
          <t>APNA-370 (NOx)</t>
        </is>
      </c>
      <c r="B667" s="26" t="inlineStr">
        <is>
          <t>10.3.3</t>
        </is>
      </c>
      <c r="C667" s="22" t="inlineStr">
        <is>
          <t>Límite máximo de altitud de operación</t>
        </is>
      </c>
      <c r="D667" s="23" t="inlineStr">
        <is>
          <t>Alerta</t>
        </is>
      </c>
      <c r="E667" s="22" t="inlineStr">
        <is>
          <t>Sitio por encima del límite de diseño: la presión ambiente afecta la corrección</t>
        </is>
      </c>
      <c r="F667" s="20" t="n">
        <v>1</v>
      </c>
      <c r="G667" s="26" t="inlineStr">
        <is>
          <t>9.2.2</t>
        </is>
      </c>
      <c r="H667" s="22" t="inlineStr">
        <is>
          <t>Presión ambiental (AMBIENT PRESS)</t>
        </is>
      </c>
      <c r="I667" s="22" t="inlineStr">
        <is>
          <t>Documentar la altitud y validar con fábrica la corrección barométrica aplicada</t>
        </is>
      </c>
      <c r="J667" s="20">
        <f>IFERROR(INDEX('APNA-370 (NOx)'!$U$9:$U$84,MATCH($B667,'APNA-370 (NOx)'!$A$9:$A$84,0)),"")</f>
        <v/>
      </c>
      <c r="K667" s="20">
        <f>IF(OR($J667="No conforme",$J667="Requiere reemplazo"),"SÍ — verificar destino","")</f>
        <v/>
      </c>
    </row>
  </sheetData>
  <autoFilter ref="A5:K667"/>
  <conditionalFormatting sqref="K6:K667">
    <cfRule type="cellIs" priority="1" operator="equal" dxfId="4">
      <formula>"SÍ — verificar destino"</formula>
    </cfRule>
  </conditionalFormatting>
  <hyperlinks>
    <hyperlink ref="B6" location="'APMA-370 (CO)'!A9" display="1.1.1"/>
    <hyperlink ref="G6" location="'APMA-370 (CO)'!A10" display="1.1.2"/>
    <hyperlink ref="B7" location="'APMA-370 (CO)'!A10" display="1.1.2"/>
    <hyperlink ref="G7" location="'APMA-370 (CO)'!A19" display="3.1.1"/>
    <hyperlink ref="B8" location="'APMA-370 (CO)'!A10" display="1.1.2"/>
    <hyperlink ref="G8" location="'APMA-370 (CO)'!A36" display="5.1.1"/>
    <hyperlink ref="B9" location="'APMA-370 (CO)'!A10" display="1.1.2"/>
    <hyperlink ref="G9" location="'APMA-370 (CO)'!A37" display="5.1.2"/>
    <hyperlink ref="B10" location="'APMA-370 (CO)'!A10" display="1.1.2"/>
    <hyperlink ref="G10" location="'APMA-370 (CO)'!A73" display="9.1.1"/>
    <hyperlink ref="B11" location="'APMA-370 (CO)'!A11" display="1.1.3"/>
    <hyperlink ref="G11" location="'APMA-370 (CO)'!A61" display="7.3.1"/>
    <hyperlink ref="B12" location="'APMA-370 (CO)'!A11" display="1.1.3"/>
    <hyperlink ref="G12" location="'APMA-370 (CO)'!A62" display="7.3.2"/>
    <hyperlink ref="B13" location="'APMA-370 (CO)'!A11" display="1.1.3"/>
    <hyperlink ref="G13" location="'APMA-370 (CO)'!A63" display="7.4.1"/>
    <hyperlink ref="B14" location="'APMA-370 (CO)'!A12" display="1.2.1"/>
    <hyperlink ref="G14" location="'APMA-370 (CO)'!A53" display="7.1.1"/>
    <hyperlink ref="B15" location="'APMA-370 (CO)'!A13" display="1.3.1"/>
    <hyperlink ref="G15" location="'APMA-370 (CO)'!A73" display="9.1.1"/>
    <hyperlink ref="B16" location="'APMA-370 (CO)'!A13" display="1.3.1"/>
    <hyperlink ref="G16" location="'APMA-370 (CO)'!A74" display="9.1.2"/>
    <hyperlink ref="B17" location="'APMA-370 (CO)'!A14" display="2.1.1"/>
    <hyperlink ref="G17" location="'APMA-370 (CO)'!A15" display="2.1.2"/>
    <hyperlink ref="B18" location="'APMA-370 (CO)'!A15" display="2.1.2"/>
    <hyperlink ref="G18" location="'APMA-370 (CO)'!A14" display="2.1.1"/>
    <hyperlink ref="B19" location="'APMA-370 (CO)'!A16" display="2.2.1"/>
    <hyperlink ref="G19" location="'APMA-370 (CO)'!A65" display="7.5.1"/>
    <hyperlink ref="B20" location="'APMA-370 (CO)'!A19" display="3.1.1"/>
    <hyperlink ref="G20" location="'APMA-370 (CO)'!A13" display="1.3.1"/>
    <hyperlink ref="B21" location="'APMA-370 (CO)'!A19" display="3.1.1"/>
    <hyperlink ref="G21" location="'APMA-370 (CO)'!A51" display="6.4.1"/>
    <hyperlink ref="B22" location="'APMA-370 (CO)'!A19" display="3.1.1"/>
    <hyperlink ref="G22" location="'APMA-370 (CO)'!A34" display="4.3.1"/>
    <hyperlink ref="B23" location="'APMA-370 (CO)'!A19" display="3.1.1"/>
    <hyperlink ref="G23" location="'APMA-370 (CO)'!A42" display="5.3.2"/>
    <hyperlink ref="B24" location="'APMA-370 (CO)'!A19" display="3.1.1"/>
    <hyperlink ref="G24" location="'APMA-370 (CO)'!A21" display="3.2.1"/>
    <hyperlink ref="B25" location="'APMA-370 (CO)'!A20" display="3.1.2"/>
    <hyperlink ref="G25" location="'APMA-370 (CO)'!A21" display="3.2.1"/>
    <hyperlink ref="B26" location="'APMA-370 (CO)'!A20" display="3.1.2"/>
    <hyperlink ref="G26" location="'APMA-370 (CO)'!A22" display="3.2.2"/>
    <hyperlink ref="B27" location="'APMA-370 (CO)'!A20" display="3.1.2"/>
    <hyperlink ref="G27" location="'APMA-370 (CO)'!A43" display="6.1.1"/>
    <hyperlink ref="B28" location="'APMA-370 (CO)'!A20" display="3.1.2"/>
    <hyperlink ref="G28" location="'APMA-370 (CO)'!A46" display="6.2.2"/>
    <hyperlink ref="B29" location="'APMA-370 (CO)'!A20" display="3.1.2"/>
    <hyperlink ref="G29" location="'APMA-370 (CO)'!A45" display="6.2.1"/>
    <hyperlink ref="B30" location="'APMA-370 (CO)'!A21" display="3.2.1"/>
    <hyperlink ref="G30" location="'APMA-370 (CO)'!A22" display="3.2.2"/>
    <hyperlink ref="B31" location="'APMA-370 (CO)'!A22" display="3.2.2"/>
    <hyperlink ref="G31" location="'APMA-370 (CO)'!A21" display="3.2.1"/>
    <hyperlink ref="B32" location="'APMA-370 (CO)'!A22" display="3.2.2"/>
    <hyperlink ref="G32" location="'APMA-370 (CO)'!A42" display="5.3.2"/>
    <hyperlink ref="B33" location="'APMA-370 (CO)'!A26" display="4.1.1"/>
    <hyperlink ref="G33" location="'APMA-370 (CO)'!A42" display="5.3.2"/>
    <hyperlink ref="B34" location="'APMA-370 (CO)'!A26" display="4.1.1"/>
    <hyperlink ref="G34" location="'APMA-370 (CO)'!A36" display="5.1.1"/>
    <hyperlink ref="B35" location="'APMA-370 (CO)'!A26" display="4.1.1"/>
    <hyperlink ref="G35" location="'APMA-370 (CO)'!A19" display="3.1.1"/>
    <hyperlink ref="B36" location="'APMA-370 (CO)'!A27" display="4.1.2"/>
    <hyperlink ref="G36" location="'APMA-370 (CO)'!A42" display="5.3.2"/>
    <hyperlink ref="B37" location="'APMA-370 (CO)'!A27" display="4.1.2"/>
    <hyperlink ref="G37" location="'APMA-370 (CO)'!A26" display="4.1.1"/>
    <hyperlink ref="B38" location="'APMA-370 (CO)'!A28" display="4.1.3"/>
    <hyperlink ref="G38" location="'APMA-370 (CO)'!A42" display="5.3.2"/>
    <hyperlink ref="B39" location="'APMA-370 (CO)'!A29" display="4.1.4"/>
    <hyperlink ref="G39" location="'APMA-370 (CO)'!A42" display="5.3.2"/>
    <hyperlink ref="B40" location="'APMA-370 (CO)'!A29" display="4.1.4"/>
    <hyperlink ref="G40" location="'APMA-370 (CO)'!A28" display="4.1.3"/>
    <hyperlink ref="B41" location="'APMA-370 (CO)'!A30" display="4.1.5"/>
    <hyperlink ref="G41" location="'APMA-370 (CO)'!A42" display="5.3.2"/>
    <hyperlink ref="B42" location="'APMA-370 (CO)'!A31" display="4.2.1"/>
    <hyperlink ref="G42" location="'APMA-370 (CO)'!A37" display="5.1.2"/>
    <hyperlink ref="B43" location="'APMA-370 (CO)'!A31" display="4.2.1"/>
    <hyperlink ref="G43" location="'APMA-370 (CO)'!A36" display="5.1.1"/>
    <hyperlink ref="B44" location="'APMA-370 (CO)'!A31" display="4.2.1"/>
    <hyperlink ref="G44" location="'APMA-370 (CO)'!A67" display="8.1.1"/>
    <hyperlink ref="B45" location="'APMA-370 (CO)'!A32" display="4.2.2"/>
    <hyperlink ref="G45" location="'APMA-370 (CO)'!A42" display="5.3.2"/>
    <hyperlink ref="B46" location="'APMA-370 (CO)'!A33" display="4.2.3"/>
    <hyperlink ref="G46" location="'APMA-370 (CO)'!A42" display="5.3.2"/>
    <hyperlink ref="B47" location="'APMA-370 (CO)'!A34" display="4.3.1"/>
    <hyperlink ref="G47" location="'APMA-370 (CO)'!A35" display="4.3.2"/>
    <hyperlink ref="B48" location="'APMA-370 (CO)'!A34" display="4.3.1"/>
    <hyperlink ref="G48" location="'APMA-370 (CO)'!A19" display="3.1.1"/>
    <hyperlink ref="B49" location="'APMA-370 (CO)'!A34" display="4.3.1"/>
    <hyperlink ref="G49" location="'APMA-370 (CO)'!A85" display="10.4.1"/>
    <hyperlink ref="B50" location="'APMA-370 (CO)'!A35" display="4.3.2"/>
    <hyperlink ref="G50" location="'APMA-370 (CO)'!A36" display="5.1.1"/>
    <hyperlink ref="B51" location="'APMA-370 (CO)'!A35" display="4.3.2"/>
    <hyperlink ref="G51" location="'APMA-370 (CO)'!A37" display="5.1.2"/>
    <hyperlink ref="B52" location="'APMA-370 (CO)'!A36" display="5.1.1"/>
    <hyperlink ref="G52" location="'APMA-370 (CO)'!A31" display="4.2.1"/>
    <hyperlink ref="B53" location="'APMA-370 (CO)'!A36" display="5.1.1"/>
    <hyperlink ref="G53" location="'APMA-370 (CO)'!A37" display="5.1.2"/>
    <hyperlink ref="B54" location="'APMA-370 (CO)'!A36" display="5.1.1"/>
    <hyperlink ref="G54" location="'APMA-370 (CO)'!A39" display="5.2.2"/>
    <hyperlink ref="B55" location="'APMA-370 (CO)'!A36" display="5.1.1"/>
    <hyperlink ref="G55" location="'APMA-370 (CO)'!A42" display="5.3.2"/>
    <hyperlink ref="B56" location="'APMA-370 (CO)'!A37" display="5.1.2"/>
    <hyperlink ref="G56" location="'APMA-370 (CO)'!A31" display="4.2.1"/>
    <hyperlink ref="B57" location="'APMA-370 (CO)'!A37" display="5.1.2"/>
    <hyperlink ref="G57" location="'APMA-370 (CO)'!A35" display="4.3.2"/>
    <hyperlink ref="B58" location="'APMA-370 (CO)'!A37" display="5.1.2"/>
    <hyperlink ref="G58" location="'APMA-370 (CO)'!A39" display="5.2.2"/>
    <hyperlink ref="B59" location="'APMA-370 (CO)'!A37" display="5.1.2"/>
    <hyperlink ref="G59" location="'APMA-370 (CO)'!A42" display="5.3.2"/>
    <hyperlink ref="B60" location="'APMA-370 (CO)'!A38" display="5.2.1"/>
    <hyperlink ref="G60" location="'APMA-370 (CO)'!A39" display="5.2.2"/>
    <hyperlink ref="B61" location="'APMA-370 (CO)'!A38" display="5.2.1"/>
    <hyperlink ref="G61" location="'APMA-370 (CO)'!A40" display="5.2.3"/>
    <hyperlink ref="B62" location="'APMA-370 (CO)'!A38" display="5.2.1"/>
    <hyperlink ref="G62" location="'APMA-370 (CO)'!A37" display="5.1.2"/>
    <hyperlink ref="B63" location="'APMA-370 (CO)'!A39" display="5.2.2"/>
    <hyperlink ref="G63" location="'APMA-370 (CO)'!A68" display="8.1.2"/>
    <hyperlink ref="B64" location="'APMA-370 (CO)'!A39" display="5.2.2"/>
    <hyperlink ref="G64" location="'APMA-370 (CO)'!A34" display="4.3.1"/>
    <hyperlink ref="B65" location="'APMA-370 (CO)'!A40" display="5.2.3"/>
    <hyperlink ref="G65" location="'APMA-370 (CO)'!A31" display="4.2.1"/>
    <hyperlink ref="B66" location="'APMA-370 (CO)'!A41" display="5.3.1"/>
    <hyperlink ref="G66" location="'APMA-370 (CO)'!A43" display="6.1.1"/>
    <hyperlink ref="B67" location="'APMA-370 (CO)'!A41" display="5.3.1"/>
    <hyperlink ref="G67" location="'APMA-370 (CO)'!A44" display="6.1.2"/>
    <hyperlink ref="B68" location="'APMA-370 (CO)'!A41" display="5.3.1"/>
    <hyperlink ref="G68" location="'APMA-370 (CO)'!A77" display="9.3.1"/>
    <hyperlink ref="B69" location="'APMA-370 (CO)'!A42" display="5.3.2"/>
    <hyperlink ref="G69" location="'APMA-370 (CO)'!A26" display="4.1.1"/>
    <hyperlink ref="B70" location="'APMA-370 (CO)'!A42" display="5.3.2"/>
    <hyperlink ref="G70" location="'APMA-370 (CO)'!A27" display="4.1.2"/>
    <hyperlink ref="B71" location="'APMA-370 (CO)'!A42" display="5.3.2"/>
    <hyperlink ref="G71" location="'APMA-370 (CO)'!A33" display="4.2.3"/>
    <hyperlink ref="B72" location="'APMA-370 (CO)'!A42" display="5.3.2"/>
    <hyperlink ref="G72" location="'APMA-370 (CO)'!A32" display="4.2.2"/>
    <hyperlink ref="B73" location="'APMA-370 (CO)'!A42" display="5.3.2"/>
    <hyperlink ref="G73" location="'APMA-370 (CO)'!A35" display="4.3.2"/>
    <hyperlink ref="B74" location="'APMA-370 (CO)'!A43" display="6.1.1"/>
    <hyperlink ref="G74" location="'APMA-370 (CO)'!A47" display="6.3.1"/>
    <hyperlink ref="B75" location="'APMA-370 (CO)'!A43" display="6.1.1"/>
    <hyperlink ref="G75" location="'APMA-370 (CO)'!A46" display="6.2.2"/>
    <hyperlink ref="B76" location="'APMA-370 (CO)'!A43" display="6.1.1"/>
    <hyperlink ref="G76" location="'APMA-370 (CO)'!A45" display="6.2.1"/>
    <hyperlink ref="B77" location="'APMA-370 (CO)'!A43" display="6.1.1"/>
    <hyperlink ref="G77" location="'APMA-370 (CO)'!A34" display="4.3.1"/>
    <hyperlink ref="B78" location="'APMA-370 (CO)'!A44" display="6.1.2"/>
    <hyperlink ref="G78" location="'APMA-370 (CO)'!A46" display="6.2.2"/>
    <hyperlink ref="B79" location="'APMA-370 (CO)'!A44" display="6.1.2"/>
    <hyperlink ref="G79" location="'APMA-370 (CO)'!A47" display="6.3.1"/>
    <hyperlink ref="B80" location="'APMA-370 (CO)'!A44" display="6.1.2"/>
    <hyperlink ref="G80" location="'APMA-370 (CO)'!A54" display="7.1.2"/>
    <hyperlink ref="B81" location="'APMA-370 (CO)'!A45" display="6.2.1"/>
    <hyperlink ref="G81" location="'APMA-370 (CO)'!A43" display="6.1.1"/>
    <hyperlink ref="B82" location="'APMA-370 (CO)'!A45" display="6.2.1"/>
    <hyperlink ref="G82" location="'APMA-370 (CO)'!A20" display="3.1.2"/>
    <hyperlink ref="B83" location="'APMA-370 (CO)'!A46" display="6.2.2"/>
    <hyperlink ref="G83" location="'APMA-370 (CO)'!A34" display="4.3.1"/>
    <hyperlink ref="B84" location="'APMA-370 (CO)'!A46" display="6.2.2"/>
    <hyperlink ref="G84" location="'APMA-370 (CO)'!A43" display="6.1.1"/>
    <hyperlink ref="B85" location="'APMA-370 (CO)'!A47" display="6.3.1"/>
    <hyperlink ref="G85" location="'APMA-370 (CO)'!A43" display="6.1.1"/>
    <hyperlink ref="B86" location="'APMA-370 (CO)'!A47" display="6.3.1"/>
    <hyperlink ref="G86" location="'APMA-370 (CO)'!A48" display="6.3.2"/>
    <hyperlink ref="B87" location="'APMA-370 (CO)'!A47" display="6.3.1"/>
    <hyperlink ref="G87" location="'APMA-370 (CO)'!A38" display="5.2.1"/>
    <hyperlink ref="B88" location="'APMA-370 (CO)'!A48" display="6.3.2"/>
    <hyperlink ref="G88" location="'APMA-370 (CO)'!A47" display="6.3.1"/>
    <hyperlink ref="B89" location="'APMA-370 (CO)'!A48" display="6.3.2"/>
    <hyperlink ref="G89" location="'APMA-370 (CO)'!A43" display="6.1.1"/>
    <hyperlink ref="B90" location="'APMA-370 (CO)'!A49" display="6.3.3"/>
    <hyperlink ref="G90" location="'APMA-370 (CO)'!A50" display="6.3.4"/>
    <hyperlink ref="B91" location="'APMA-370 (CO)'!A49" display="6.3.3"/>
    <hyperlink ref="G91" location="'APMA-370 (CO)'!A47" display="6.3.1"/>
    <hyperlink ref="B92" location="'APMA-370 (CO)'!A50" display="6.3.4"/>
    <hyperlink ref="G92" location="'APMA-370 (CO)'!A49" display="6.3.3"/>
    <hyperlink ref="B93" location="'APMA-370 (CO)'!A51" display="6.4.1"/>
    <hyperlink ref="G93" location="'APMA-370 (CO)'!A69" display="8.1.3"/>
    <hyperlink ref="B94" location="'APMA-370 (CO)'!A51" display="6.4.1"/>
    <hyperlink ref="G94" location="'APMA-370 (CO)'!A74" display="9.1.2"/>
    <hyperlink ref="B95" location="'APMA-370 (CO)'!A51" display="6.4.1"/>
    <hyperlink ref="G95" location="'APMA-370 (CO)'!A19" display="3.1.1"/>
    <hyperlink ref="B96" location="'APMA-370 (CO)'!A51" display="6.4.1"/>
    <hyperlink ref="G96" location="'APMA-370 (CO)'!A52" display="6.4.2"/>
    <hyperlink ref="B97" location="'APMA-370 (CO)'!A52" display="6.4.2"/>
    <hyperlink ref="G97" location="'APMA-370 (CO)'!A51" display="6.4.1"/>
    <hyperlink ref="B98" location="'APMA-370 (CO)'!A52" display="6.4.2"/>
    <hyperlink ref="G98" location="'APMA-370 (CO)'!A19" display="3.1.1"/>
    <hyperlink ref="B99" location="'APMA-370 (CO)'!A53" display="7.1.1"/>
    <hyperlink ref="G99" location="'APMA-370 (CO)'!A57" display="7.1.5"/>
    <hyperlink ref="B100" location="'APMA-370 (CO)'!A53" display="7.1.1"/>
    <hyperlink ref="G100" location="'APMA-370 (CO)'!A78" display="9.3.2"/>
    <hyperlink ref="B101" location="'APMA-370 (CO)'!A53" display="7.1.1"/>
    <hyperlink ref="G101" location="'APMA-370 (CO)'!A61" display="7.3.1"/>
    <hyperlink ref="B102" location="'APMA-370 (CO)'!A54" display="7.1.2"/>
    <hyperlink ref="G102" location="'APMA-370 (CO)'!A55" display="7.1.3"/>
    <hyperlink ref="B103" location="'APMA-370 (CO)'!A54" display="7.1.2"/>
    <hyperlink ref="G103" location="'APMA-370 (CO)'!A43" display="6.1.1"/>
    <hyperlink ref="B104" location="'APMA-370 (CO)'!A55" display="7.1.3"/>
    <hyperlink ref="G104" location="'APMA-370 (CO)'!A77" display="9.3.1"/>
    <hyperlink ref="B105" location="'APMA-370 (CO)'!A55" display="7.1.3"/>
    <hyperlink ref="G105" location="'APMA-370 (CO)'!A78" display="9.3.2"/>
    <hyperlink ref="B106" location="'APMA-370 (CO)'!A55" display="7.1.3"/>
    <hyperlink ref="G106" location="'APMA-370 (CO)'!A63" display="7.4.1"/>
    <hyperlink ref="B107" location="'APMA-370 (CO)'!A56" display="7.1.4"/>
    <hyperlink ref="G107" location="'APMA-370 (CO)'!A57" display="7.1.5"/>
    <hyperlink ref="B108" location="'APMA-370 (CO)'!A56" display="7.1.4"/>
    <hyperlink ref="G108" location="'APMA-370 (CO)'!A58" display="7.1.6"/>
    <hyperlink ref="B109" location="'APMA-370 (CO)'!A57" display="7.1.5"/>
    <hyperlink ref="G109" location="'APMA-370 (CO)'!A61" display="7.3.1"/>
    <hyperlink ref="B110" location="'APMA-370 (CO)'!A57" display="7.1.5"/>
    <hyperlink ref="G110" location="'APMA-370 (CO)'!A53" display="7.1.1"/>
    <hyperlink ref="B111" location="'APMA-370 (CO)'!A57" display="7.1.5"/>
    <hyperlink ref="G111" location="'APMA-370 (CO)'!A56" display="7.1.4"/>
    <hyperlink ref="B112" location="'APMA-370 (CO)'!A58" display="7.1.6"/>
    <hyperlink ref="G112" location="'APMA-370 (CO)'!A78" display="9.3.2"/>
    <hyperlink ref="B113" location="'APMA-370 (CO)'!A58" display="7.1.6"/>
    <hyperlink ref="G113" location="'APMA-370 (CO)'!A63" display="7.4.1"/>
    <hyperlink ref="B114" location="'APMA-370 (CO)'!A59" display="7.1.7"/>
    <hyperlink ref="G114" location="'APMA-370 (CO)'!A56" display="7.1.4"/>
    <hyperlink ref="B115" location="'APMA-370 (CO)'!A61" display="7.3.1"/>
    <hyperlink ref="G115" location="'APMA-370 (CO)'!A11" display="1.1.3"/>
    <hyperlink ref="B116" location="'APMA-370 (CO)'!A61" display="7.3.1"/>
    <hyperlink ref="G116" location="'APMA-370 (CO)'!A62" display="7.3.2"/>
    <hyperlink ref="B117" location="'APMA-370 (CO)'!A62" display="7.3.2"/>
    <hyperlink ref="G117" location="'APMA-370 (CO)'!A61" display="7.3.1"/>
    <hyperlink ref="B118" location="'APMA-370 (CO)'!A62" display="7.3.2"/>
    <hyperlink ref="G118" location="'APMA-370 (CO)'!A86" display="10.4.2"/>
    <hyperlink ref="B119" location="'APMA-370 (CO)'!A63" display="7.4.1"/>
    <hyperlink ref="G119" location="'APMA-370 (CO)'!A77" display="9.3.1"/>
    <hyperlink ref="B120" location="'APMA-370 (CO)'!A63" display="7.4.1"/>
    <hyperlink ref="G120" location="'APMA-370 (CO)'!A78" display="9.3.2"/>
    <hyperlink ref="B121" location="'APMA-370 (CO)'!A63" display="7.4.1"/>
    <hyperlink ref="G121" location="'APMA-370 (CO)'!A88" display="10.5.1"/>
    <hyperlink ref="B122" location="'APMA-370 (CO)'!A64" display="7.4.2"/>
    <hyperlink ref="G122" location="'APMA-370 (CO)'!A38" display="5.2.1"/>
    <hyperlink ref="B123" location="'APMA-370 (CO)'!A64" display="7.4.2"/>
    <hyperlink ref="G123" location="'APMA-370 (CO)'!A88" display="10.5.1"/>
    <hyperlink ref="B124" location="'APMA-370 (CO)'!A65" display="7.5.1"/>
    <hyperlink ref="G124" location="'APMA-370 (CO)'!A66" display="7.5.2"/>
    <hyperlink ref="B125" location="'APMA-370 (CO)'!A65" display="7.5.1"/>
    <hyperlink ref="G125" location="'APMA-370 (CO)'!A16" display="2.2.1"/>
    <hyperlink ref="B126" location="'APMA-370 (CO)'!A66" display="7.5.2"/>
    <hyperlink ref="G126" location="'APMA-370 (CO)'!A65" display="7.5.1"/>
    <hyperlink ref="B127" location="'APMA-370 (CO)'!A67" display="8.1.1"/>
    <hyperlink ref="G127" location="'APMA-370 (CO)'!A31" display="4.2.1"/>
    <hyperlink ref="B128" location="'APMA-370 (CO)'!A68" display="8.1.2"/>
    <hyperlink ref="G128" location="'APMA-370 (CO)'!A39" display="5.2.2"/>
    <hyperlink ref="B129" location="'APMA-370 (CO)'!A69" display="8.1.3"/>
    <hyperlink ref="G129" location="'APMA-370 (CO)'!A51" display="6.4.1"/>
    <hyperlink ref="B130" location="'APMA-370 (CO)'!A70" display="8.1.4"/>
    <hyperlink ref="G130" location="'APMA-370 (CO)'!A34" display="4.3.1"/>
    <hyperlink ref="B131" location="'APMA-370 (CO)'!A71" display="8.1.5"/>
    <hyperlink ref="G131" location="'APMA-370 (CO)'!A38" display="5.2.1"/>
    <hyperlink ref="B132" location="'APMA-370 (CO)'!A72" display="8.2.1"/>
    <hyperlink ref="G132" location="'APMA-370 (CO)'!A82" display="10.2.1"/>
    <hyperlink ref="B133" location="'APMA-370 (CO)'!A72" display="8.2.1"/>
    <hyperlink ref="G133" location="'APMA-370 (CO)'!A73" display="9.1.1"/>
    <hyperlink ref="B134" location="'APMA-370 (CO)'!A73" display="9.1.1"/>
    <hyperlink ref="G134" location="'APMA-370 (CO)'!A85" display="10.4.1"/>
    <hyperlink ref="B135" location="'APMA-370 (CO)'!A73" display="9.1.1"/>
    <hyperlink ref="G135" location="'APMA-370 (CO)'!A55" display="7.1.3"/>
    <hyperlink ref="B136" location="'APMA-370 (CO)'!A73" display="9.1.1"/>
    <hyperlink ref="G136" location="'APMA-370 (CO)'!A72" display="8.2.1"/>
    <hyperlink ref="B137" location="'APMA-370 (CO)'!A74" display="9.1.2"/>
    <hyperlink ref="G137" location="'APMA-370 (CO)'!A13" display="1.3.1"/>
    <hyperlink ref="B138" location="'APMA-370 (CO)'!A74" display="9.1.2"/>
    <hyperlink ref="G138" location="'APMA-370 (CO)'!A51" display="6.4.1"/>
    <hyperlink ref="B139" location="'APMA-370 (CO)'!A74" display="9.1.2"/>
    <hyperlink ref="G139" location="'APMA-370 (CO)'!A56" display="7.1.4"/>
    <hyperlink ref="B140" location="'APMA-370 (CO)'!A75" display="9.2.1"/>
    <hyperlink ref="G140" location="'APMA-370 (CO)'!A76" display="9.2.2"/>
    <hyperlink ref="B141" location="'APMA-370 (CO)'!A76" display="9.2.2"/>
    <hyperlink ref="G141" location="'APMA-370 (CO)'!A75" display="9.2.1"/>
    <hyperlink ref="B142" location="'APMA-370 (CO)'!A76" display="9.2.2"/>
    <hyperlink ref="G142" location="'APMA-370 (CO)'!A37" display="5.1.2"/>
    <hyperlink ref="B143" location="'APMA-370 (CO)'!A77" display="9.3.1"/>
    <hyperlink ref="G143" location="'APMA-370 (CO)'!A63" display="7.4.1"/>
    <hyperlink ref="B144" location="'APMA-370 (CO)'!A77" display="9.3.1"/>
    <hyperlink ref="G144" location="'APMA-370 (CO)'!A88" display="10.5.1"/>
    <hyperlink ref="B145" location="'APMA-370 (CO)'!A78" display="9.3.2"/>
    <hyperlink ref="G145" location="'APMA-370 (CO)'!A63" display="7.4.1"/>
    <hyperlink ref="B146" location="'APMA-370 (CO)'!A78" display="9.3.2"/>
    <hyperlink ref="G146" location="'APMA-370 (CO)'!A88" display="10.5.1"/>
    <hyperlink ref="B147" location="'APMA-370 (CO)'!A79" display="10.1.1"/>
    <hyperlink ref="G147" location="'APMA-370 (CO)'!A80" display="10.1.2"/>
    <hyperlink ref="B148" location="'APMA-370 (CO)'!A79" display="10.1.1"/>
    <hyperlink ref="G148" location="'APMA-370 (CO)'!A81" display="10.1.3"/>
    <hyperlink ref="B149" location="'APMA-370 (CO)'!A80" display="10.1.2"/>
    <hyperlink ref="G149" location="'APMA-370 (CO)'!A79" display="10.1.1"/>
    <hyperlink ref="B150" location="'APMA-370 (CO)'!A81" display="10.1.3"/>
    <hyperlink ref="G150" location="'APMA-370 (CO)'!A79" display="10.1.1"/>
    <hyperlink ref="B151" location="'APMA-370 (CO)'!A82" display="10.2.1"/>
    <hyperlink ref="G151" location="'APMA-370 (CO)'!A72" display="8.2.1"/>
    <hyperlink ref="B152" location="'APMA-370 (CO)'!A82" display="10.2.1"/>
    <hyperlink ref="G152" location="'APMA-370 (CO)'!A73" display="9.1.1"/>
    <hyperlink ref="B153" location="'APMA-370 (CO)'!A84" display="10.3.2"/>
    <hyperlink ref="G153" location="'APMA-370 (CO)'!A35" display="4.3.2"/>
    <hyperlink ref="B154" location="'APMA-370 (CO)'!A84" display="10.3.2"/>
    <hyperlink ref="G154" location="'APMA-370 (CO)'!A82" display="10.2.1"/>
    <hyperlink ref="B155" location="'APMA-370 (CO)'!A85" display="10.4.1"/>
    <hyperlink ref="G155" location="'APMA-370 (CO)'!A73" display="9.1.1"/>
    <hyperlink ref="B156" location="'APMA-370 (CO)'!A85" display="10.4.1"/>
    <hyperlink ref="G156" location="'APMA-370 (CO)'!A86" display="10.4.2"/>
    <hyperlink ref="B157" location="'APMA-370 (CO)'!A86" display="10.4.2"/>
    <hyperlink ref="G157" location="'APMA-370 (CO)'!A34" display="4.3.1"/>
    <hyperlink ref="B158" location="'APMA-370 (CO)'!A86" display="10.4.2"/>
    <hyperlink ref="G158" location="'APMA-370 (CO)'!A62" display="7.3.2"/>
    <hyperlink ref="B159" location="'APMA-370 (CO)'!A87" display="10.4.3"/>
    <hyperlink ref="G159" location="'APMA-370 (CO)'!A85" display="10.4.1"/>
    <hyperlink ref="B160" location="'APMA-370 (CO)'!A87" display="10.4.3"/>
    <hyperlink ref="G160" location="'APMA-370 (CO)'!A86" display="10.4.2"/>
    <hyperlink ref="B161" location="'APMA-370 (CO)'!A88" display="10.5.1"/>
    <hyperlink ref="G161" location="'APMA-370 (CO)'!A63" display="7.4.1"/>
    <hyperlink ref="B162" location="'APSA-370 (SO2)'!A9" display="1.1.1"/>
    <hyperlink ref="G162" location="'APSA-370 (SO2)'!A11" display="1.2.2"/>
    <hyperlink ref="B163" location="'APSA-370 (SO2)'!A10" display="1.2.1"/>
    <hyperlink ref="G163" location="'APSA-370 (SO2)'!A73" display="7.2.1"/>
    <hyperlink ref="B164" location="'APSA-370 (SO2)'!A10" display="1.2.1"/>
    <hyperlink ref="G164" location="'APSA-370 (SO2)'!A72" display="7.1.9"/>
    <hyperlink ref="B165" location="'APSA-370 (SO2)'!A11" display="1.2.2"/>
    <hyperlink ref="G165" location="'APSA-370 (SO2)'!A51" display="6.1.1"/>
    <hyperlink ref="B166" location="'APSA-370 (SO2)'!A11" display="1.2.2"/>
    <hyperlink ref="G166" location="'APSA-370 (SO2)'!A40" display="5.1.1"/>
    <hyperlink ref="B167" location="'APSA-370 (SO2)'!A11" display="1.2.2"/>
    <hyperlink ref="G167" location="'APSA-370 (SO2)'!A41" display="5.1.2"/>
    <hyperlink ref="B168" location="'APSA-370 (SO2)'!A11" display="1.2.2"/>
    <hyperlink ref="G168" location="'APSA-370 (SO2)'!A90" display="9.1.1"/>
    <hyperlink ref="B169" location="'APSA-370 (SO2)'!A12" display="1.2.3"/>
    <hyperlink ref="G169" location="'APSA-370 (SO2)'!A72" display="7.1.9"/>
    <hyperlink ref="B170" location="'APSA-370 (SO2)'!A13" display="1.3.1"/>
    <hyperlink ref="G170" location="'APSA-370 (SO2)'!A51" display="6.1.1"/>
    <hyperlink ref="B171" location="'APSA-370 (SO2)'!A13" display="1.3.1"/>
    <hyperlink ref="G171" location="'APSA-370 (SO2)'!A90" display="9.1.1"/>
    <hyperlink ref="B172" location="'APSA-370 (SO2)'!A13" display="1.3.1"/>
    <hyperlink ref="G172" location="'APSA-370 (SO2)'!A62" display="6.3.1"/>
    <hyperlink ref="B173" location="'APSA-370 (SO2)'!A15" display="2.1.1"/>
    <hyperlink ref="G173" location="'APSA-370 (SO2)'!A16" display="2.1.2"/>
    <hyperlink ref="B174" location="'APSA-370 (SO2)'!A16" display="2.1.2"/>
    <hyperlink ref="G174" location="'APSA-370 (SO2)'!A15" display="2.1.1"/>
    <hyperlink ref="B175" location="'APSA-370 (SO2)'!A19" display="3.1.1"/>
    <hyperlink ref="G175" location="'APSA-370 (SO2)'!A13" display="1.3.1"/>
    <hyperlink ref="B176" location="'APSA-370 (SO2)'!A19" display="3.1.1"/>
    <hyperlink ref="G176" location="'APSA-370 (SO2)'!A63" display="6.3.2"/>
    <hyperlink ref="B177" location="'APSA-370 (SO2)'!A19" display="3.1.1"/>
    <hyperlink ref="G177" location="'APSA-370 (SO2)'!A44" display="5.1.5"/>
    <hyperlink ref="B178" location="'APSA-370 (SO2)'!A19" display="3.1.1"/>
    <hyperlink ref="G178" location="'APSA-370 (SO2)'!A35" display="4.1.3"/>
    <hyperlink ref="B179" location="'APSA-370 (SO2)'!A19" display="3.1.1"/>
    <hyperlink ref="G179" location="'APSA-370 (SO2)'!A46" display="5.3.1"/>
    <hyperlink ref="B180" location="'APSA-370 (SO2)'!A20" display="3.1.2"/>
    <hyperlink ref="G180" location="'APSA-370 (SO2)'!A21" display="3.1.3"/>
    <hyperlink ref="B181" location="'APSA-370 (SO2)'!A20" display="3.1.2"/>
    <hyperlink ref="G181" location="'APSA-370 (SO2)'!A51" display="6.1.1"/>
    <hyperlink ref="B182" location="'APSA-370 (SO2)'!A20" display="3.1.2"/>
    <hyperlink ref="G182" location="'APSA-370 (SO2)'!A47" display="5.3.2"/>
    <hyperlink ref="B183" location="'APSA-370 (SO2)'!A20" display="3.1.2"/>
    <hyperlink ref="G183" location="'APSA-370 (SO2)'!A22" display="3.2.1"/>
    <hyperlink ref="B184" location="'APSA-370 (SO2)'!A21" display="3.1.3"/>
    <hyperlink ref="G184" location="'APSA-370 (SO2)'!A20" display="3.1.2"/>
    <hyperlink ref="B185" location="'APSA-370 (SO2)'!A22" display="3.2.1"/>
    <hyperlink ref="G185" location="'APSA-370 (SO2)'!A20" display="3.1.2"/>
    <hyperlink ref="B186" location="'APSA-370 (SO2)'!A26" display="3.4.1"/>
    <hyperlink ref="G186" location="'APSA-370 (SO2)'!A63" display="6.3.2"/>
    <hyperlink ref="B187" location="'APSA-370 (SO2)'!A26" display="3.4.1"/>
    <hyperlink ref="G187" location="'APSA-370 (SO2)'!A44" display="5.1.5"/>
    <hyperlink ref="B188" location="'APSA-370 (SO2)'!A26" display="3.4.1"/>
    <hyperlink ref="G188" location="'APSA-370 (SO2)'!A96" display="10.1.1"/>
    <hyperlink ref="B189" location="'APSA-370 (SO2)'!A27" display="3.4.2"/>
    <hyperlink ref="G189" location="'APSA-370 (SO2)'!A63" display="6.3.2"/>
    <hyperlink ref="B190" location="'APSA-370 (SO2)'!A27" display="3.4.2"/>
    <hyperlink ref="G190" location="'APSA-370 (SO2)'!A62" display="6.3.1"/>
    <hyperlink ref="B191" location="'APSA-370 (SO2)'!A27" display="3.4.2"/>
    <hyperlink ref="G191" location="'APSA-370 (SO2)'!A86" display="8.1.2"/>
    <hyperlink ref="B192" location="'APSA-370 (SO2)'!A28" display="3.4.3"/>
    <hyperlink ref="G192" location="'APSA-370 (SO2)'!A44" display="5.1.5"/>
    <hyperlink ref="B193" location="'APSA-370 (SO2)'!A28" display="3.4.3"/>
    <hyperlink ref="G193" location="'APSA-370 (SO2)'!A38" display="4.3.1"/>
    <hyperlink ref="B194" location="'APSA-370 (SO2)'!A28" display="3.4.3"/>
    <hyperlink ref="G194" location="'APSA-370 (SO2)'!A63" display="6.3.2"/>
    <hyperlink ref="B195" location="'APSA-370 (SO2)'!A29" display="3.4.4"/>
    <hyperlink ref="G195" location="'APSA-370 (SO2)'!A63" display="6.3.2"/>
    <hyperlink ref="B196" location="'APSA-370 (SO2)'!A29" display="3.4.4"/>
    <hyperlink ref="G196" location="'APSA-370 (SO2)'!A44" display="5.1.5"/>
    <hyperlink ref="B197" location="'APSA-370 (SO2)'!A30" display="3.5.1"/>
    <hyperlink ref="G197" location="'APSA-370 (SO2)'!A51" display="6.1.1"/>
    <hyperlink ref="B198" location="'APSA-370 (SO2)'!A30" display="3.5.1"/>
    <hyperlink ref="G198" location="'APSA-370 (SO2)'!A58" display="6.2.4"/>
    <hyperlink ref="B199" location="'APSA-370 (SO2)'!A30" display="3.5.1"/>
    <hyperlink ref="G199" location="'APSA-370 (SO2)'!A40" display="5.1.1"/>
    <hyperlink ref="B200" location="'APSA-370 (SO2)'!A31" display="3.5.2"/>
    <hyperlink ref="G200" location="'APSA-370 (SO2)'!A89" display="8.1.5"/>
    <hyperlink ref="B201" location="'APSA-370 (SO2)'!A31" display="3.5.2"/>
    <hyperlink ref="G201" location="'APSA-370 (SO2)'!A51" display="6.1.1"/>
    <hyperlink ref="B202" location="'APSA-370 (SO2)'!A31" display="3.5.2"/>
    <hyperlink ref="G202" location="'APSA-370 (SO2)'!A59" display="6.2.5"/>
    <hyperlink ref="B203" location="'APSA-370 (SO2)'!A32" display="3.6.1"/>
    <hyperlink ref="G203" location="'APSA-370 (SO2)'!A22" display="3.2.1"/>
    <hyperlink ref="B204" location="'APSA-370 (SO2)'!A32" display="3.6.1"/>
    <hyperlink ref="G204" location="'APSA-370 (SO2)'!A44" display="5.1.5"/>
    <hyperlink ref="B205" location="'APSA-370 (SO2)'!A32" display="3.6.1"/>
    <hyperlink ref="G205" location="'APSA-370 (SO2)'!A60" display="6.2.6"/>
    <hyperlink ref="B206" location="'APSA-370 (SO2)'!A33" display="4.1.1"/>
    <hyperlink ref="G206" location="'APSA-370 (SO2)'!A41" display="5.1.2"/>
    <hyperlink ref="B207" location="'APSA-370 (SO2)'!A33" display="4.1.1"/>
    <hyperlink ref="G207" location="'APSA-370 (SO2)'!A40" display="5.1.1"/>
    <hyperlink ref="B208" location="'APSA-370 (SO2)'!A33" display="4.1.1"/>
    <hyperlink ref="G208" location="'APSA-370 (SO2)'!A85" display="8.1.1"/>
    <hyperlink ref="B209" location="'APSA-370 (SO2)'!A34" display="4.1.2"/>
    <hyperlink ref="G209" location="'APSA-370 (SO2)'!A44" display="5.1.5"/>
    <hyperlink ref="B210" location="'APSA-370 (SO2)'!A35" display="4.1.3"/>
    <hyperlink ref="G210" location="'APSA-370 (SO2)'!A36" display="4.2.1"/>
    <hyperlink ref="B211" location="'APSA-370 (SO2)'!A35" display="4.1.3"/>
    <hyperlink ref="G211" location="'APSA-370 (SO2)'!A37" display="4.2.2"/>
    <hyperlink ref="B212" location="'APSA-370 (SO2)'!A35" display="4.1.3"/>
    <hyperlink ref="G212" location="'APSA-370 (SO2)'!A96" display="10.1.1"/>
    <hyperlink ref="B213" location="'APSA-370 (SO2)'!A35" display="4.1.3"/>
    <hyperlink ref="G213" location="'APSA-370 (SO2)'!A42" display="5.1.3"/>
    <hyperlink ref="B214" location="'APSA-370 (SO2)'!A36" display="4.2.1"/>
    <hyperlink ref="G214" location="'APSA-370 (SO2)'!A40" display="5.1.1"/>
    <hyperlink ref="B215" location="'APSA-370 (SO2)'!A36" display="4.2.1"/>
    <hyperlink ref="G215" location="'APSA-370 (SO2)'!A35" display="4.1.3"/>
    <hyperlink ref="B216" location="'APSA-370 (SO2)'!A37" display="4.2.2"/>
    <hyperlink ref="G216" location="'APSA-370 (SO2)'!A35" display="4.1.3"/>
    <hyperlink ref="B217" location="'APSA-370 (SO2)'!A37" display="4.2.2"/>
    <hyperlink ref="G217" location="'APSA-370 (SO2)'!A96" display="10.1.1"/>
    <hyperlink ref="B218" location="'APSA-370 (SO2)'!A38" display="4.3.1"/>
    <hyperlink ref="G218" location="'APSA-370 (SO2)'!A44" display="5.1.5"/>
    <hyperlink ref="B219" location="'APSA-370 (SO2)'!A38" display="4.3.1"/>
    <hyperlink ref="G219" location="'APSA-370 (SO2)'!A40" display="5.1.1"/>
    <hyperlink ref="B220" location="'APSA-370 (SO2)'!A38" display="4.3.1"/>
    <hyperlink ref="G220" location="'APSA-370 (SO2)'!A19" display="3.1.1"/>
    <hyperlink ref="B221" location="'APSA-370 (SO2)'!A39" display="4.3.2"/>
    <hyperlink ref="G221" location="'APSA-370 (SO2)'!A38" display="4.3.1"/>
    <hyperlink ref="B222" location="'APSA-370 (SO2)'!A39" display="4.3.2"/>
    <hyperlink ref="G222" location="'APSA-370 (SO2)'!A44" display="5.1.5"/>
    <hyperlink ref="B223" location="'APSA-370 (SO2)'!A40" display="5.1.1"/>
    <hyperlink ref="G223" location="'APSA-370 (SO2)'!A33" display="4.1.1"/>
    <hyperlink ref="B224" location="'APSA-370 (SO2)'!A40" display="5.1.1"/>
    <hyperlink ref="G224" location="'APSA-370 (SO2)'!A41" display="5.1.2"/>
    <hyperlink ref="B225" location="'APSA-370 (SO2)'!A40" display="5.1.1"/>
    <hyperlink ref="G225" location="'APSA-370 (SO2)'!A42" display="5.1.3"/>
    <hyperlink ref="B226" location="'APSA-370 (SO2)'!A40" display="5.1.1"/>
    <hyperlink ref="G226" location="'APSA-370 (SO2)'!A43" display="5.1.4"/>
    <hyperlink ref="B227" location="'APSA-370 (SO2)'!A41" display="5.1.2"/>
    <hyperlink ref="G227" location="'APSA-370 (SO2)'!A33" display="4.1.1"/>
    <hyperlink ref="B228" location="'APSA-370 (SO2)'!A41" display="5.1.2"/>
    <hyperlink ref="G228" location="'APSA-370 (SO2)'!A42" display="5.1.3"/>
    <hyperlink ref="B229" location="'APSA-370 (SO2)'!A41" display="5.1.2"/>
    <hyperlink ref="G229" location="'APSA-370 (SO2)'!A44" display="5.1.5"/>
    <hyperlink ref="B230" location="'APSA-370 (SO2)'!A41" display="5.1.2"/>
    <hyperlink ref="G230" location="'APSA-370 (SO2)'!A36" display="4.2.1"/>
    <hyperlink ref="B231" location="'APSA-370 (SO2)'!A42" display="5.1.3"/>
    <hyperlink ref="G231" location="'APSA-370 (SO2)'!A88" display="8.1.4"/>
    <hyperlink ref="B232" location="'APSA-370 (SO2)'!A42" display="5.1.3"/>
    <hyperlink ref="G232" location="'APSA-370 (SO2)'!A35" display="4.1.3"/>
    <hyperlink ref="B233" location="'APSA-370 (SO2)'!A42" display="5.1.3"/>
    <hyperlink ref="G233" location="'APSA-370 (SO2)'!A43" display="5.1.4"/>
    <hyperlink ref="B234" location="'APSA-370 (SO2)'!A43" display="5.1.4"/>
    <hyperlink ref="G234" location="'APSA-370 (SO2)'!A42" display="5.1.3"/>
    <hyperlink ref="B235" location="'APSA-370 (SO2)'!A43" display="5.1.4"/>
    <hyperlink ref="G235" location="'APSA-370 (SO2)'!A33" display="4.1.1"/>
    <hyperlink ref="B236" location="'APSA-370 (SO2)'!A44" display="5.1.5"/>
    <hyperlink ref="G236" location="'APSA-370 (SO2)'!A41" display="5.1.2"/>
    <hyperlink ref="B237" location="'APSA-370 (SO2)'!A44" display="5.1.5"/>
    <hyperlink ref="G237" location="'APSA-370 (SO2)'!A38" display="4.3.1"/>
    <hyperlink ref="B238" location="'APSA-370 (SO2)'!A44" display="5.1.5"/>
    <hyperlink ref="G238" location="'APSA-370 (SO2)'!A34" display="4.1.2"/>
    <hyperlink ref="B239" location="'APSA-370 (SO2)'!A45" display="5.2.1"/>
    <hyperlink ref="G239" location="'APSA-370 (SO2)'!A85" display="8.1.1"/>
    <hyperlink ref="B240" location="'APSA-370 (SO2)'!A45" display="5.2.1"/>
    <hyperlink ref="G240" location="'APSA-370 (SO2)'!A62" display="6.3.1"/>
    <hyperlink ref="B241" location="'APSA-370 (SO2)'!A45" display="5.2.1"/>
    <hyperlink ref="G241" location="'APSA-370 (SO2)'!A41" display="5.1.2"/>
    <hyperlink ref="B242" location="'APSA-370 (SO2)'!A46" display="5.3.1"/>
    <hyperlink ref="G242" location="'APSA-370 (SO2)'!A19" display="3.1.1"/>
    <hyperlink ref="B243" location="'APSA-370 (SO2)'!A46" display="5.3.1"/>
    <hyperlink ref="G243" location="'APSA-370 (SO2)'!A94" display="9.4.1"/>
    <hyperlink ref="B244" location="'APSA-370 (SO2)'!A47" display="5.3.2"/>
    <hyperlink ref="G244" location="'APSA-370 (SO2)'!A20" display="3.1.2"/>
    <hyperlink ref="B245" location="'APSA-370 (SO2)'!A47" display="5.3.2"/>
    <hyperlink ref="G245" location="'APSA-370 (SO2)'!A94" display="9.4.1"/>
    <hyperlink ref="B246" location="'APSA-370 (SO2)'!A48" display="5.3.3"/>
    <hyperlink ref="G246" location="'APSA-370 (SO2)'!A19" display="3.1.1"/>
    <hyperlink ref="B247" location="'APSA-370 (SO2)'!A48" display="5.3.3"/>
    <hyperlink ref="G247" location="'APSA-370 (SO2)'!A94" display="9.4.1"/>
    <hyperlink ref="B248" location="'APSA-370 (SO2)'!A49" display="5.4.1"/>
    <hyperlink ref="G248" location="'APSA-370 (SO2)'!A50" display="5.4.2"/>
    <hyperlink ref="B249" location="'APSA-370 (SO2)'!A49" display="5.4.1"/>
    <hyperlink ref="G249" location="'APSA-370 (SO2)'!A41" display="5.1.2"/>
    <hyperlink ref="B250" location="'APSA-370 (SO2)'!A50" display="5.4.2"/>
    <hyperlink ref="G250" location="'APSA-370 (SO2)'!A49" display="5.4.1"/>
    <hyperlink ref="B251" location="'APSA-370 (SO2)'!A51" display="6.1.1"/>
    <hyperlink ref="G251" location="'APSA-370 (SO2)'!A89" display="8.1.5"/>
    <hyperlink ref="B252" location="'APSA-370 (SO2)'!A51" display="6.1.1"/>
    <hyperlink ref="G252" location="'APSA-370 (SO2)'!A52" display="6.1.2"/>
    <hyperlink ref="B253" location="'APSA-370 (SO2)'!A51" display="6.1.1"/>
    <hyperlink ref="G253" location="'APSA-370 (SO2)'!A53" display="6.1.3"/>
    <hyperlink ref="B254" location="'APSA-370 (SO2)'!A51" display="6.1.1"/>
    <hyperlink ref="G254" location="'APSA-370 (SO2)'!A58" display="6.2.4"/>
    <hyperlink ref="B255" location="'APSA-370 (SO2)'!A51" display="6.1.1"/>
    <hyperlink ref="G255" location="'APSA-370 (SO2)'!A55" display="6.2.1"/>
    <hyperlink ref="B256" location="'APSA-370 (SO2)'!A52" display="6.1.2"/>
    <hyperlink ref="G256" location="'APSA-370 (SO2)'!A51" display="6.1.1"/>
    <hyperlink ref="B257" location="'APSA-370 (SO2)'!A53" display="6.1.3"/>
    <hyperlink ref="G257" location="'APSA-370 (SO2)'!A51" display="6.1.1"/>
    <hyperlink ref="B258" location="'APSA-370 (SO2)'!A54" display="6.1.4"/>
    <hyperlink ref="G258" location="'APSA-370 (SO2)'!A89" display="8.1.5"/>
    <hyperlink ref="B259" location="'APSA-370 (SO2)'!A54" display="6.1.4"/>
    <hyperlink ref="G259" location="'APSA-370 (SO2)'!A51" display="6.1.1"/>
    <hyperlink ref="B260" location="'APSA-370 (SO2)'!A55" display="6.2.1"/>
    <hyperlink ref="G260" location="'APSA-370 (SO2)'!A51" display="6.1.1"/>
    <hyperlink ref="B261" location="'APSA-370 (SO2)'!A55" display="6.2.1"/>
    <hyperlink ref="G261" location="'APSA-370 (SO2)'!A60" display="6.2.6"/>
    <hyperlink ref="B262" location="'APSA-370 (SO2)'!A56" display="6.2.2"/>
    <hyperlink ref="G262" location="'APSA-370 (SO2)'!A51" display="6.1.1"/>
    <hyperlink ref="B263" location="'APSA-370 (SO2)'!A56" display="6.2.2"/>
    <hyperlink ref="G263" location="'APSA-370 (SO2)'!A58" display="6.2.4"/>
    <hyperlink ref="B264" location="'APSA-370 (SO2)'!A57" display="6.2.3"/>
    <hyperlink ref="G264" location="'APSA-370 (SO2)'!A51" display="6.1.1"/>
    <hyperlink ref="B265" location="'APSA-370 (SO2)'!A58" display="6.2.4"/>
    <hyperlink ref="G265" location="'APSA-370 (SO2)'!A35" display="4.1.3"/>
    <hyperlink ref="B266" location="'APSA-370 (SO2)'!A58" display="6.2.4"/>
    <hyperlink ref="G266" location="'APSA-370 (SO2)'!A90" display="9.1.1"/>
    <hyperlink ref="B267" location="'APSA-370 (SO2)'!A58" display="6.2.4"/>
    <hyperlink ref="G267" location="'APSA-370 (SO2)'!A51" display="6.1.1"/>
    <hyperlink ref="B268" location="'APSA-370 (SO2)'!A59" display="6.2.5"/>
    <hyperlink ref="G268" location="'APSA-370 (SO2)'!A33" display="4.1.1"/>
    <hyperlink ref="B269" location="'APSA-370 (SO2)'!A59" display="6.2.5"/>
    <hyperlink ref="G269" location="'APSA-370 (SO2)'!A58" display="6.2.4"/>
    <hyperlink ref="B270" location="'APSA-370 (SO2)'!A60" display="6.2.6"/>
    <hyperlink ref="G270" location="'APSA-370 (SO2)'!A90" display="9.1.1"/>
    <hyperlink ref="B271" location="'APSA-370 (SO2)'!A60" display="6.2.6"/>
    <hyperlink ref="G271" location="'APSA-370 (SO2)'!A64" display="7.1.1"/>
    <hyperlink ref="B272" location="'APSA-370 (SO2)'!A60" display="6.2.6"/>
    <hyperlink ref="G272" location="'APSA-370 (SO2)'!A51" display="6.1.1"/>
    <hyperlink ref="B273" location="'APSA-370 (SO2)'!A61" display="6.2.7"/>
    <hyperlink ref="G273" location="'APSA-370 (SO2)'!A51" display="6.1.1"/>
    <hyperlink ref="B274" location="'APSA-370 (SO2)'!A61" display="6.2.7"/>
    <hyperlink ref="G274" location="'APSA-370 (SO2)'!A64" display="7.1.1"/>
    <hyperlink ref="B275" location="'APSA-370 (SO2)'!A62" display="6.3.1"/>
    <hyperlink ref="G275" location="'APSA-370 (SO2)'!A87" display="8.1.3"/>
    <hyperlink ref="B276" location="'APSA-370 (SO2)'!A62" display="6.3.1"/>
    <hyperlink ref="G276" location="'APSA-370 (SO2)'!A45" display="5.2.1"/>
    <hyperlink ref="B277" location="'APSA-370 (SO2)'!A62" display="6.3.1"/>
    <hyperlink ref="G277" location="'APSA-370 (SO2)'!A104" display="10.4.2"/>
    <hyperlink ref="B278" location="'APSA-370 (SO2)'!A63" display="6.3.2"/>
    <hyperlink ref="G278" location="'APSA-370 (SO2)'!A86" display="8.1.2"/>
    <hyperlink ref="B279" location="'APSA-370 (SO2)'!A63" display="6.3.2"/>
    <hyperlink ref="G279" location="'APSA-370 (SO2)'!A19" display="3.1.1"/>
    <hyperlink ref="B280" location="'APSA-370 (SO2)'!A64" display="7.1.1"/>
    <hyperlink ref="G280" location="'APSA-370 (SO2)'!A60" display="6.2.6"/>
    <hyperlink ref="B281" location="'APSA-370 (SO2)'!A64" display="7.1.1"/>
    <hyperlink ref="G281" location="'APSA-370 (SO2)'!A94" display="9.4.1"/>
    <hyperlink ref="B282" location="'APSA-370 (SO2)'!A65" display="7.1.2"/>
    <hyperlink ref="G282" location="'APSA-370 (SO2)'!A41" display="5.1.2"/>
    <hyperlink ref="B283" location="'APSA-370 (SO2)'!A65" display="7.1.2"/>
    <hyperlink ref="G283" location="'APSA-370 (SO2)'!A94" display="9.4.1"/>
    <hyperlink ref="B284" location="'APSA-370 (SO2)'!A66" display="7.1.3"/>
    <hyperlink ref="G284" location="'APSA-370 (SO2)'!A67" display="7.1.4"/>
    <hyperlink ref="B285" location="'APSA-370 (SO2)'!A66" display="7.1.3"/>
    <hyperlink ref="G285" location="'APSA-370 (SO2)'!A72" display="7.1.9"/>
    <hyperlink ref="B286" location="'APSA-370 (SO2)'!A67" display="7.1.4"/>
    <hyperlink ref="G286" location="'APSA-370 (SO2)'!A66" display="7.1.3"/>
    <hyperlink ref="B287" location="'APSA-370 (SO2)'!A68" display="7.1.5"/>
    <hyperlink ref="G287" location="'APSA-370 (SO2)'!A94" display="9.4.1"/>
    <hyperlink ref="B288" location="'APSA-370 (SO2)'!A69" display="7.1.6"/>
    <hyperlink ref="G288" location="'APSA-370 (SO2)'!A95" display="9.4.2"/>
    <hyperlink ref="B289" location="'APSA-370 (SO2)'!A70" display="7.1.7"/>
    <hyperlink ref="G289" location="'APSA-370 (SO2)'!A95" display="9.4.2"/>
    <hyperlink ref="B290" location="'APSA-370 (SO2)'!A70" display="7.1.7"/>
    <hyperlink ref="G290" location="'APSA-370 (SO2)'!A72" display="7.1.9"/>
    <hyperlink ref="B291" location="'APSA-370 (SO2)'!A71" display="7.1.8"/>
    <hyperlink ref="G291" location="'APSA-370 (SO2)'!A95" display="9.4.2"/>
    <hyperlink ref="B292" location="'APSA-370 (SO2)'!A72" display="7.1.9"/>
    <hyperlink ref="G292" location="'APSA-370 (SO2)'!A77" display="7.3.4"/>
    <hyperlink ref="B293" location="'APSA-370 (SO2)'!A72" display="7.1.9"/>
    <hyperlink ref="G293" location="'APSA-370 (SO2)'!A76" display="7.3.3"/>
    <hyperlink ref="B294" location="'APSA-370 (SO2)'!A72" display="7.1.9"/>
    <hyperlink ref="G294" location="'APSA-370 (SO2)'!A73" display="7.2.1"/>
    <hyperlink ref="B295" location="'APSA-370 (SO2)'!A73" display="7.2.1"/>
    <hyperlink ref="G295" location="'APSA-370 (SO2)'!A10" display="1.2.1"/>
    <hyperlink ref="B296" location="'APSA-370 (SO2)'!A74" display="7.3.1"/>
    <hyperlink ref="G296" location="'APSA-370 (SO2)'!A68" display="7.1.5"/>
    <hyperlink ref="B297" location="'APSA-370 (SO2)'!A74" display="7.3.1"/>
    <hyperlink ref="G297" location="'APSA-370 (SO2)'!A20" display="3.1.2"/>
    <hyperlink ref="B298" location="'APSA-370 (SO2)'!A76" display="7.3.3"/>
    <hyperlink ref="G298" location="'APSA-370 (SO2)'!A82" display="7.6.1"/>
    <hyperlink ref="B299" location="'APSA-370 (SO2)'!A76" display="7.3.3"/>
    <hyperlink ref="G299" location="'APSA-370 (SO2)'!A72" display="7.1.9"/>
    <hyperlink ref="B300" location="'APSA-370 (SO2)'!A77" display="7.3.4"/>
    <hyperlink ref="G300" location="'APSA-370 (SO2)'!A72" display="7.1.9"/>
    <hyperlink ref="B301" location="'APSA-370 (SO2)'!A78" display="7.4.1"/>
    <hyperlink ref="G301" location="'APSA-370 (SO2)'!A97" display="10.1.2"/>
    <hyperlink ref="B302" location="'APSA-370 (SO2)'!A78" display="7.4.1"/>
    <hyperlink ref="G302" location="'APSA-370 (SO2)'!A102" display="10.3.1"/>
    <hyperlink ref="B303" location="'APSA-370 (SO2)'!A79" display="7.5.1"/>
    <hyperlink ref="G303" location="'APSA-370 (SO2)'!A81" display="7.5.3"/>
    <hyperlink ref="B304" location="'APSA-370 (SO2)'!A79" display="7.5.1"/>
    <hyperlink ref="G304" location="'APSA-370 (SO2)'!A80" display="7.5.2"/>
    <hyperlink ref="B305" location="'APSA-370 (SO2)'!A80" display="7.5.2"/>
    <hyperlink ref="G305" location="'APSA-370 (SO2)'!A79" display="7.5.1"/>
    <hyperlink ref="B306" location="'APSA-370 (SO2)'!A80" display="7.5.2"/>
    <hyperlink ref="G306" location="'APSA-370 (SO2)'!A81" display="7.5.3"/>
    <hyperlink ref="B307" location="'APSA-370 (SO2)'!A81" display="7.5.3"/>
    <hyperlink ref="G307" location="'APSA-370 (SO2)'!A79" display="7.5.1"/>
    <hyperlink ref="B308" location="'APSA-370 (SO2)'!A82" display="7.6.1"/>
    <hyperlink ref="G308" location="'APSA-370 (SO2)'!A76" display="7.3.3"/>
    <hyperlink ref="B309" location="'APSA-370 (SO2)'!A83" display="7.6.2"/>
    <hyperlink ref="G309" location="'APSA-370 (SO2)'!A72" display="7.1.9"/>
    <hyperlink ref="B310" location="'APSA-370 (SO2)'!A84" display="7.7.1"/>
    <hyperlink ref="G310" location="'APSA-370 (SO2)'!A94" display="9.4.1"/>
    <hyperlink ref="B311" location="'APSA-370 (SO2)'!A84" display="7.7.1"/>
    <hyperlink ref="G311" location="'APSA-370 (SO2)'!A95" display="9.4.2"/>
    <hyperlink ref="B312" location="'APSA-370 (SO2)'!A85" display="8.1.1"/>
    <hyperlink ref="G312" location="'APSA-370 (SO2)'!A45" display="5.2.1"/>
    <hyperlink ref="B313" location="'APSA-370 (SO2)'!A86" display="8.1.2"/>
    <hyperlink ref="G313" location="'APSA-370 (SO2)'!A63" display="6.3.2"/>
    <hyperlink ref="B314" location="'APSA-370 (SO2)'!A87" display="8.1.3"/>
    <hyperlink ref="G314" location="'APSA-370 (SO2)'!A62" display="6.3.1"/>
    <hyperlink ref="B315" location="'APSA-370 (SO2)'!A88" display="8.1.4"/>
    <hyperlink ref="G315" location="'APSA-370 (SO2)'!A42" display="5.1.3"/>
    <hyperlink ref="B316" location="'APSA-370 (SO2)'!A89" display="8.1.5"/>
    <hyperlink ref="G316" location="'APSA-370 (SO2)'!A51" display="6.1.1"/>
    <hyperlink ref="B317" location="'APSA-370 (SO2)'!A90" display="9.1.1"/>
    <hyperlink ref="G317" location="'APSA-370 (SO2)'!A96" display="10.1.1"/>
    <hyperlink ref="B318" location="'APSA-370 (SO2)'!A90" display="9.1.1"/>
    <hyperlink ref="G318" location="'APSA-370 (SO2)'!A68" display="7.1.5"/>
    <hyperlink ref="B319" location="'APSA-370 (SO2)'!A90" display="9.1.1"/>
    <hyperlink ref="G319" location="'APSA-370 (SO2)'!A103" display="10.4.1"/>
    <hyperlink ref="B320" location="'APSA-370 (SO2)'!A91" display="9.2.1"/>
    <hyperlink ref="G320" location="'APSA-370 (SO2)'!A92" display="9.2.2"/>
    <hyperlink ref="B321" location="'APSA-370 (SO2)'!A92" display="9.2.2"/>
    <hyperlink ref="G321" location="'APSA-370 (SO2)'!A41" display="5.1.2"/>
    <hyperlink ref="B322" location="'APSA-370 (SO2)'!A92" display="9.2.2"/>
    <hyperlink ref="G322" location="'APSA-370 (SO2)'!A91" display="9.2.1"/>
    <hyperlink ref="B323" location="'APSA-370 (SO2)'!A93" display="9.3.1"/>
    <hyperlink ref="G323" location="'APSA-370 (SO2)'!A40" display="5.1.1"/>
    <hyperlink ref="B324" location="'APSA-370 (SO2)'!A94" display="9.4.1"/>
    <hyperlink ref="G324" location="'APSA-370 (SO2)'!A84" display="7.7.1"/>
    <hyperlink ref="B325" location="'APSA-370 (SO2)'!A95" display="9.4.2"/>
    <hyperlink ref="G325" location="'APSA-370 (SO2)'!A84" display="7.7.1"/>
    <hyperlink ref="B326" location="'APSA-370 (SO2)'!A96" display="10.1.1"/>
    <hyperlink ref="G326" location="'APSA-370 (SO2)'!A90" display="9.1.1"/>
    <hyperlink ref="B327" location="'APSA-370 (SO2)'!A96" display="10.1.1"/>
    <hyperlink ref="G327" location="'APSA-370 (SO2)'!A97" display="10.1.2"/>
    <hyperlink ref="B328" location="'APSA-370 (SO2)'!A97" display="10.1.2"/>
    <hyperlink ref="G328" location="'APSA-370 (SO2)'!A35" display="4.1.3"/>
    <hyperlink ref="B329" location="'APSA-370 (SO2)'!A97" display="10.1.2"/>
    <hyperlink ref="G329" location="'APSA-370 (SO2)'!A78" display="7.4.1"/>
    <hyperlink ref="B330" location="'APSA-370 (SO2)'!A98" display="10.1.3"/>
    <hyperlink ref="G330" location="'APSA-370 (SO2)'!A33" display="4.1.1"/>
    <hyperlink ref="B331" location="'APSA-370 (SO2)'!A98" display="10.1.3"/>
    <hyperlink ref="G331" location="'APSA-370 (SO2)'!A103" display="10.4.1"/>
    <hyperlink ref="B332" location="'APSA-370 (SO2)'!A100" display="10.2.2"/>
    <hyperlink ref="G332" location="'APSA-370 (SO2)'!A36" display="4.2.1"/>
    <hyperlink ref="B333" location="'APSA-370 (SO2)'!A100" display="10.2.2"/>
    <hyperlink ref="G333" location="'APSA-370 (SO2)'!A103" display="10.4.1"/>
    <hyperlink ref="B334" location="'APSA-370 (SO2)'!A102" display="10.3.1"/>
    <hyperlink ref="G334" location="'APSA-370 (SO2)'!A78" display="7.4.1"/>
    <hyperlink ref="B335" location="'APSA-370 (SO2)'!A103" display="10.4.1"/>
    <hyperlink ref="G335" location="'APSA-370 (SO2)'!A98" display="10.1.3"/>
    <hyperlink ref="B336" location="'APSA-370 (SO2)'!A103" display="10.4.1"/>
    <hyperlink ref="G336" location="'APSA-370 (SO2)'!A90" display="9.1.1"/>
    <hyperlink ref="B337" location="'APSA-370 (SO2)'!A104" display="10.4.2"/>
    <hyperlink ref="G337" location="'APSA-370 (SO2)'!A62" display="6.3.1"/>
    <hyperlink ref="B338" location="'APSA-370 (SO2)'!A104" display="10.4.2"/>
    <hyperlink ref="G338" location="'APSA-370 (SO2)'!A90" display="9.1.1"/>
    <hyperlink ref="B339" location="'APOA-370 (O3)'!A9" display="1.1.1"/>
    <hyperlink ref="G339" location="'APOA-370 (O3)'!A12" display="1.2.1"/>
    <hyperlink ref="B340" location="'APOA-370 (O3)'!A10" display="1.1.2"/>
    <hyperlink ref="G340" location="'APOA-370 (O3)'!A61" display="7.3.1"/>
    <hyperlink ref="B341" location="'APOA-370 (O3)'!A10" display="1.1.2"/>
    <hyperlink ref="G341" location="'APOA-370 (O3)'!A59" display="7.2.2"/>
    <hyperlink ref="B342" location="'APOA-370 (O3)'!A11" display="1.1.3"/>
    <hyperlink ref="G342" location="'APOA-370 (O3)'!A10" display="1.1.2"/>
    <hyperlink ref="B343" location="'APOA-370 (O3)'!A11" display="1.1.3"/>
    <hyperlink ref="G343" location="'APOA-370 (O3)'!A59" display="7.2.2"/>
    <hyperlink ref="B344" location="'APOA-370 (O3)'!A12" display="1.2.1"/>
    <hyperlink ref="G344" location="'APOA-370 (O3)'!A44" display="6.1.1"/>
    <hyperlink ref="B345" location="'APOA-370 (O3)'!A12" display="1.2.1"/>
    <hyperlink ref="G345" location="'APOA-370 (O3)'!A41" display="5.3.1"/>
    <hyperlink ref="B346" location="'APOA-370 (O3)'!A12" display="1.2.1"/>
    <hyperlink ref="G346" location="'APOA-370 (O3)'!A40" display="5.2.1"/>
    <hyperlink ref="B347" location="'APOA-370 (O3)'!A12" display="1.2.1"/>
    <hyperlink ref="G347" location="'APOA-370 (O3)'!A45" display="6.1.2"/>
    <hyperlink ref="B348" location="'APOA-370 (O3)'!A13" display="1.2.2"/>
    <hyperlink ref="G348" location="'APOA-370 (O3)'!A44" display="6.1.1"/>
    <hyperlink ref="B349" location="'APOA-370 (O3)'!A13" display="1.2.2"/>
    <hyperlink ref="G349" location="'APOA-370 (O3)'!A49" display="6.2.3"/>
    <hyperlink ref="B350" location="'APOA-370 (O3)'!A13" display="1.2.2"/>
    <hyperlink ref="G350" location="'APOA-370 (O3)'!A47" display="6.2.1"/>
    <hyperlink ref="B351" location="'APOA-370 (O3)'!A14" display="1.2.3"/>
    <hyperlink ref="G351" location="'APOA-370 (O3)'!A54" display="6.5.1"/>
    <hyperlink ref="B352" location="'APOA-370 (O3)'!A14" display="1.2.3"/>
    <hyperlink ref="G352" location="'APOA-370 (O3)'!A55" display="7.1.1"/>
    <hyperlink ref="B353" location="'APOA-370 (O3)'!A14" display="1.2.3"/>
    <hyperlink ref="G353" location="'APOA-370 (O3)'!A46" display="6.1.3"/>
    <hyperlink ref="B354" location="'APOA-370 (O3)'!A15" display="1.3.1"/>
    <hyperlink ref="G354" location="'APOA-370 (O3)'!A44" display="6.1.1"/>
    <hyperlink ref="B355" location="'APOA-370 (O3)'!A15" display="1.3.1"/>
    <hyperlink ref="G355" location="'APOA-370 (O3)'!A45" display="6.1.2"/>
    <hyperlink ref="B356" location="'APOA-370 (O3)'!A15" display="1.3.1"/>
    <hyperlink ref="G356" location="'APOA-370 (O3)'!A80" display="9.2.2"/>
    <hyperlink ref="B357" location="'APOA-370 (O3)'!A16" display="2.1.1"/>
    <hyperlink ref="G357" location="'APOA-370 (O3)'!A18" display="2.2.2"/>
    <hyperlink ref="B358" location="'APOA-370 (O3)'!A17" display="2.2.1"/>
    <hyperlink ref="G358" location="'APOA-370 (O3)'!A18" display="2.2.2"/>
    <hyperlink ref="B359" location="'APOA-370 (O3)'!A17" display="2.2.1"/>
    <hyperlink ref="G359" location="'APOA-370 (O3)'!A59" display="7.2.2"/>
    <hyperlink ref="B360" location="'APOA-370 (O3)'!A18" display="2.2.2"/>
    <hyperlink ref="G360" location="'APOA-370 (O3)'!A16" display="2.1.1"/>
    <hyperlink ref="B361" location="'APOA-370 (O3)'!A21" display="2.4.1"/>
    <hyperlink ref="G361" location="'APOA-370 (O3)'!A35" display="4.3.3"/>
    <hyperlink ref="B362" location="'APOA-370 (O3)'!A22" display="3.1.1"/>
    <hyperlink ref="G362" location="'APOA-370 (O3)'!A15" display="1.3.1"/>
    <hyperlink ref="B363" location="'APOA-370 (O3)'!A22" display="3.1.1"/>
    <hyperlink ref="G363" location="'APOA-370 (O3)'!A50" display="6.3.1"/>
    <hyperlink ref="B364" location="'APOA-370 (O3)'!A22" display="3.1.1"/>
    <hyperlink ref="G364" location="'APOA-370 (O3)'!A33" display="4.3.1"/>
    <hyperlink ref="B365" location="'APOA-370 (O3)'!A22" display="3.1.1"/>
    <hyperlink ref="G365" location="'APOA-370 (O3)'!A26" display="3.3.1"/>
    <hyperlink ref="B366" location="'APOA-370 (O3)'!A22" display="3.1.1"/>
    <hyperlink ref="G366" location="'APOA-370 (O3)'!A28" display="3.4.1"/>
    <hyperlink ref="B367" location="'APOA-370 (O3)'!A23" display="3.1.2"/>
    <hyperlink ref="G367" location="'APOA-370 (O3)'!A26" display="3.3.1"/>
    <hyperlink ref="B368" location="'APOA-370 (O3)'!A23" display="3.1.2"/>
    <hyperlink ref="G368" location="'APOA-370 (O3)'!A44" display="6.1.1"/>
    <hyperlink ref="B369" location="'APOA-370 (O3)'!A23" display="3.1.2"/>
    <hyperlink ref="G369" location="'APOA-370 (O3)'!A50" display="6.3.1"/>
    <hyperlink ref="B370" location="'APOA-370 (O3)'!A23" display="3.1.2"/>
    <hyperlink ref="G370" location="'APOA-370 (O3)'!A45" display="6.1.2"/>
    <hyperlink ref="B371" location="'APOA-370 (O3)'!A24" display="3.2.1"/>
    <hyperlink ref="G371" location="'APOA-370 (O3)'!A52" display="6.4.1"/>
    <hyperlink ref="B372" location="'APOA-370 (O3)'!A24" display="3.2.1"/>
    <hyperlink ref="G372" location="'APOA-370 (O3)'!A53" display="6.4.2"/>
    <hyperlink ref="B373" location="'APOA-370 (O3)'!A24" display="3.2.1"/>
    <hyperlink ref="G373" location="'APOA-370 (O3)'!A44" display="6.1.1"/>
    <hyperlink ref="B374" location="'APOA-370 (O3)'!A25" display="3.2.2"/>
    <hyperlink ref="G374" location="'APOA-370 (O3)'!A44" display="6.1.1"/>
    <hyperlink ref="B375" location="'APOA-370 (O3)'!A25" display="3.2.2"/>
    <hyperlink ref="G375" location="'APOA-370 (O3)'!A47" display="6.2.1"/>
    <hyperlink ref="B376" location="'APOA-370 (O3)'!A25" display="3.2.2"/>
    <hyperlink ref="G376" location="'APOA-370 (O3)'!A52" display="6.4.1"/>
    <hyperlink ref="B377" location="'APOA-370 (O3)'!A26" display="3.3.1"/>
    <hyperlink ref="G377" location="'APOA-370 (O3)'!A23" display="3.1.2"/>
    <hyperlink ref="B378" location="'APOA-370 (O3)'!A27" display="3.3.2"/>
    <hyperlink ref="G378" location="'APOA-370 (O3)'!A23" display="3.1.2"/>
    <hyperlink ref="B379" location="'APOA-370 (O3)'!A28" display="3.4.1"/>
    <hyperlink ref="G379" location="'APOA-370 (O3)'!A50" display="6.3.1"/>
    <hyperlink ref="B380" location="'APOA-370 (O3)'!A28" display="3.4.1"/>
    <hyperlink ref="G380" location="'APOA-370 (O3)'!A46" display="6.1.3"/>
    <hyperlink ref="B381" location="'APOA-370 (O3)'!A28" display="3.4.1"/>
    <hyperlink ref="G381" location="'APOA-370 (O3)'!A33" display="4.3.1"/>
    <hyperlink ref="B382" location="'APOA-370 (O3)'!A28" display="3.4.1"/>
    <hyperlink ref="G382" location="'APOA-370 (O3)'!A44" display="6.1.1"/>
    <hyperlink ref="B383" location="'APOA-370 (O3)'!A29" display="4.1.1"/>
    <hyperlink ref="G383" location="'APOA-370 (O3)'!A40" display="5.2.1"/>
    <hyperlink ref="B384" location="'APOA-370 (O3)'!A29" display="4.1.1"/>
    <hyperlink ref="G384" location="'APOA-370 (O3)'!A41" display="5.3.1"/>
    <hyperlink ref="B385" location="'APOA-370 (O3)'!A29" display="4.1.1"/>
    <hyperlink ref="G385" location="'APOA-370 (O3)'!A69" display="8.1.1"/>
    <hyperlink ref="B386" location="'APOA-370 (O3)'!A30" display="4.1.2"/>
    <hyperlink ref="G386" location="'APOA-370 (O3)'!A40" display="5.2.1"/>
    <hyperlink ref="B387" location="'APOA-370 (O3)'!A31" display="4.1.3"/>
    <hyperlink ref="G387" location="'APOA-370 (O3)'!A30" display="4.1.2"/>
    <hyperlink ref="B388" location="'APOA-370 (O3)'!A31" display="4.1.3"/>
    <hyperlink ref="G388" location="'APOA-370 (O3)'!A40" display="5.2.1"/>
    <hyperlink ref="B389" location="'APOA-370 (O3)'!A32" display="4.2.1"/>
    <hyperlink ref="G389" location="'APOA-370 (O3)'!A36" display="4.4.1"/>
    <hyperlink ref="B390" location="'APOA-370 (O3)'!A32" display="4.2.1"/>
    <hyperlink ref="G390" location="'APOA-370 (O3)'!A87" display="10.3.1"/>
    <hyperlink ref="B391" location="'APOA-370 (O3)'!A32" display="4.2.1"/>
    <hyperlink ref="G391" location="'APOA-370 (O3)'!A47" display="6.2.1"/>
    <hyperlink ref="B392" location="'APOA-370 (O3)'!A32" display="4.2.1"/>
    <hyperlink ref="G392" location="'APOA-370 (O3)'!A37" display="5.1.1"/>
    <hyperlink ref="B393" location="'APOA-370 (O3)'!A33" display="4.3.1"/>
    <hyperlink ref="G393" location="'APOA-370 (O3)'!A40" display="5.2.1"/>
    <hyperlink ref="B394" location="'APOA-370 (O3)'!A33" display="4.3.1"/>
    <hyperlink ref="G394" location="'APOA-370 (O3)'!A41" display="5.3.1"/>
    <hyperlink ref="B395" location="'APOA-370 (O3)'!A33" display="4.3.1"/>
    <hyperlink ref="G395" location="'APOA-370 (O3)'!A22" display="3.1.1"/>
    <hyperlink ref="B396" location="'APOA-370 (O3)'!A34" display="4.3.2"/>
    <hyperlink ref="G396" location="'APOA-370 (O3)'!A33" display="4.3.1"/>
    <hyperlink ref="B397" location="'APOA-370 (O3)'!A34" display="4.3.2"/>
    <hyperlink ref="G397" location="'APOA-370 (O3)'!A40" display="5.2.1"/>
    <hyperlink ref="B398" location="'APOA-370 (O3)'!A35" display="4.3.3"/>
    <hyperlink ref="G398" location="'APOA-370 (O3)'!A33" display="4.3.1"/>
    <hyperlink ref="B399" location="'APOA-370 (O3)'!A35" display="4.3.3"/>
    <hyperlink ref="G399" location="'APOA-370 (O3)'!A40" display="5.2.1"/>
    <hyperlink ref="B400" location="'APOA-370 (O3)'!A36" display="4.4.1"/>
    <hyperlink ref="G400" location="'APOA-370 (O3)'!A41" display="5.3.1"/>
    <hyperlink ref="B401" location="'APOA-370 (O3)'!A36" display="4.4.1"/>
    <hyperlink ref="G401" location="'APOA-370 (O3)'!A32" display="4.2.1"/>
    <hyperlink ref="B402" location="'APOA-370 (O3)'!A37" display="5.1.1"/>
    <hyperlink ref="G402" location="'APOA-370 (O3)'!A72" display="8.2.1"/>
    <hyperlink ref="B403" location="'APOA-370 (O3)'!A37" display="5.1.1"/>
    <hyperlink ref="G403" location="'APOA-370 (O3)'!A32" display="4.2.1"/>
    <hyperlink ref="B404" location="'APOA-370 (O3)'!A37" display="5.1.1"/>
    <hyperlink ref="G404" location="'APOA-370 (O3)'!A38" display="5.1.2"/>
    <hyperlink ref="B405" location="'APOA-370 (O3)'!A38" display="5.1.2"/>
    <hyperlink ref="G405" location="'APOA-370 (O3)'!A37" display="5.1.1"/>
    <hyperlink ref="B406" location="'APOA-370 (O3)'!A38" display="5.1.2"/>
    <hyperlink ref="G406" location="'APOA-370 (O3)'!A29" display="4.1.1"/>
    <hyperlink ref="B407" location="'APOA-370 (O3)'!A39" display="5.1.3"/>
    <hyperlink ref="G407" location="'APOA-370 (O3)'!A46" display="6.1.3"/>
    <hyperlink ref="B408" location="'APOA-370 (O3)'!A39" display="5.1.3"/>
    <hyperlink ref="G408" location="'APOA-370 (O3)'!A75" display="8.2.4"/>
    <hyperlink ref="B409" location="'APOA-370 (O3)'!A40" display="5.2.1"/>
    <hyperlink ref="G409" location="'APOA-370 (O3)'!A29" display="4.1.1"/>
    <hyperlink ref="B410" location="'APOA-370 (O3)'!A40" display="5.2.1"/>
    <hyperlink ref="G410" location="'APOA-370 (O3)'!A36" display="4.4.1"/>
    <hyperlink ref="B411" location="'APOA-370 (O3)'!A40" display="5.2.1"/>
    <hyperlink ref="G411" location="'APOA-370 (O3)'!A37" display="5.1.1"/>
    <hyperlink ref="B412" location="'APOA-370 (O3)'!A40" display="5.2.1"/>
    <hyperlink ref="G412" location="'APOA-370 (O3)'!A43" display="5.3.3"/>
    <hyperlink ref="B413" location="'APOA-370 (O3)'!A41" display="5.3.1"/>
    <hyperlink ref="G413" location="'APOA-370 (O3)'!A29" display="4.1.1"/>
    <hyperlink ref="B414" location="'APOA-370 (O3)'!A41" display="5.3.1"/>
    <hyperlink ref="G414" location="'APOA-370 (O3)'!A40" display="5.2.1"/>
    <hyperlink ref="B415" location="'APOA-370 (O3)'!A41" display="5.3.1"/>
    <hyperlink ref="G415" location="'APOA-370 (O3)'!A42" display="5.3.2"/>
    <hyperlink ref="B416" location="'APOA-370 (O3)'!A41" display="5.3.1"/>
    <hyperlink ref="G416" location="'APOA-370 (O3)'!A43" display="5.3.3"/>
    <hyperlink ref="B417" location="'APOA-370 (O3)'!A42" display="5.3.2"/>
    <hyperlink ref="G417" location="'APOA-370 (O3)'!A43" display="5.3.3"/>
    <hyperlink ref="B418" location="'APOA-370 (O3)'!A42" display="5.3.2"/>
    <hyperlink ref="G418" location="'APOA-370 (O3)'!A37" display="5.1.1"/>
    <hyperlink ref="B419" location="'APOA-370 (O3)'!A42" display="5.3.2"/>
    <hyperlink ref="G419" location="'APOA-370 (O3)'!A33" display="4.3.1"/>
    <hyperlink ref="B420" location="'APOA-370 (O3)'!A43" display="5.3.3"/>
    <hyperlink ref="G420" location="'APOA-370 (O3)'!A42" display="5.3.2"/>
    <hyperlink ref="B421" location="'APOA-370 (O3)'!A43" display="5.3.3"/>
    <hyperlink ref="G421" location="'APOA-370 (O3)'!A29" display="4.1.1"/>
    <hyperlink ref="B422" location="'APOA-370 (O3)'!A44" display="6.1.1"/>
    <hyperlink ref="G422" location="'APOA-370 (O3)'!A49" display="6.2.3"/>
    <hyperlink ref="B423" location="'APOA-370 (O3)'!A44" display="6.1.1"/>
    <hyperlink ref="G423" location="'APOA-370 (O3)'!A47" display="6.2.1"/>
    <hyperlink ref="B424" location="'APOA-370 (O3)'!A44" display="6.1.1"/>
    <hyperlink ref="G424" location="'APOA-370 (O3)'!A74" display="8.2.3"/>
    <hyperlink ref="B425" location="'APOA-370 (O3)'!A44" display="6.1.1"/>
    <hyperlink ref="G425" location="'APOA-370 (O3)'!A52" display="6.4.1"/>
    <hyperlink ref="B426" location="'APOA-370 (O3)'!A45" display="6.1.2"/>
    <hyperlink ref="G426" location="'APOA-370 (O3)'!A87" display="10.3.1"/>
    <hyperlink ref="B427" location="'APOA-370 (O3)'!A45" display="6.1.2"/>
    <hyperlink ref="G427" location="'APOA-370 (O3)'!A79" display="9.2.1"/>
    <hyperlink ref="B428" location="'APOA-370 (O3)'!A45" display="6.1.2"/>
    <hyperlink ref="G428" location="'APOA-370 (O3)'!A58" display="7.2.1"/>
    <hyperlink ref="B429" location="'APOA-370 (O3)'!A46" display="6.1.3"/>
    <hyperlink ref="G429" location="'APOA-370 (O3)'!A32" display="4.2.1"/>
    <hyperlink ref="B430" location="'APOA-370 (O3)'!A46" display="6.1.3"/>
    <hyperlink ref="G430" location="'APOA-370 (O3)'!A44" display="6.1.1"/>
    <hyperlink ref="B431" location="'APOA-370 (O3)'!A46" display="6.1.3"/>
    <hyperlink ref="G431" location="'APOA-370 (O3)'!A54" display="6.5.1"/>
    <hyperlink ref="B432" location="'APOA-370 (O3)'!A46" display="6.1.3"/>
    <hyperlink ref="G432" location="'APOA-370 (O3)'!A39" display="5.1.3"/>
    <hyperlink ref="B433" location="'APOA-370 (O3)'!A47" display="6.2.1"/>
    <hyperlink ref="G433" location="'APOA-370 (O3)'!A32" display="4.2.1"/>
    <hyperlink ref="B434" location="'APOA-370 (O3)'!A47" display="6.2.1"/>
    <hyperlink ref="G434" location="'APOA-370 (O3)'!A44" display="6.1.1"/>
    <hyperlink ref="B435" location="'APOA-370 (O3)'!A48" display="6.2.2"/>
    <hyperlink ref="G435" location="'APOA-370 (O3)'!A40" display="5.2.1"/>
    <hyperlink ref="B436" location="'APOA-370 (O3)'!A48" display="6.2.2"/>
    <hyperlink ref="G436" location="'APOA-370 (O3)'!A28" display="3.4.1"/>
    <hyperlink ref="B437" location="'APOA-370 (O3)'!A49" display="6.2.3"/>
    <hyperlink ref="G437" location="'APOA-370 (O3)'!A44" display="6.1.1"/>
    <hyperlink ref="B438" location="'APOA-370 (O3)'!A50" display="6.3.1"/>
    <hyperlink ref="G438" location="'APOA-370 (O3)'!A51" display="6.3.2"/>
    <hyperlink ref="B439" location="'APOA-370 (O3)'!A50" display="6.3.1"/>
    <hyperlink ref="G439" location="'APOA-370 (O3)'!A80" display="9.2.2"/>
    <hyperlink ref="B440" location="'APOA-370 (O3)'!A50" display="6.3.1"/>
    <hyperlink ref="G440" location="'APOA-370 (O3)'!A73" display="8.2.2"/>
    <hyperlink ref="B441" location="'APOA-370 (O3)'!A50" display="6.3.1"/>
    <hyperlink ref="G441" location="'APOA-370 (O3)'!A28" display="3.4.1"/>
    <hyperlink ref="B442" location="'APOA-370 (O3)'!A51" display="6.3.2"/>
    <hyperlink ref="G442" location="'APOA-370 (O3)'!A80" display="9.2.2"/>
    <hyperlink ref="B443" location="'APOA-370 (O3)'!A51" display="6.3.2"/>
    <hyperlink ref="G443" location="'APOA-370 (O3)'!A50" display="6.3.1"/>
    <hyperlink ref="B444" location="'APOA-370 (O3)'!A52" display="6.4.1"/>
    <hyperlink ref="G444" location="'APOA-370 (O3)'!A53" display="6.4.2"/>
    <hyperlink ref="B445" location="'APOA-370 (O3)'!A52" display="6.4.1"/>
    <hyperlink ref="G445" location="'APOA-370 (O3)'!A44" display="6.1.1"/>
    <hyperlink ref="B446" location="'APOA-370 (O3)'!A52" display="6.4.1"/>
    <hyperlink ref="G446" location="'APOA-370 (O3)'!A46" display="6.1.3"/>
    <hyperlink ref="B447" location="'APOA-370 (O3)'!A53" display="6.4.2"/>
    <hyperlink ref="G447" location="'APOA-370 (O3)'!A52" display="6.4.1"/>
    <hyperlink ref="B448" location="'APOA-370 (O3)'!A53" display="6.4.2"/>
    <hyperlink ref="G448" location="'APOA-370 (O3)'!A55" display="7.1.1"/>
    <hyperlink ref="B449" location="'APOA-370 (O3)'!A54" display="6.5.1"/>
    <hyperlink ref="G449" location="'APOA-370 (O3)'!A14" display="1.2.3"/>
    <hyperlink ref="B450" location="'APOA-370 (O3)'!A54" display="6.5.1"/>
    <hyperlink ref="G450" location="'APOA-370 (O3)'!A55" display="7.1.1"/>
    <hyperlink ref="B451" location="'APOA-370 (O3)'!A54" display="6.5.1"/>
    <hyperlink ref="G451" location="'APOA-370 (O3)'!A76" display="8.2.5"/>
    <hyperlink ref="B452" location="'APOA-370 (O3)'!A55" display="7.1.1"/>
    <hyperlink ref="G452" location="'APOA-370 (O3)'!A68" display="7.7.1"/>
    <hyperlink ref="B453" location="'APOA-370 (O3)'!A55" display="7.1.1"/>
    <hyperlink ref="G453" location="'APOA-370 (O3)'!A58" display="7.2.1"/>
    <hyperlink ref="B454" location="'APOA-370 (O3)'!A56" display="7.1.2"/>
    <hyperlink ref="G454" location="'APOA-370 (O3)'!A68" display="7.7.1"/>
    <hyperlink ref="B455" location="'APOA-370 (O3)'!A56" display="7.1.2"/>
    <hyperlink ref="G455" location="'APOA-370 (O3)'!A58" display="7.2.1"/>
    <hyperlink ref="B456" location="'APOA-370 (O3)'!A57" display="7.1.3"/>
    <hyperlink ref="G456" location="'APOA-370 (O3)'!A56" display="7.1.2"/>
    <hyperlink ref="B457" location="'APOA-370 (O3)'!A57" display="7.1.3"/>
    <hyperlink ref="G457" location="'APOA-370 (O3)'!A59" display="7.2.2"/>
    <hyperlink ref="B458" location="'APOA-370 (O3)'!A58" display="7.2.1"/>
    <hyperlink ref="G458" location="'APOA-370 (O3)'!A55" display="7.1.1"/>
    <hyperlink ref="B459" location="'APOA-370 (O3)'!A58" display="7.2.1"/>
    <hyperlink ref="G459" location="'APOA-370 (O3)'!A56" display="7.1.2"/>
    <hyperlink ref="B460" location="'APOA-370 (O3)'!A58" display="7.2.1"/>
    <hyperlink ref="G460" location="'APOA-370 (O3)'!A59" display="7.2.2"/>
    <hyperlink ref="B461" location="'APOA-370 (O3)'!A59" display="7.2.2"/>
    <hyperlink ref="G461" location="'APOA-370 (O3)'!A67" display="7.6.2"/>
    <hyperlink ref="B462" location="'APOA-370 (O3)'!A59" display="7.2.2"/>
    <hyperlink ref="G462" location="'APOA-370 (O3)'!A66" display="7.6.1"/>
    <hyperlink ref="B463" location="'APOA-370 (O3)'!A59" display="7.2.2"/>
    <hyperlink ref="G463" location="'APOA-370 (O3)'!A62" display="7.4.1"/>
    <hyperlink ref="B464" location="'APOA-370 (O3)'!A60" display="7.2.3"/>
    <hyperlink ref="G464" location="'APOA-370 (O3)'!A59" display="7.2.2"/>
    <hyperlink ref="B465" location="'APOA-370 (O3)'!A60" display="7.2.3"/>
    <hyperlink ref="G465" location="'APOA-370 (O3)'!A82" display="9.4.1"/>
    <hyperlink ref="B466" location="'APOA-370 (O3)'!A61" display="7.3.1"/>
    <hyperlink ref="G466" location="'APOA-370 (O3)'!A88" display="10.3.2"/>
    <hyperlink ref="B467" location="'APOA-370 (O3)'!A61" display="7.3.1"/>
    <hyperlink ref="G467" location="'APOA-370 (O3)'!A10" display="1.1.2"/>
    <hyperlink ref="B468" location="'APOA-370 (O3)'!A62" display="7.4.1"/>
    <hyperlink ref="G468" location="'APOA-370 (O3)'!A71" display="8.1.3"/>
    <hyperlink ref="B469" location="'APOA-370 (O3)'!A63" display="7.5.1"/>
    <hyperlink ref="G469" location="'APOA-370 (O3)'!A59" display="7.2.2"/>
    <hyperlink ref="B470" location="'APOA-370 (O3)'!A64" display="7.5.2"/>
    <hyperlink ref="G470" location="'APOA-370 (O3)'!A66" display="7.6.1"/>
    <hyperlink ref="B471" location="'APOA-370 (O3)'!A65" display="7.5.3"/>
    <hyperlink ref="G471" location="'APOA-370 (O3)'!A64" display="7.5.2"/>
    <hyperlink ref="B472" location="'APOA-370 (O3)'!A66" display="7.6.1"/>
    <hyperlink ref="G472" location="'APOA-370 (O3)'!A59" display="7.2.2"/>
    <hyperlink ref="B473" location="'APOA-370 (O3)'!A66" display="7.6.1"/>
    <hyperlink ref="G473" location="'APOA-370 (O3)'!A64" display="7.5.2"/>
    <hyperlink ref="B474" location="'APOA-370 (O3)'!A67" display="7.6.2"/>
    <hyperlink ref="G474" location="'APOA-370 (O3)'!A59" display="7.2.2"/>
    <hyperlink ref="B475" location="'APOA-370 (O3)'!A68" display="7.7.1"/>
    <hyperlink ref="G475" location="'APOA-370 (O3)'!A55" display="7.1.1"/>
    <hyperlink ref="B476" location="'APOA-370 (O3)'!A68" display="7.7.1"/>
    <hyperlink ref="G476" location="'APOA-370 (O3)'!A56" display="7.1.2"/>
    <hyperlink ref="B477" location="'APOA-370 (O3)'!A69" display="8.1.1"/>
    <hyperlink ref="G477" location="'APOA-370 (O3)'!A29" display="4.1.1"/>
    <hyperlink ref="B478" location="'APOA-370 (O3)'!A70" display="8.1.2"/>
    <hyperlink ref="G478" location="'APOA-370 (O3)'!A30" display="4.1.2"/>
    <hyperlink ref="B479" location="'APOA-370 (O3)'!A71" display="8.1.3"/>
    <hyperlink ref="G479" location="'APOA-370 (O3)'!A62" display="7.4.1"/>
    <hyperlink ref="B480" location="'APOA-370 (O3)'!A72" display="8.2.1"/>
    <hyperlink ref="G480" location="'APOA-370 (O3)'!A37" display="5.1.1"/>
    <hyperlink ref="B481" location="'APOA-370 (O3)'!A73" display="8.2.2"/>
    <hyperlink ref="G481" location="'APOA-370 (O3)'!A50" display="6.3.1"/>
    <hyperlink ref="B482" location="'APOA-370 (O3)'!A74" display="8.2.3"/>
    <hyperlink ref="G482" location="'APOA-370 (O3)'!A44" display="6.1.1"/>
    <hyperlink ref="B483" location="'APOA-370 (O3)'!A75" display="8.2.4"/>
    <hyperlink ref="G483" location="'APOA-370 (O3)'!A40" display="5.2.1"/>
    <hyperlink ref="B484" location="'APOA-370 (O3)'!A75" display="8.2.4"/>
    <hyperlink ref="G484" location="'APOA-370 (O3)'!A39" display="5.1.3"/>
    <hyperlink ref="B485" location="'APOA-370 (O3)'!A76" display="8.2.5"/>
    <hyperlink ref="G485" location="'APOA-370 (O3)'!A54" display="6.5.1"/>
    <hyperlink ref="B486" location="'APOA-370 (O3)'!A77" display="9.1.1"/>
    <hyperlink ref="G486" location="'APOA-370 (O3)'!A78" display="9.1.2"/>
    <hyperlink ref="B487" location="'APOA-370 (O3)'!A77" display="9.1.1"/>
    <hyperlink ref="G487" location="'APOA-370 (O3)'!A82" display="9.4.1"/>
    <hyperlink ref="B488" location="'APOA-370 (O3)'!A78" display="9.1.2"/>
    <hyperlink ref="G488" location="'APOA-370 (O3)'!A82" display="9.4.1"/>
    <hyperlink ref="B489" location="'APOA-370 (O3)'!A78" display="9.1.2"/>
    <hyperlink ref="G489" location="'APOA-370 (O3)'!A77" display="9.1.1"/>
    <hyperlink ref="B490" location="'APOA-370 (O3)'!A79" display="9.2.1"/>
    <hyperlink ref="G490" location="'APOA-370 (O3)'!A45" display="6.1.2"/>
    <hyperlink ref="B491" location="'APOA-370 (O3)'!A79" display="9.2.1"/>
    <hyperlink ref="G491" location="'APOA-370 (O3)'!A82" display="9.4.1"/>
    <hyperlink ref="B492" location="'APOA-370 (O3)'!A80" display="9.2.2"/>
    <hyperlink ref="G492" location="'APOA-370 (O3)'!A15" display="1.3.1"/>
    <hyperlink ref="B493" location="'APOA-370 (O3)'!A80" display="9.2.2"/>
    <hyperlink ref="G493" location="'APOA-370 (O3)'!A50" display="6.3.1"/>
    <hyperlink ref="B494" location="'APOA-370 (O3)'!A80" display="9.2.2"/>
    <hyperlink ref="G494" location="'APOA-370 (O3)'!A51" display="6.3.2"/>
    <hyperlink ref="B495" location="'APOA-370 (O3)'!A81" display="9.3.1"/>
    <hyperlink ref="G495" location="'APOA-370 (O3)'!A42" display="5.3.2"/>
    <hyperlink ref="B496" location="'APOA-370 (O3)'!A81" display="9.3.1"/>
    <hyperlink ref="G496" location="'APOA-370 (O3)'!A41" display="5.3.1"/>
    <hyperlink ref="B497" location="'APOA-370 (O3)'!A82" display="9.4.1"/>
    <hyperlink ref="G497" location="'APOA-370 (O3)'!A58" display="7.2.1"/>
    <hyperlink ref="B498" location="'APOA-370 (O3)'!A82" display="9.4.1"/>
    <hyperlink ref="G498" location="'APOA-370 (O3)'!A78" display="9.1.2"/>
    <hyperlink ref="B499" location="'APOA-370 (O3)'!A82" display="9.4.1"/>
    <hyperlink ref="G499" location="'APOA-370 (O3)'!A79" display="9.2.1"/>
    <hyperlink ref="B500" location="'APOA-370 (O3)'!A83" display="10.1.1"/>
    <hyperlink ref="G500" location="'APOA-370 (O3)'!A84" display="10.1.2"/>
    <hyperlink ref="B501" location="'APOA-370 (O3)'!A84" display="10.1.2"/>
    <hyperlink ref="G501" location="'APOA-370 (O3)'!A83" display="10.1.1"/>
    <hyperlink ref="B502" location="'APOA-370 (O3)'!A85" display="10.2.1"/>
    <hyperlink ref="G502" location="'APOA-370 (O3)'!A86" display="10.2.2"/>
    <hyperlink ref="B503" location="'APOA-370 (O3)'!A86" display="10.2.2"/>
    <hyperlink ref="G503" location="'APOA-370 (O3)'!A85" display="10.2.1"/>
    <hyperlink ref="B504" location="'APOA-370 (O3)'!A87" display="10.3.1"/>
    <hyperlink ref="G504" location="'APOA-370 (O3)'!A45" display="6.1.2"/>
    <hyperlink ref="B505" location="'APOA-370 (O3)'!A87" display="10.3.1"/>
    <hyperlink ref="G505" location="'APOA-370 (O3)'!A88" display="10.3.2"/>
    <hyperlink ref="B506" location="'APOA-370 (O3)'!A88" display="10.3.2"/>
    <hyperlink ref="G506" location="'APOA-370 (O3)'!A32" display="4.2.1"/>
    <hyperlink ref="B507" location="'APOA-370 (O3)'!A88" display="10.3.2"/>
    <hyperlink ref="G507" location="'APOA-370 (O3)'!A61" display="7.3.1"/>
    <hyperlink ref="B508" location="'APNA-370 (NOx)'!A9" display="1.1.1"/>
    <hyperlink ref="G508" location="'APNA-370 (NOx)'!A12" display="1.2.1"/>
    <hyperlink ref="B509" location="'APNA-370 (NOx)'!A10" display="1.1.2"/>
    <hyperlink ref="G509" location="'APNA-370 (NOx)'!A53" display="6.3.1"/>
    <hyperlink ref="B510" location="'APNA-370 (NOx)'!A10" display="1.1.2"/>
    <hyperlink ref="G510" location="'APNA-370 (NOx)'!A12" display="1.2.1"/>
    <hyperlink ref="B511" location="'APNA-370 (NOx)'!A10" display="1.1.2"/>
    <hyperlink ref="G511" location="'APNA-370 (NOx)'!A42" display="5.2.1"/>
    <hyperlink ref="B512" location="'APNA-370 (NOx)'!A10" display="1.1.2"/>
    <hyperlink ref="G512" location="'APNA-370 (NOx)'!A50" display="5.5.4"/>
    <hyperlink ref="B513" location="'APNA-370 (NOx)'!A11" display="1.1.3"/>
    <hyperlink ref="G513" location="'APNA-370 (NOx)'!A65" display="7.3.1"/>
    <hyperlink ref="B514" location="'APNA-370 (NOx)'!A11" display="1.1.3"/>
    <hyperlink ref="G514" location="'APNA-370 (NOx)'!A66" display="7.3.2"/>
    <hyperlink ref="B515" location="'APNA-370 (NOx)'!A12" display="1.2.1"/>
    <hyperlink ref="G515" location="'APNA-370 (NOx)'!A42" display="5.2.1"/>
    <hyperlink ref="B516" location="'APNA-370 (NOx)'!A12" display="1.2.1"/>
    <hyperlink ref="G516" location="'APNA-370 (NOx)'!A50" display="5.5.4"/>
    <hyperlink ref="B517" location="'APNA-370 (NOx)'!A12" display="1.2.1"/>
    <hyperlink ref="G517" location="'APNA-370 (NOx)'!A25" display="3.3.1"/>
    <hyperlink ref="B518" location="'APNA-370 (NOx)'!A12" display="1.2.1"/>
    <hyperlink ref="G518" location="'APNA-370 (NOx)'!A72" display="9.1.1"/>
    <hyperlink ref="B519" location="'APNA-370 (NOx)'!A13" display="1.3.1"/>
    <hyperlink ref="G519" location="'APNA-370 (NOx)'!A72" display="9.1.1"/>
    <hyperlink ref="B520" location="'APNA-370 (NOx)'!A13" display="1.3.1"/>
    <hyperlink ref="G520" location="'APNA-370 (NOx)'!A52" display="6.2.1"/>
    <hyperlink ref="B521" location="'APNA-370 (NOx)'!A14" display="2.1.1"/>
    <hyperlink ref="G521" location="'APNA-370 (NOx)'!A15" display="2.1.2"/>
    <hyperlink ref="B522" location="'APNA-370 (NOx)'!A15" display="2.1.2"/>
    <hyperlink ref="G522" location="'APNA-370 (NOx)'!A14" display="2.1.1"/>
    <hyperlink ref="B523" location="'APNA-370 (NOx)'!A17" display="2.2.1"/>
    <hyperlink ref="G523" location="'APNA-370 (NOx)'!A60" display="7.1.1"/>
    <hyperlink ref="B524" location="'APNA-370 (NOx)'!A18" display="3.1.1"/>
    <hyperlink ref="G524" location="'APNA-370 (NOx)'!A13" display="1.3.1"/>
    <hyperlink ref="B525" location="'APNA-370 (NOx)'!A18" display="3.1.1"/>
    <hyperlink ref="G525" location="'APNA-370 (NOx)'!A81" display="10.2.1"/>
    <hyperlink ref="B526" location="'APNA-370 (NOx)'!A18" display="3.1.1"/>
    <hyperlink ref="G526" location="'APNA-370 (NOx)'!A35" display="4.1.3"/>
    <hyperlink ref="B527" location="'APNA-370 (NOx)'!A18" display="3.1.1"/>
    <hyperlink ref="G527" location="'APNA-370 (NOx)'!A22" display="3.2.1"/>
    <hyperlink ref="B528" location="'APNA-370 (NOx)'!A19" display="3.1.2"/>
    <hyperlink ref="G528" location="'APNA-370 (NOx)'!A55" display="6.4.1"/>
    <hyperlink ref="B529" location="'APNA-370 (NOx)'!A19" display="3.1.2"/>
    <hyperlink ref="G529" location="'APNA-370 (NOx)'!A51" display="6.1.1"/>
    <hyperlink ref="B530" location="'APNA-370 (NOx)'!A19" display="3.1.2"/>
    <hyperlink ref="G530" location="'APNA-370 (NOx)'!A56" display="6.4.2"/>
    <hyperlink ref="B531" location="'APNA-370 (NOx)'!A20" display="3.1.3"/>
    <hyperlink ref="G531" location="'APNA-370 (NOx)'!A21" display="3.1.4"/>
    <hyperlink ref="B532" location="'APNA-370 (NOx)'!A20" display="3.1.3"/>
    <hyperlink ref="G532" location="'APNA-370 (NOx)'!A10" display="1.1.2"/>
    <hyperlink ref="B533" location="'APNA-370 (NOx)'!A20" display="3.1.3"/>
    <hyperlink ref="G533" location="'APNA-370 (NOx)'!A25" display="3.3.1"/>
    <hyperlink ref="B534" location="'APNA-370 (NOx)'!A20" display="3.1.3"/>
    <hyperlink ref="G534" location="'APNA-370 (NOx)'!A22" display="3.2.1"/>
    <hyperlink ref="B535" location="'APNA-370 (NOx)'!A21" display="3.1.4"/>
    <hyperlink ref="G535" location="'APNA-370 (NOx)'!A20" display="3.1.3"/>
    <hyperlink ref="B536" location="'APNA-370 (NOx)'!A22" display="3.2.1"/>
    <hyperlink ref="G536" location="'APNA-370 (NOx)'!A20" display="3.1.3"/>
    <hyperlink ref="B537" location="'APNA-370 (NOx)'!A22" display="3.2.1"/>
    <hyperlink ref="G537" location="'APNA-370 (NOx)'!A18" display="3.1.1"/>
    <hyperlink ref="B538" location="'APNA-370 (NOx)'!A23" display="3.2.2"/>
    <hyperlink ref="G538" location="'APNA-370 (NOx)'!A42" display="5.2.1"/>
    <hyperlink ref="B539" location="'APNA-370 (NOx)'!A23" display="3.2.2"/>
    <hyperlink ref="G539" location="'APNA-370 (NOx)'!A81" display="10.2.1"/>
    <hyperlink ref="B540" location="'APNA-370 (NOx)'!A24" display="3.2.3"/>
    <hyperlink ref="G540" location="'APNA-370 (NOx)'!A50" display="5.5.4"/>
    <hyperlink ref="B541" location="'APNA-370 (NOx)'!A25" display="3.3.1"/>
    <hyperlink ref="G541" location="'APNA-370 (NOx)'!A52" display="6.2.1"/>
    <hyperlink ref="B542" location="'APNA-370 (NOx)'!A25" display="3.3.1"/>
    <hyperlink ref="G542" location="'APNA-370 (NOx)'!A51" display="6.1.1"/>
    <hyperlink ref="B543" location="'APNA-370 (NOx)'!A25" display="3.3.1"/>
    <hyperlink ref="G543" location="'APNA-370 (NOx)'!A13" display="1.3.1"/>
    <hyperlink ref="B544" location="'APNA-370 (NOx)'!A26" display="3.4.1"/>
    <hyperlink ref="G544" location="'APNA-370 (NOx)'!A81" display="10.2.1"/>
    <hyperlink ref="B545" location="'APNA-370 (NOx)'!A26" display="3.4.1"/>
    <hyperlink ref="G545" location="'APNA-370 (NOx)'!A58" display="6.6.1"/>
    <hyperlink ref="B546" location="'APNA-370 (NOx)'!A26" display="3.4.1"/>
    <hyperlink ref="G546" location="'APNA-370 (NOx)'!A82" display="10.3.1"/>
    <hyperlink ref="B547" location="'APNA-370 (NOx)'!A27" display="3.4.2"/>
    <hyperlink ref="G547" location="'APNA-370 (NOx)'!A58" display="6.6.1"/>
    <hyperlink ref="B548" location="'APNA-370 (NOx)'!A27" display="3.4.2"/>
    <hyperlink ref="G548" location="'APNA-370 (NOx)'!A57" display="6.5.1"/>
    <hyperlink ref="B549" location="'APNA-370 (NOx)'!A28" display="3.4.3"/>
    <hyperlink ref="G549" location="'APNA-370 (NOx)'!A10" display="1.1.2"/>
    <hyperlink ref="B550" location="'APNA-370 (NOx)'!A28" display="3.4.3"/>
    <hyperlink ref="G550" location="'APNA-370 (NOx)'!A56" display="6.4.2"/>
    <hyperlink ref="B551" location="'APNA-370 (NOx)'!A28" display="3.4.3"/>
    <hyperlink ref="G551" location="'APNA-370 (NOx)'!A42" display="5.2.1"/>
    <hyperlink ref="B552" location="'APNA-370 (NOx)'!A29" display="3.4.4"/>
    <hyperlink ref="G552" location="'APNA-370 (NOx)'!A54" display="6.3.2"/>
    <hyperlink ref="B553" location="'APNA-370 (NOx)'!A29" display="3.4.4"/>
    <hyperlink ref="G553" location="'APNA-370 (NOx)'!A25" display="3.3.1"/>
    <hyperlink ref="B554" location="'APNA-370 (NOx)'!A30" display="3.4.5"/>
    <hyperlink ref="G554" location="'APNA-370 (NOx)'!A42" display="5.2.1"/>
    <hyperlink ref="B555" location="'APNA-370 (NOx)'!A30" display="3.4.5"/>
    <hyperlink ref="G555" location="'APNA-370 (NOx)'!A36" display="4.2.1"/>
    <hyperlink ref="B556" location="'APNA-370 (NOx)'!A30" display="3.4.5"/>
    <hyperlink ref="G556" location="'APNA-370 (NOx)'!A81" display="10.2.1"/>
    <hyperlink ref="B557" location="'APNA-370 (NOx)'!A31" display="3.4.6"/>
    <hyperlink ref="G557" location="'APNA-370 (NOx)'!A55" display="6.4.1"/>
    <hyperlink ref="B558" location="'APNA-370 (NOx)'!A31" display="3.4.6"/>
    <hyperlink ref="G558" location="'APNA-370 (NOx)'!A42" display="5.2.1"/>
    <hyperlink ref="B559" location="'APNA-370 (NOx)'!A31" display="3.4.6"/>
    <hyperlink ref="G559" location="'APNA-370 (NOx)'!A10" display="1.1.2"/>
    <hyperlink ref="B560" location="'APNA-370 (NOx)'!A32" display="3.4.7"/>
    <hyperlink ref="G560" location="'APNA-370 (NOx)'!A25" display="3.3.1"/>
    <hyperlink ref="B561" location="'APNA-370 (NOx)'!A32" display="3.4.7"/>
    <hyperlink ref="G561" location="'APNA-370 (NOx)'!A81" display="10.2.1"/>
    <hyperlink ref="B562" location="'APNA-370 (NOx)'!A33" display="4.1.1"/>
    <hyperlink ref="G562" location="'APNA-370 (NOx)'!A42" display="5.2.1"/>
    <hyperlink ref="B563" location="'APNA-370 (NOx)'!A33" display="4.1.1"/>
    <hyperlink ref="G563" location="'APNA-370 (NOx)'!A50" display="5.5.4"/>
    <hyperlink ref="B564" location="'APNA-370 (NOx)'!A34" display="4.1.2"/>
    <hyperlink ref="G564" location="'APNA-370 (NOx)'!A35" display="4.1.3"/>
    <hyperlink ref="B565" location="'APNA-370 (NOx)'!A34" display="4.1.2"/>
    <hyperlink ref="G565" location="'APNA-370 (NOx)'!A18" display="3.1.1"/>
    <hyperlink ref="B566" location="'APNA-370 (NOx)'!A35" display="4.1.3"/>
    <hyperlink ref="G566" location="'APNA-370 (NOx)'!A34" display="4.1.2"/>
    <hyperlink ref="B567" location="'APNA-370 (NOx)'!A35" display="4.1.3"/>
    <hyperlink ref="G567" location="'APNA-370 (NOx)'!A18" display="3.1.1"/>
    <hyperlink ref="B568" location="'APNA-370 (NOx)'!A36" display="4.2.1"/>
    <hyperlink ref="G568" location="'APNA-370 (NOx)'!A42" display="5.2.1"/>
    <hyperlink ref="B569" location="'APNA-370 (NOx)'!A36" display="4.2.1"/>
    <hyperlink ref="G569" location="'APNA-370 (NOx)'!A37" display="4.3.1"/>
    <hyperlink ref="B570" location="'APNA-370 (NOx)'!A37" display="4.3.1"/>
    <hyperlink ref="G570" location="'APNA-370 (NOx)'!A38" display="4.3.2"/>
    <hyperlink ref="B571" location="'APNA-370 (NOx)'!A37" display="4.3.1"/>
    <hyperlink ref="G571" location="'APNA-370 (NOx)'!A82" display="10.3.1"/>
    <hyperlink ref="B572" location="'APNA-370 (NOx)'!A37" display="4.3.1"/>
    <hyperlink ref="G572" location="'APNA-370 (NOx)'!A36" display="4.2.1"/>
    <hyperlink ref="B573" location="'APNA-370 (NOx)'!A38" display="4.3.2"/>
    <hyperlink ref="G573" location="'APNA-370 (NOx)'!A37" display="4.3.1"/>
    <hyperlink ref="B574" location="'APNA-370 (NOx)'!A38" display="4.3.2"/>
    <hyperlink ref="G574" location="'APNA-370 (NOx)'!A42" display="5.2.1"/>
    <hyperlink ref="B575" location="'APNA-370 (NOx)'!A39" display="5.1.1"/>
    <hyperlink ref="G575" location="'APNA-370 (NOx)'!A40" display="5.1.2"/>
    <hyperlink ref="B576" location="'APNA-370 (NOx)'!A39" display="5.1.1"/>
    <hyperlink ref="G576" location="'APNA-370 (NOx)'!A50" display="5.5.4"/>
    <hyperlink ref="B577" location="'APNA-370 (NOx)'!A40" display="5.1.2"/>
    <hyperlink ref="G577" location="'APNA-370 (NOx)'!A41" display="5.1.3"/>
    <hyperlink ref="B578" location="'APNA-370 (NOx)'!A40" display="5.1.2"/>
    <hyperlink ref="G578" location="'APNA-370 (NOx)'!A37" display="4.3.1"/>
    <hyperlink ref="B579" location="'APNA-370 (NOx)'!A41" display="5.1.3"/>
    <hyperlink ref="G579" location="'APNA-370 (NOx)'!A40" display="5.1.2"/>
    <hyperlink ref="B580" location="'APNA-370 (NOx)'!A41" display="5.1.3"/>
    <hyperlink ref="G580" location="'APNA-370 (NOx)'!A42" display="5.2.1"/>
    <hyperlink ref="B581" location="'APNA-370 (NOx)'!A42" display="5.2.1"/>
    <hyperlink ref="G581" location="'APNA-370 (NOx)'!A33" display="4.1.1"/>
    <hyperlink ref="B582" location="'APNA-370 (NOx)'!A42" display="5.2.1"/>
    <hyperlink ref="G582" location="'APNA-370 (NOx)'!A45" display="5.3.1"/>
    <hyperlink ref="B583" location="'APNA-370 (NOx)'!A42" display="5.2.1"/>
    <hyperlink ref="G583" location="'APNA-370 (NOx)'!A40" display="5.1.2"/>
    <hyperlink ref="B584" location="'APNA-370 (NOx)'!A42" display="5.2.1"/>
    <hyperlink ref="G584" location="'APNA-370 (NOx)'!A44" display="5.2.3"/>
    <hyperlink ref="B585" location="'APNA-370 (NOx)'!A43" display="5.2.2"/>
    <hyperlink ref="G585" location="'APNA-370 (NOx)'!A42" display="5.2.1"/>
    <hyperlink ref="B586" location="'APNA-370 (NOx)'!A44" display="5.2.3"/>
    <hyperlink ref="G586" location="'APNA-370 (NOx)'!A48" display="5.5.2"/>
    <hyperlink ref="B587" location="'APNA-370 (NOx)'!A44" display="5.2.3"/>
    <hyperlink ref="G587" location="'APNA-370 (NOx)'!A45" display="5.3.1"/>
    <hyperlink ref="B588" location="'APNA-370 (NOx)'!A45" display="5.3.1"/>
    <hyperlink ref="G588" location="'APNA-370 (NOx)'!A33" display="4.1.1"/>
    <hyperlink ref="B589" location="'APNA-370 (NOx)'!A45" display="5.3.1"/>
    <hyperlink ref="G589" location="'APNA-370 (NOx)'!A42" display="5.2.1"/>
    <hyperlink ref="B590" location="'APNA-370 (NOx)'!A46" display="5.4.1"/>
    <hyperlink ref="G590" location="'APNA-370 (NOx)'!A75" display="9.3.1"/>
    <hyperlink ref="B591" location="'APNA-370 (NOx)'!A46" display="5.4.1"/>
    <hyperlink ref="G591" location="'APNA-370 (NOx)'!A18" display="3.1.1"/>
    <hyperlink ref="B592" location="'APNA-370 (NOx)'!A47" display="5.5.1"/>
    <hyperlink ref="G592" location="'APNA-370 (NOx)'!A48" display="5.5.2"/>
    <hyperlink ref="B593" location="'APNA-370 (NOx)'!A47" display="5.5.1"/>
    <hyperlink ref="G593" location="'APNA-370 (NOx)'!A50" display="5.5.4"/>
    <hyperlink ref="B594" location="'APNA-370 (NOx)'!A48" display="5.5.2"/>
    <hyperlink ref="G594" location="'APNA-370 (NOx)'!A50" display="5.5.4"/>
    <hyperlink ref="B595" location="'APNA-370 (NOx)'!A48" display="5.5.2"/>
    <hyperlink ref="G595" location="'APNA-370 (NOx)'!A44" display="5.2.3"/>
    <hyperlink ref="B596" location="'APNA-370 (NOx)'!A49" display="5.5.3"/>
    <hyperlink ref="G596" location="'APNA-370 (NOx)'!A48" display="5.5.2"/>
    <hyperlink ref="B597" location="'APNA-370 (NOx)'!A49" display="5.5.3"/>
    <hyperlink ref="G597" location="'APNA-370 (NOx)'!A73" display="9.2.1"/>
    <hyperlink ref="B598" location="'APNA-370 (NOx)'!A50" display="5.5.4"/>
    <hyperlink ref="G598" location="'APNA-370 (NOx)'!A48" display="5.5.2"/>
    <hyperlink ref="B599" location="'APNA-370 (NOx)'!A50" display="5.5.4"/>
    <hyperlink ref="G599" location="'APNA-370 (NOx)'!A40" display="5.1.2"/>
    <hyperlink ref="B600" location="'APNA-370 (NOx)'!A50" display="5.5.4"/>
    <hyperlink ref="G600" location="'APNA-370 (NOx)'!A51" display="6.1.1"/>
    <hyperlink ref="B601" location="'APNA-370 (NOx)'!A50" display="5.5.4"/>
    <hyperlink ref="G601" location="'APNA-370 (NOx)'!A81" display="10.2.1"/>
    <hyperlink ref="B602" location="'APNA-370 (NOx)'!A51" display="6.1.1"/>
    <hyperlink ref="G602" location="'APNA-370 (NOx)'!A50" display="5.5.4"/>
    <hyperlink ref="B603" location="'APNA-370 (NOx)'!A51" display="6.1.1"/>
    <hyperlink ref="G603" location="'APNA-370 (NOx)'!A18" display="3.1.1"/>
    <hyperlink ref="B604" location="'APNA-370 (NOx)'!A52" display="6.2.1"/>
    <hyperlink ref="G604" location="'APNA-370 (NOx)'!A25" display="3.3.1"/>
    <hyperlink ref="B605" location="'APNA-370 (NOx)'!A52" display="6.2.1"/>
    <hyperlink ref="G605" location="'APNA-370 (NOx)'!A13" display="1.3.1"/>
    <hyperlink ref="B606" location="'APNA-370 (NOx)'!A53" display="6.3.1"/>
    <hyperlink ref="G606" location="'APNA-370 (NOx)'!A10" display="1.1.2"/>
    <hyperlink ref="B607" location="'APNA-370 (NOx)'!A53" display="6.3.1"/>
    <hyperlink ref="G607" location="'APNA-370 (NOx)'!A54" display="6.3.2"/>
    <hyperlink ref="B608" location="'APNA-370 (NOx)'!A53" display="6.3.1"/>
    <hyperlink ref="G608" location="'APNA-370 (NOx)'!A75" display="9.3.1"/>
    <hyperlink ref="B609" location="'APNA-370 (NOx)'!A54" display="6.3.2"/>
    <hyperlink ref="G609" location="'APNA-370 (NOx)'!A53" display="6.3.1"/>
    <hyperlink ref="B610" location="'APNA-370 (NOx)'!A54" display="6.3.2"/>
    <hyperlink ref="G610" location="'APNA-370 (NOx)'!A10" display="1.1.2"/>
    <hyperlink ref="B611" location="'APNA-370 (NOx)'!A55" display="6.4.1"/>
    <hyperlink ref="G611" location="'APNA-370 (NOx)'!A56" display="6.4.2"/>
    <hyperlink ref="B612" location="'APNA-370 (NOx)'!A55" display="6.4.1"/>
    <hyperlink ref="G612" location="'APNA-370 (NOx)'!A51" display="6.1.1"/>
    <hyperlink ref="B613" location="'APNA-370 (NOx)'!A55" display="6.4.1"/>
    <hyperlink ref="G613" location="'APNA-370 (NOx)'!A72" display="9.1.1"/>
    <hyperlink ref="B614" location="'APNA-370 (NOx)'!A56" display="6.4.2"/>
    <hyperlink ref="G614" location="'APNA-370 (NOx)'!A58" display="6.6.1"/>
    <hyperlink ref="B615" location="'APNA-370 (NOx)'!A56" display="6.4.2"/>
    <hyperlink ref="G615" location="'APNA-370 (NOx)'!A37" display="4.3.1"/>
    <hyperlink ref="B616" location="'APNA-370 (NOx)'!A56" display="6.4.2"/>
    <hyperlink ref="G616" location="'APNA-370 (NOx)'!A55" display="6.4.1"/>
    <hyperlink ref="B617" location="'APNA-370 (NOx)'!A57" display="6.5.1"/>
    <hyperlink ref="G617" location="'APNA-370 (NOx)'!A70" display="8.2.1"/>
    <hyperlink ref="B618" location="'APNA-370 (NOx)'!A57" display="6.5.1"/>
    <hyperlink ref="G618" location="'APNA-370 (NOx)'!A40" display="5.1.2"/>
    <hyperlink ref="B619" location="'APNA-370 (NOx)'!A58" display="6.6.1"/>
    <hyperlink ref="G619" location="'APNA-370 (NOx)'!A59" display="6.6.2"/>
    <hyperlink ref="B620" location="'APNA-370 (NOx)'!A58" display="6.6.1"/>
    <hyperlink ref="G620" location="'APNA-370 (NOx)'!A69" display="8.1.1"/>
    <hyperlink ref="B621" location="'APNA-370 (NOx)'!A59" display="6.6.2"/>
    <hyperlink ref="G621" location="'APNA-370 (NOx)'!A58" display="6.6.1"/>
    <hyperlink ref="B622" location="'APNA-370 (NOx)'!A59" display="6.6.2"/>
    <hyperlink ref="G622" location="'APNA-370 (NOx)'!A62" display="7.1.3"/>
    <hyperlink ref="B623" location="'APNA-370 (NOx)'!A60" display="7.1.1"/>
    <hyperlink ref="G623" location="'APNA-370 (NOx)'!A65" display="7.3.1"/>
    <hyperlink ref="B624" location="'APNA-370 (NOx)'!A60" display="7.1.1"/>
    <hyperlink ref="G624" location="'APNA-370 (NOx)'!A64" display="7.2.1"/>
    <hyperlink ref="B625" location="'APNA-370 (NOx)'!A60" display="7.1.1"/>
    <hyperlink ref="G625" location="'APNA-370 (NOx)'!A76" display="9.3.2"/>
    <hyperlink ref="B626" location="'APNA-370 (NOx)'!A61" display="7.1.2"/>
    <hyperlink ref="G626" location="'APNA-370 (NOx)'!A75" display="9.3.1"/>
    <hyperlink ref="B627" location="'APNA-370 (NOx)'!A61" display="7.1.2"/>
    <hyperlink ref="G627" location="'APNA-370 (NOx)'!A76" display="9.3.2"/>
    <hyperlink ref="B628" location="'APNA-370 (NOx)'!A61" display="7.1.2"/>
    <hyperlink ref="G628" location="'APNA-370 (NOx)'!A60" display="7.1.1"/>
    <hyperlink ref="B629" location="'APNA-370 (NOx)'!A62" display="7.1.3"/>
    <hyperlink ref="G629" location="'APNA-370 (NOx)'!A65" display="7.3.1"/>
    <hyperlink ref="B630" location="'APNA-370 (NOx)'!A62" display="7.1.3"/>
    <hyperlink ref="G630" location="'APNA-370 (NOx)'!A60" display="7.1.1"/>
    <hyperlink ref="B631" location="'APNA-370 (NOx)'!A63" display="7.1.4"/>
    <hyperlink ref="G631" location="'APNA-370 (NOx)'!A67" display="7.4.1"/>
    <hyperlink ref="B632" location="'APNA-370 (NOx)'!A64" display="7.2.1"/>
    <hyperlink ref="G632" location="'APNA-370 (NOx)'!A60" display="7.1.1"/>
    <hyperlink ref="B633" location="'APNA-370 (NOx)'!A65" display="7.3.1"/>
    <hyperlink ref="G633" location="'APNA-370 (NOx)'!A60" display="7.1.1"/>
    <hyperlink ref="B634" location="'APNA-370 (NOx)'!A65" display="7.3.1"/>
    <hyperlink ref="G634" location="'APNA-370 (NOx)'!A62" display="7.1.3"/>
    <hyperlink ref="B635" location="'APNA-370 (NOx)'!A66" display="7.3.2"/>
    <hyperlink ref="G635" location="'APNA-370 (NOx)'!A11" display="1.1.3"/>
    <hyperlink ref="B636" location="'APNA-370 (NOx)'!A66" display="7.3.2"/>
    <hyperlink ref="G636" location="'APNA-370 (NOx)'!A83" display="10.3.2"/>
    <hyperlink ref="B637" location="'APNA-370 (NOx)'!A67" display="7.4.1"/>
    <hyperlink ref="G637" location="'APNA-370 (NOx)'!A63" display="7.1.4"/>
    <hyperlink ref="B638" location="'APNA-370 (NOx)'!A67" display="7.4.1"/>
    <hyperlink ref="G638" location="'APNA-370 (NOx)'!A61" display="7.1.2"/>
    <hyperlink ref="B639" location="'APNA-370 (NOx)'!A68" display="7.5.1"/>
    <hyperlink ref="G639" location="'APNA-370 (NOx)'!A75" display="9.3.1"/>
    <hyperlink ref="B640" location="'APNA-370 (NOx)'!A68" display="7.5.1"/>
    <hyperlink ref="G640" location="'APNA-370 (NOx)'!A76" display="9.3.2"/>
    <hyperlink ref="B641" location="'APNA-370 (NOx)'!A69" display="8.1.1"/>
    <hyperlink ref="G641" location="'APNA-370 (NOx)'!A58" display="6.6.1"/>
    <hyperlink ref="B642" location="'APNA-370 (NOx)'!A69" display="8.1.1"/>
    <hyperlink ref="G642" location="'APNA-370 (NOx)'!A10" display="1.1.2"/>
    <hyperlink ref="B643" location="'APNA-370 (NOx)'!A70" display="8.2.1"/>
    <hyperlink ref="G643" location="'APNA-370 (NOx)'!A57" display="6.5.1"/>
    <hyperlink ref="B644" location="'APNA-370 (NOx)'!A71" display="8.3.1"/>
    <hyperlink ref="G644" location="'APNA-370 (NOx)'!A72" display="9.1.1"/>
    <hyperlink ref="B645" location="'APNA-370 (NOx)'!A71" display="8.3.1"/>
    <hyperlink ref="G645" location="'APNA-370 (NOx)'!A82" display="10.3.1"/>
    <hyperlink ref="B646" location="'APNA-370 (NOx)'!A72" display="9.1.1"/>
    <hyperlink ref="G646" location="'APNA-370 (NOx)'!A82" display="10.3.1"/>
    <hyperlink ref="B647" location="'APNA-370 (NOx)'!A72" display="9.1.1"/>
    <hyperlink ref="G647" location="'APNA-370 (NOx)'!A71" display="8.3.1"/>
    <hyperlink ref="B648" location="'APNA-370 (NOx)'!A72" display="9.1.1"/>
    <hyperlink ref="G648" location="'APNA-370 (NOx)'!A61" display="7.1.2"/>
    <hyperlink ref="B649" location="'APNA-370 (NOx)'!A73" display="9.2.1"/>
    <hyperlink ref="G649" location="'APNA-370 (NOx)'!A50" display="5.5.4"/>
    <hyperlink ref="B650" location="'APNA-370 (NOx)'!A73" display="9.2.1"/>
    <hyperlink ref="G650" location="'APNA-370 (NOx)'!A49" display="5.5.3"/>
    <hyperlink ref="B651" location="'APNA-370 (NOx)'!A74" display="9.2.2"/>
    <hyperlink ref="G651" location="'APNA-370 (NOx)'!A73" display="9.2.1"/>
    <hyperlink ref="B652" location="'APNA-370 (NOx)'!A75" display="9.3.1"/>
    <hyperlink ref="G652" location="'APNA-370 (NOx)'!A68" display="7.5.1"/>
    <hyperlink ref="B653" location="'APNA-370 (NOx)'!A75" display="9.3.1"/>
    <hyperlink ref="G653" location="'APNA-370 (NOx)'!A61" display="7.1.2"/>
    <hyperlink ref="B654" location="'APNA-370 (NOx)'!A76" display="9.3.2"/>
    <hyperlink ref="G654" location="'APNA-370 (NOx)'!A68" display="7.5.1"/>
    <hyperlink ref="B655" location="'APNA-370 (NOx)'!A76" display="9.3.2"/>
    <hyperlink ref="G655" location="'APNA-370 (NOx)'!A60" display="7.1.1"/>
    <hyperlink ref="B656" location="'APNA-370 (NOx)'!A77" display="10.1.1"/>
    <hyperlink ref="G656" location="'APNA-370 (NOx)'!A78" display="10.1.2"/>
    <hyperlink ref="B657" location="'APNA-370 (NOx)'!A78" display="10.1.2"/>
    <hyperlink ref="G657" location="'APNA-370 (NOx)'!A77" display="10.1.1"/>
    <hyperlink ref="B658" location="'APNA-370 (NOx)'!A79" display="10.1.3"/>
    <hyperlink ref="G658" location="'APNA-370 (NOx)'!A71" display="8.3.1"/>
    <hyperlink ref="B659" location="'APNA-370 (NOx)'!A80" display="10.1.4"/>
    <hyperlink ref="G659" location="'APNA-370 (NOx)'!A79" display="10.1.3"/>
    <hyperlink ref="B660" location="'APNA-370 (NOx)'!A81" display="10.2.1"/>
    <hyperlink ref="G660" location="'APNA-370 (NOx)'!A50" display="5.5.4"/>
    <hyperlink ref="B661" location="'APNA-370 (NOx)'!A81" display="10.2.1"/>
    <hyperlink ref="G661" location="'APNA-370 (NOx)'!A18" display="3.1.1"/>
    <hyperlink ref="B662" location="'APNA-370 (NOx)'!A81" display="10.2.1"/>
    <hyperlink ref="G662" location="'APNA-370 (NOx)'!A42" display="5.2.1"/>
    <hyperlink ref="B663" location="'APNA-370 (NOx)'!A82" display="10.3.1"/>
    <hyperlink ref="G663" location="'APNA-370 (NOx)'!A72" display="9.1.1"/>
    <hyperlink ref="B664" location="'APNA-370 (NOx)'!A82" display="10.3.1"/>
    <hyperlink ref="G664" location="'APNA-370 (NOx)'!A83" display="10.3.2"/>
    <hyperlink ref="B665" location="'APNA-370 (NOx)'!A83" display="10.3.2"/>
    <hyperlink ref="G665" location="'APNA-370 (NOx)'!A37" display="4.3.1"/>
    <hyperlink ref="B666" location="'APNA-370 (NOx)'!A83" display="10.3.2"/>
    <hyperlink ref="G666" location="'APNA-370 (NOx)'!A66" display="7.3.2"/>
    <hyperlink ref="B667" location="'APNA-370 (NOx)'!A84" display="10.3.3"/>
    <hyperlink ref="G667" location="'APNA-370 (NOx)'!A74" display="9.2.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22" customWidth="1" min="4" max="4"/>
    <col width="60" customWidth="1" min="5" max="5"/>
    <col width="12" customWidth="1" min="6" max="6"/>
  </cols>
  <sheetData>
    <row r="1">
      <c r="A1" s="19" t="inlineStr">
        <is>
          <t>ARTÍCULOS DEL CATÁLOGO ZOHO BOOKS Y SU ASOCIACIÓN A LA INSPECCIÓN</t>
        </is>
      </c>
    </row>
    <row r="2">
      <c r="A2" s="2" t="inlineStr">
        <is>
          <t>Categorías consultadas: C&amp;R AP Series, C&amp;R APMA-370, C&amp;R APSA-370, C&amp;R APOA-370 y C&amp;R APNA-370.</t>
        </is>
      </c>
    </row>
    <row r="4" ht="30" customHeight="1">
      <c r="A4" s="9" t="inlineStr">
        <is>
          <t>Categoría Zoho</t>
        </is>
      </c>
      <c r="B4" s="9" t="inlineStr">
        <is>
          <t>Nombre del artículo</t>
        </is>
      </c>
      <c r="C4" s="9" t="inlineStr">
        <is>
          <t>SKU</t>
        </is>
      </c>
      <c r="D4" s="9" t="inlineStr">
        <is>
          <t>Variantes</t>
        </is>
      </c>
      <c r="E4" s="9" t="inlineStr">
        <is>
          <t>Ítems de inspección asociados</t>
        </is>
      </c>
      <c r="F4" s="9" t="inlineStr">
        <is>
          <t>N.º de ítems</t>
        </is>
      </c>
    </row>
    <row r="5" ht="24" customHeight="1">
      <c r="A5" s="20" t="inlineStr">
        <is>
          <t>C&amp;R AP Series</t>
        </is>
      </c>
      <c r="B5" s="22" t="inlineStr">
        <is>
          <t>Air Filter 0.3 micron APNA / APSA</t>
        </is>
      </c>
      <c r="C5" s="20" t="inlineStr">
        <is>
          <t>3200082322</t>
        </is>
      </c>
      <c r="D5" s="20" t="inlineStr"/>
      <c r="E5" s="22" t="inlineStr">
        <is>
          <t>APSA-370 (SO2) 8.1.1; APNA-370 (NOx) 8.1.1</t>
        </is>
      </c>
      <c r="F5" s="20" t="n">
        <v>2</v>
      </c>
    </row>
    <row r="6" ht="36" customHeight="1">
      <c r="A6" s="20" t="inlineStr">
        <is>
          <t>C&amp;R AP Series</t>
        </is>
      </c>
      <c r="B6" s="22" t="inlineStr">
        <is>
          <t>Batería CR2032 para Horiba AP Series</t>
        </is>
      </c>
      <c r="C6" s="20" t="inlineStr">
        <is>
          <t>3200043671</t>
        </is>
      </c>
      <c r="D6" s="20" t="inlineStr"/>
      <c r="E6" s="22" t="inlineStr">
        <is>
          <t>APMA-370 (CO) 7.2.1; APSA-370 (SO2) 7.2.1; APOA-370 (O3) 7.4.1; APOA-370 (O3) 8.1.3; APNA-370 (NOx) 7.2.1</t>
        </is>
      </c>
      <c r="F6" s="20" t="n">
        <v>5</v>
      </c>
    </row>
    <row r="7" ht="36" customHeight="1">
      <c r="A7" s="17" t="inlineStr">
        <is>
          <t>C&amp;R AP Series</t>
        </is>
      </c>
      <c r="B7" s="18" t="inlineStr">
        <is>
          <t>Cable Assembly</t>
        </is>
      </c>
      <c r="C7" s="17" t="inlineStr">
        <is>
          <t>3200629117</t>
        </is>
      </c>
      <c r="D7" s="17" t="inlineStr"/>
      <c r="E7" s="18" t="inlineStr">
        <is>
          <t>Cable Assembly — descripción genérica, no se pudo ubicar el conjunto exacto</t>
        </is>
      </c>
      <c r="F7" s="17" t="n">
        <v>0</v>
      </c>
    </row>
    <row r="8" ht="36" customHeight="1">
      <c r="A8" s="20" t="inlineStr">
        <is>
          <t>C&amp;R AP Series</t>
        </is>
      </c>
      <c r="B8" s="22" t="inlineStr">
        <is>
          <t>Cable assembly RS-232C</t>
        </is>
      </c>
      <c r="C8" s="20" t="inlineStr">
        <is>
          <t>3200216747</t>
        </is>
      </c>
      <c r="D8" s="20" t="inlineStr"/>
      <c r="E8" s="22" t="inlineStr">
        <is>
          <t>APMA-370 (CO) 7.5.1; APSA-370 (SO2) 7.6.1; APOA-370 (O3) 7.5.2; APNA-370 (NOx) 7.1.4</t>
        </is>
      </c>
      <c r="F8" s="20" t="n">
        <v>4</v>
      </c>
    </row>
    <row r="9" ht="36" customHeight="1">
      <c r="A9" s="20" t="inlineStr">
        <is>
          <t>C&amp;R AP Series</t>
        </is>
      </c>
      <c r="B9" s="22" t="inlineStr">
        <is>
          <t>Cap Nut / S020020-6PVDF</t>
        </is>
      </c>
      <c r="C9" s="20" t="inlineStr">
        <is>
          <t>3030021779</t>
        </is>
      </c>
      <c r="D9" s="20" t="inlineStr"/>
      <c r="E9" s="22" t="inlineStr">
        <is>
          <t>APMA-370 (CO) 4.1.2; APMA-370 (CO) 4.1.4; APSA-370 (SO2) 4.3.2; APOA-370 (O3) 4.3.2; APNA-370 (NOx) 10.2.1</t>
        </is>
      </c>
      <c r="F9" s="20" t="n">
        <v>5</v>
      </c>
    </row>
    <row r="10" ht="24" customHeight="1">
      <c r="A10" s="20" t="inlineStr">
        <is>
          <t>C&amp;R AP Series</t>
        </is>
      </c>
      <c r="B10" s="22" t="inlineStr">
        <is>
          <t>Catalyzer Tube HP-10D2 APMA / APSA</t>
        </is>
      </c>
      <c r="C10" s="20" t="inlineStr">
        <is>
          <t>3014059457</t>
        </is>
      </c>
      <c r="D10" s="20" t="inlineStr"/>
      <c r="E10" s="22" t="inlineStr">
        <is>
          <t>APMA-370 (CO) 6.4.1; APMA-370 (CO) 8.1.3</t>
        </is>
      </c>
      <c r="F10" s="20" t="n">
        <v>2</v>
      </c>
    </row>
    <row r="11" ht="36" customHeight="1">
      <c r="A11" s="20" t="inlineStr">
        <is>
          <t>C&amp;R AP Series</t>
        </is>
      </c>
      <c r="B11" s="22" t="inlineStr">
        <is>
          <t>Diaphragm Assy GS, GD series EPDM - APMA / APOA / APHA</t>
        </is>
      </c>
      <c r="C11" s="20" t="inlineStr">
        <is>
          <t>3200044033</t>
        </is>
      </c>
      <c r="D11" s="20" t="inlineStr"/>
      <c r="E11" s="22" t="inlineStr">
        <is>
          <t>APMA-370 (CO) 5.2.2; APMA-370 (CO) 8.1.2; APOA-370 (O3) 5.1.1; APOA-370 (O3) 5.1.2; APOA-370 (O3) 8.2.1; APNA-370 (NOx) 5.1.2</t>
        </is>
      </c>
      <c r="F11" s="20" t="n">
        <v>6</v>
      </c>
    </row>
    <row r="12" ht="24" customHeight="1">
      <c r="A12" s="20" t="inlineStr">
        <is>
          <t>C&amp;R AP Series</t>
        </is>
      </c>
      <c r="B12" s="22" t="inlineStr">
        <is>
          <t>Door</t>
        </is>
      </c>
      <c r="C12" s="20" t="inlineStr">
        <is>
          <t>3012298155</t>
        </is>
      </c>
      <c r="D12" s="20" t="inlineStr"/>
      <c r="E12" s="22" t="inlineStr">
        <is>
          <t>APMA-370 (CO) 10.1.1; APOA-370 (O3) 10.1.1</t>
        </is>
      </c>
      <c r="F12" s="20" t="n">
        <v>2</v>
      </c>
    </row>
    <row r="13" ht="36" customHeight="1">
      <c r="A13" s="20" t="inlineStr">
        <is>
          <t>C&amp;R AP Series</t>
        </is>
      </c>
      <c r="B13" s="22" t="inlineStr">
        <is>
          <t>Door Hinge</t>
        </is>
      </c>
      <c r="C13" s="20" t="inlineStr">
        <is>
          <t>3012304034</t>
        </is>
      </c>
      <c r="D13" s="20" t="inlineStr"/>
      <c r="E13" s="22" t="inlineStr">
        <is>
          <t>APMA-370 (CO) 10.1.2; APMA-370 (CO) 10.1.3; APSA-370 (SO2) 10.3.1; APNA-370 (NOx) 10.1.4</t>
        </is>
      </c>
      <c r="F13" s="20" t="n">
        <v>4</v>
      </c>
    </row>
    <row r="14" ht="24" customHeight="1">
      <c r="A14" s="20" t="inlineStr">
        <is>
          <t>C&amp;R AP Series</t>
        </is>
      </c>
      <c r="B14" s="22" t="inlineStr">
        <is>
          <t>Filter Element DFU9900-05-BK APMA / APHA</t>
        </is>
      </c>
      <c r="C14" s="20" t="inlineStr">
        <is>
          <t>3200043957</t>
        </is>
      </c>
      <c r="D14" s="20" t="inlineStr"/>
      <c r="E14" s="22" t="inlineStr">
        <is>
          <t>APMA-370 (CO) 6.4.2</t>
        </is>
      </c>
      <c r="F14" s="20" t="n">
        <v>1</v>
      </c>
    </row>
    <row r="15" ht="36" customHeight="1">
      <c r="A15" s="20" t="inlineStr">
        <is>
          <t>C&amp;R AP Series</t>
        </is>
      </c>
      <c r="B15" s="22" t="inlineStr">
        <is>
          <t>Filter Element PA-10L diámetro 54*0.5t (24pc/set)</t>
        </is>
      </c>
      <c r="C15" s="20" t="inlineStr">
        <is>
          <t>3200043947</t>
        </is>
      </c>
      <c r="D15" s="20" t="inlineStr">
        <is>
          <t>3200043947-1PC</t>
        </is>
      </c>
      <c r="E15" s="22" t="inlineStr">
        <is>
          <t>APMA-370 (CO) 4.2.1; APMA-370 (CO) 8.1.1; APSA-370 (SO2) 4.1.1; APOA-370 (O3) 4.1.1; APOA-370 (O3) 8.1.1; APNA-370 (NOx) 4.1.1</t>
        </is>
      </c>
      <c r="F15" s="20" t="n">
        <v>6</v>
      </c>
    </row>
    <row r="16" ht="24" customHeight="1">
      <c r="A16" s="20" t="inlineStr">
        <is>
          <t>C&amp;R AP Series</t>
        </is>
      </c>
      <c r="B16" s="22" t="inlineStr">
        <is>
          <t>Filter Sponge</t>
        </is>
      </c>
      <c r="C16" s="20" t="inlineStr">
        <is>
          <t>3012299939</t>
        </is>
      </c>
      <c r="D16" s="20" t="inlineStr"/>
      <c r="E16" s="22" t="inlineStr">
        <is>
          <t>APMA-370 (CO) 8.2.1; APNA-370 (NOx) 8.3.1</t>
        </is>
      </c>
      <c r="F16" s="20" t="n">
        <v>2</v>
      </c>
    </row>
    <row r="17" ht="24" customHeight="1">
      <c r="A17" s="20" t="inlineStr">
        <is>
          <t>C&amp;R AP Series</t>
        </is>
      </c>
      <c r="B17" s="22" t="inlineStr">
        <is>
          <t>Heat Insulator</t>
        </is>
      </c>
      <c r="C17" s="20" t="inlineStr">
        <is>
          <t>3012168489</t>
        </is>
      </c>
      <c r="D17" s="20" t="inlineStr"/>
      <c r="E17" s="22" t="inlineStr">
        <is>
          <t>APMA-370 (CO) 9.1.2; APSA-370 (SO2) 10.4.2</t>
        </is>
      </c>
      <c r="F17" s="20" t="n">
        <v>2</v>
      </c>
    </row>
    <row r="18" ht="24" customHeight="1">
      <c r="A18" s="20" t="inlineStr">
        <is>
          <t>C&amp;R AP Series</t>
        </is>
      </c>
      <c r="B18" s="22" t="inlineStr">
        <is>
          <t>Hinge-Shaft</t>
        </is>
      </c>
      <c r="C18" s="20" t="inlineStr">
        <is>
          <t>3012297312</t>
        </is>
      </c>
      <c r="D18" s="20" t="inlineStr"/>
      <c r="E18" s="22" t="inlineStr">
        <is>
          <t>APMA-370 (CO) 10.1.3</t>
        </is>
      </c>
      <c r="F18" s="20" t="n">
        <v>1</v>
      </c>
    </row>
    <row r="19" ht="24" customHeight="1">
      <c r="A19" s="20" t="inlineStr">
        <is>
          <t>C&amp;R AP Series</t>
        </is>
      </c>
      <c r="B19" s="22" t="inlineStr">
        <is>
          <t>Hinji Bush</t>
        </is>
      </c>
      <c r="C19" s="20" t="inlineStr">
        <is>
          <t>3012304035</t>
        </is>
      </c>
      <c r="D19" s="20" t="inlineStr"/>
      <c r="E19" s="22" t="inlineStr">
        <is>
          <t>APMA-370 (CO) 10.1.2; APSA-370 (SO2) 10.3.1; APNA-370 (NOx) 10.1.4</t>
        </is>
      </c>
      <c r="F19" s="20" t="n">
        <v>3</v>
      </c>
    </row>
    <row r="20" ht="24" customHeight="1">
      <c r="A20" s="20" t="inlineStr">
        <is>
          <t>C&amp;R AP Series</t>
        </is>
      </c>
      <c r="B20" s="22" t="inlineStr">
        <is>
          <t>LCD Plate</t>
        </is>
      </c>
      <c r="C20" s="20" t="inlineStr">
        <is>
          <t>3200595501</t>
        </is>
      </c>
      <c r="D20" s="20" t="inlineStr"/>
      <c r="E20" s="22" t="inlineStr">
        <is>
          <t>APMA-370 (CO) 1.1.3; APNA-370 (NOx) 1.1.3</t>
        </is>
      </c>
      <c r="F20" s="20" t="n">
        <v>2</v>
      </c>
    </row>
    <row r="21" ht="36" customHeight="1">
      <c r="A21" s="20" t="inlineStr">
        <is>
          <t>C&amp;R AP Series</t>
        </is>
      </c>
      <c r="B21" s="22" t="inlineStr">
        <is>
          <t>LCD Unit (Apen LCD + Touch Panel)</t>
        </is>
      </c>
      <c r="C21" s="20" t="inlineStr">
        <is>
          <t>3014035613</t>
        </is>
      </c>
      <c r="D21" s="20" t="inlineStr"/>
      <c r="E21" s="22" t="inlineStr">
        <is>
          <t>APMA-370 (CO) 1.1.3; APSA-370 (SO2) 7.4.1; APOA-370 (O3) 7.3.1; APNA-370 (NOx) 1.1.3</t>
        </is>
      </c>
      <c r="F21" s="20" t="n">
        <v>4</v>
      </c>
    </row>
    <row r="22" ht="24" customHeight="1">
      <c r="A22" s="20" t="inlineStr">
        <is>
          <t>C&amp;R AP Series</t>
        </is>
      </c>
      <c r="B22" s="22" t="inlineStr">
        <is>
          <t>LCD Unit / AP-370 is composed of CPU-02 (printed circuit board), chassis, and LCD.</t>
        </is>
      </c>
      <c r="C22" s="20" t="inlineStr">
        <is>
          <t>3200627065</t>
        </is>
      </c>
      <c r="D22" s="20" t="inlineStr"/>
      <c r="E22" s="22" t="inlineStr">
        <is>
          <t>APMA-370 (CO) 1.1.3; APNA-370 (NOx) 1.1.3</t>
        </is>
      </c>
      <c r="F22" s="20" t="n">
        <v>2</v>
      </c>
    </row>
    <row r="23" ht="24" customHeight="1">
      <c r="A23" s="20" t="inlineStr">
        <is>
          <t>C&amp;R AP Series</t>
        </is>
      </c>
      <c r="B23" s="22" t="inlineStr">
        <is>
          <t>LCD Unit chassis, and LCD.</t>
        </is>
      </c>
      <c r="C23" s="20" t="inlineStr">
        <is>
          <t>3200618696</t>
        </is>
      </c>
      <c r="D23" s="20" t="inlineStr"/>
      <c r="E23" s="22" t="inlineStr">
        <is>
          <t>APMA-370 (CO) 1.1.3</t>
        </is>
      </c>
      <c r="F23" s="20" t="n">
        <v>1</v>
      </c>
    </row>
    <row r="24" ht="24" customHeight="1">
      <c r="A24" s="20" t="inlineStr">
        <is>
          <t>C&amp;R AP Series</t>
        </is>
      </c>
      <c r="B24" s="22" t="inlineStr">
        <is>
          <t>Latch, Mini, Screw Type, TL-297-7, NO.1</t>
        </is>
      </c>
      <c r="C24" s="20" t="inlineStr">
        <is>
          <t>3011017097</t>
        </is>
      </c>
      <c r="D24" s="20" t="inlineStr"/>
      <c r="E24" s="22" t="inlineStr">
        <is>
          <t>APMA-370 (CO) 10.1.1; APOA-370 (O3) 10.1.1</t>
        </is>
      </c>
      <c r="F24" s="20" t="n">
        <v>2</v>
      </c>
    </row>
    <row r="25" ht="24" customHeight="1">
      <c r="A25" s="20" t="inlineStr">
        <is>
          <t>C&amp;R AP Series</t>
        </is>
      </c>
      <c r="B25" s="22" t="inlineStr">
        <is>
          <t>O-Ring 160ﾟC12H drawing vacuum APSA / APOA</t>
        </is>
      </c>
      <c r="C25" s="20" t="inlineStr">
        <is>
          <t>3014059499</t>
        </is>
      </c>
      <c r="D25" s="20" t="inlineStr"/>
      <c r="E25" s="22" t="inlineStr">
        <is>
          <t>APSA-370 (SO2) 4.1.2; APOA-370 (O3) 4.1.2; APOA-370 (O3) 8.1.2</t>
        </is>
      </c>
      <c r="F25" s="20" t="n">
        <v>3</v>
      </c>
    </row>
    <row r="26" ht="24" customHeight="1">
      <c r="A26" s="20" t="inlineStr">
        <is>
          <t>C&amp;R AP Series</t>
        </is>
      </c>
      <c r="B26" s="22" t="inlineStr">
        <is>
          <t>Open Label</t>
        </is>
      </c>
      <c r="C26" s="20" t="inlineStr">
        <is>
          <t>3012296756</t>
        </is>
      </c>
      <c r="D26" s="20" t="inlineStr"/>
      <c r="E26" s="22" t="inlineStr">
        <is>
          <t>APNA-370 (NOx) 2.1.3</t>
        </is>
      </c>
      <c r="F26" s="20" t="n">
        <v>1</v>
      </c>
    </row>
    <row r="27" ht="24" customHeight="1">
      <c r="A27" s="20" t="inlineStr">
        <is>
          <t>C&amp;R AP Series</t>
        </is>
      </c>
      <c r="B27" s="22" t="inlineStr">
        <is>
          <t>Panel mount union SO21521- 6(PVDF)SP SW1=14</t>
        </is>
      </c>
      <c r="C27" s="20" t="inlineStr">
        <is>
          <t>3030021548</t>
        </is>
      </c>
      <c r="D27" s="20" t="inlineStr"/>
      <c r="E27" s="22" t="inlineStr">
        <is>
          <t>APMA-370 (CO) 4.1.5; APOA-370 (O3) 4.3.2; APOA-370 (O3) 4.3.3</t>
        </is>
      </c>
      <c r="F27" s="20" t="n">
        <v>3</v>
      </c>
    </row>
    <row r="28" ht="24" customHeight="1">
      <c r="A28" s="20" t="inlineStr">
        <is>
          <t>C&amp;R AP Series</t>
        </is>
      </c>
      <c r="B28" s="22" t="inlineStr">
        <is>
          <t>Panel, Lock 60 °C 12H F022711600</t>
        </is>
      </c>
      <c r="C28" s="20" t="inlineStr">
        <is>
          <t>3014059988</t>
        </is>
      </c>
      <c r="D28" s="20" t="inlineStr"/>
      <c r="E28" s="22" t="inlineStr">
        <is>
          <t>APMA-370 (CO) 10.1.1; APOA-370 (O3) 10.1.1</t>
        </is>
      </c>
      <c r="F28" s="20" t="n">
        <v>2</v>
      </c>
    </row>
    <row r="29" ht="24" customHeight="1">
      <c r="A29" s="20" t="inlineStr">
        <is>
          <t>C&amp;R AP Series</t>
        </is>
      </c>
      <c r="B29" s="22" t="inlineStr">
        <is>
          <t>Power Supply Assy</t>
        </is>
      </c>
      <c r="C29" s="20" t="inlineStr">
        <is>
          <t>3200637752</t>
        </is>
      </c>
      <c r="D29" s="20" t="inlineStr"/>
      <c r="E29" s="22" t="inlineStr">
        <is>
          <t>APMA-370 (CO) 7.4.1</t>
        </is>
      </c>
      <c r="F29" s="20" t="n">
        <v>1</v>
      </c>
    </row>
    <row r="30" ht="24" customHeight="1">
      <c r="A30" s="20" t="inlineStr">
        <is>
          <t>C&amp;R AP Series</t>
        </is>
      </c>
      <c r="B30" s="22" t="inlineStr">
        <is>
          <t>Power Supply Assy</t>
        </is>
      </c>
      <c r="C30" s="20" t="inlineStr">
        <is>
          <t>3200637753</t>
        </is>
      </c>
      <c r="D30" s="20" t="inlineStr"/>
      <c r="E30" s="22" t="inlineStr">
        <is>
          <t>APMA-370 (CO) 7.4.1</t>
        </is>
      </c>
      <c r="F30" s="20" t="n">
        <v>1</v>
      </c>
    </row>
    <row r="31" ht="24" customHeight="1">
      <c r="A31" s="20" t="inlineStr">
        <is>
          <t>C&amp;R AP Series</t>
        </is>
      </c>
      <c r="B31" s="22" t="inlineStr">
        <is>
          <t>Power Transformer APXX-360/370 PUMP:42VA</t>
        </is>
      </c>
      <c r="C31" s="20" t="inlineStr">
        <is>
          <t>3200488656</t>
        </is>
      </c>
      <c r="D31" s="20" t="inlineStr"/>
      <c r="E31" s="22" t="inlineStr">
        <is>
          <t>APMA-370 (CO) 7.4.2</t>
        </is>
      </c>
      <c r="F31" s="20" t="n">
        <v>1</v>
      </c>
    </row>
    <row r="32" ht="24" customHeight="1">
      <c r="A32" s="20" t="inlineStr">
        <is>
          <t>C&amp;R AP Series</t>
        </is>
      </c>
      <c r="B32" s="22" t="inlineStr">
        <is>
          <t>Printed Board Inst. AP-CPU-02 (AP-370)</t>
        </is>
      </c>
      <c r="C32" s="20" t="inlineStr">
        <is>
          <t>3200629662</t>
        </is>
      </c>
      <c r="D32" s="20" t="inlineStr"/>
      <c r="E32" s="22" t="inlineStr">
        <is>
          <t>APMA-370 (CO) 7.1.1; APOA-370 (O3) 7.2.2; APNA-370 (NOx) 7.1.1</t>
        </is>
      </c>
      <c r="F32" s="20" t="n">
        <v>3</v>
      </c>
    </row>
    <row r="33" ht="24" customHeight="1">
      <c r="A33" s="17" t="inlineStr">
        <is>
          <t>C&amp;R AP Series</t>
        </is>
      </c>
      <c r="B33" s="18" t="inlineStr">
        <is>
          <t>Printed Board Unit</t>
        </is>
      </c>
      <c r="C33" s="17" t="inlineStr">
        <is>
          <t>3200778525</t>
        </is>
      </c>
      <c r="D33" s="17" t="inlineStr"/>
      <c r="E33" s="18" t="inlineStr">
        <is>
          <t>Printed Board Unit — descripción genérica, sin identificar la tarjeta</t>
        </is>
      </c>
      <c r="F33" s="17" t="n">
        <v>0</v>
      </c>
    </row>
    <row r="34" ht="36" customHeight="1">
      <c r="A34" s="20" t="inlineStr">
        <is>
          <t>C&amp;R AP Series</t>
        </is>
      </c>
      <c r="B34" s="22" t="inlineStr">
        <is>
          <t>Pump GD-6EH-100 (100～120V) APMA / APNA / APSA / APHA</t>
        </is>
      </c>
      <c r="C34" s="20" t="inlineStr">
        <is>
          <t>3014059459</t>
        </is>
      </c>
      <c r="D34" s="20" t="inlineStr"/>
      <c r="E34" s="22" t="inlineStr">
        <is>
          <t>APMA-370 (CO) 5.2.1; APMA-370 (CO) 8.1.5; APSA-370 (SO2) 5.1.1; APNA-370 (NOx) 5.1.1</t>
        </is>
      </c>
      <c r="F34" s="20" t="n">
        <v>4</v>
      </c>
    </row>
    <row r="35" ht="24" customHeight="1">
      <c r="A35" s="20" t="inlineStr">
        <is>
          <t>C&amp;R AP Series</t>
        </is>
      </c>
      <c r="B35" s="22" t="inlineStr">
        <is>
          <t>Pump Unit (GD-6EH-220/230)</t>
        </is>
      </c>
      <c r="C35" s="20" t="inlineStr">
        <is>
          <t>3014059491</t>
        </is>
      </c>
      <c r="D35" s="20" t="inlineStr"/>
      <c r="E35" s="22" t="inlineStr">
        <is>
          <t>APSA-370 (SO2) 5.1.1; APNA-370 (NOx) 5.1.1</t>
        </is>
      </c>
      <c r="F35" s="20" t="n">
        <v>2</v>
      </c>
    </row>
    <row r="36" ht="24" customHeight="1">
      <c r="A36" s="20" t="inlineStr">
        <is>
          <t>C&amp;R AP Series</t>
        </is>
      </c>
      <c r="B36" s="22" t="inlineStr">
        <is>
          <t>Pump Unit - GS-6EH-220,220V,APMA/APSA/APOA-360</t>
        </is>
      </c>
      <c r="C36" s="20" t="inlineStr">
        <is>
          <t>3014059160</t>
        </is>
      </c>
      <c r="D36" s="20" t="inlineStr"/>
      <c r="E36" s="22" t="inlineStr">
        <is>
          <t>APOA-370 (O3) 8.2.4</t>
        </is>
      </c>
      <c r="F36" s="20" t="n">
        <v>1</v>
      </c>
    </row>
    <row r="37" ht="36" customHeight="1">
      <c r="A37" s="20" t="inlineStr">
        <is>
          <t>C&amp;R AP Series</t>
        </is>
      </c>
      <c r="B37" s="22" t="inlineStr">
        <is>
          <t>RS-232C (For Horiba AP Series)</t>
        </is>
      </c>
      <c r="C37" s="20" t="inlineStr">
        <is>
          <t>3014036951</t>
        </is>
      </c>
      <c r="D37" s="20" t="inlineStr"/>
      <c r="E37" s="22" t="inlineStr">
        <is>
          <t>APMA-370 (CO) 7.5.2; APSA-370 (SO2) 7.6.1; APOA-370 (O3) 7.5.2; APNA-370 (NOx) 7.1.4</t>
        </is>
      </c>
      <c r="F37" s="20" t="n">
        <v>4</v>
      </c>
    </row>
    <row r="38" ht="36" customHeight="1">
      <c r="A38" s="20" t="inlineStr">
        <is>
          <t>C&amp;R AP Series</t>
        </is>
      </c>
      <c r="B38" s="22" t="inlineStr">
        <is>
          <t>SV Unit WTA-2K-MFF-1 APSA / APNA / APHA</t>
        </is>
      </c>
      <c r="C38" s="20" t="inlineStr">
        <is>
          <t>3014035610</t>
        </is>
      </c>
      <c r="D38" s="20" t="inlineStr"/>
      <c r="E38" s="22" t="inlineStr">
        <is>
          <t>APSA-370 (SO2) 5.3.1; APSA-370 (SO2) 5.3.2; APSA-370 (SO2) 5.3.3; APNA-370 (NOx) 5.4.1</t>
        </is>
      </c>
      <c r="F38" s="20" t="n">
        <v>4</v>
      </c>
    </row>
    <row r="39" ht="36" customHeight="1">
      <c r="A39" s="20" t="inlineStr">
        <is>
          <t>C&amp;R AP Series</t>
        </is>
      </c>
      <c r="B39" s="22" t="inlineStr">
        <is>
          <t>SV Unit WTB-3K-N1F-3 APMA / APOA</t>
        </is>
      </c>
      <c r="C39" s="20" t="inlineStr">
        <is>
          <t>3014034340</t>
        </is>
      </c>
      <c r="D39" s="20" t="inlineStr"/>
      <c r="E39" s="22" t="inlineStr">
        <is>
          <t>APMA-370 (CO) 5.3.1; APOA-370 (O3) 1.2.3; APOA-370 (O3) 6.5.1; APOA-370 (O3) 8.2.5</t>
        </is>
      </c>
      <c r="F39" s="20" t="n">
        <v>4</v>
      </c>
    </row>
    <row r="40" ht="24" customHeight="1">
      <c r="A40" s="20" t="inlineStr">
        <is>
          <t>C&amp;R AP Series</t>
        </is>
      </c>
      <c r="B40" s="22" t="inlineStr">
        <is>
          <t>Screw</t>
        </is>
      </c>
      <c r="C40" s="20" t="inlineStr">
        <is>
          <t>3030049516</t>
        </is>
      </c>
      <c r="D40" s="20" t="inlineStr"/>
      <c r="E40" s="22" t="inlineStr">
        <is>
          <t>APNA-370 (NOx) 10.1.3</t>
        </is>
      </c>
      <c r="F40" s="20" t="n">
        <v>1</v>
      </c>
    </row>
    <row r="41" ht="24" customHeight="1">
      <c r="A41" s="20" t="inlineStr">
        <is>
          <t>C&amp;R AP Series</t>
        </is>
      </c>
      <c r="B41" s="22" t="inlineStr">
        <is>
          <t>Scrubber BAA-050 APNA / APMA</t>
        </is>
      </c>
      <c r="C41" s="20" t="inlineStr">
        <is>
          <t>3014061530</t>
        </is>
      </c>
      <c r="D41" s="20" t="inlineStr"/>
      <c r="E41" s="22" t="inlineStr">
        <is>
          <t>APNA-370 (NOx) 8.2.1</t>
        </is>
      </c>
      <c r="F41" s="20" t="n">
        <v>1</v>
      </c>
    </row>
    <row r="42" ht="24" customHeight="1">
      <c r="A42" s="20" t="inlineStr">
        <is>
          <t>C&amp;R AP Series</t>
        </is>
      </c>
      <c r="B42" s="22" t="inlineStr">
        <is>
          <t>Silikagel 500g, Dryer APNA / APHA</t>
        </is>
      </c>
      <c r="C42" s="20" t="inlineStr">
        <is>
          <t>3200044017</t>
        </is>
      </c>
      <c r="D42" s="20" t="inlineStr"/>
      <c r="E42" s="22" t="inlineStr">
        <is>
          <t>APNA-370 (NOx) 6.6.1</t>
        </is>
      </c>
      <c r="F42" s="20" t="n">
        <v>1</v>
      </c>
    </row>
    <row r="43" ht="36" customHeight="1">
      <c r="A43" s="20" t="inlineStr">
        <is>
          <t>C&amp;R AP Series</t>
        </is>
      </c>
      <c r="B43" s="22" t="inlineStr">
        <is>
          <t>Sleeve / SO2001-6</t>
        </is>
      </c>
      <c r="C43" s="20" t="inlineStr">
        <is>
          <t>3030021777</t>
        </is>
      </c>
      <c r="D43" s="20" t="inlineStr"/>
      <c r="E43" s="22" t="inlineStr">
        <is>
          <t>APMA-370 (CO) 4.1.1; APMA-370 (CO) 4.1.3; APSA-370 (SO2) 4.3.1; APOA-370 (O3) 4.3.1; APNA-370 (NOx) 10.2.1</t>
        </is>
      </c>
      <c r="F43" s="20" t="n">
        <v>5</v>
      </c>
    </row>
    <row r="44" ht="36" customHeight="1">
      <c r="A44" s="17" t="inlineStr">
        <is>
          <t>C&amp;R AP Series</t>
        </is>
      </c>
      <c r="B44" s="18" t="inlineStr">
        <is>
          <t>Switch, Seesaw // 1802.1123</t>
        </is>
      </c>
      <c r="C44" s="17" t="inlineStr">
        <is>
          <t>3030020924</t>
        </is>
      </c>
      <c r="D44" s="17" t="inlineStr"/>
      <c r="E44" s="18" t="inlineStr">
        <is>
          <t>Switch, Seesaw 1802.1123 — interruptor de alimentación, sin ítem de inspección propio</t>
        </is>
      </c>
      <c r="F44" s="17" t="n">
        <v>0</v>
      </c>
    </row>
    <row r="45" ht="24" customHeight="1">
      <c r="A45" s="20" t="inlineStr">
        <is>
          <t>C&amp;R AP Series</t>
        </is>
      </c>
      <c r="B45" s="22" t="inlineStr">
        <is>
          <t>Tape Wire</t>
        </is>
      </c>
      <c r="C45" s="20" t="inlineStr">
        <is>
          <t>3010040355</t>
        </is>
      </c>
      <c r="D45" s="20" t="inlineStr"/>
      <c r="E45" s="22" t="inlineStr">
        <is>
          <t>APMA-370 (CO) 7.3.1; APNA-370 (NOx) 7.3.1</t>
        </is>
      </c>
      <c r="F45" s="20" t="n">
        <v>2</v>
      </c>
    </row>
    <row r="46" ht="24" customHeight="1">
      <c r="A46" s="20" t="inlineStr">
        <is>
          <t>C&amp;R AP Series</t>
        </is>
      </c>
      <c r="B46" s="22" t="inlineStr">
        <is>
          <t>Touch Panel</t>
        </is>
      </c>
      <c r="C46" s="20" t="inlineStr">
        <is>
          <t>TP-AP370</t>
        </is>
      </c>
      <c r="D46" s="20" t="inlineStr"/>
      <c r="E46" s="22" t="inlineStr">
        <is>
          <t>APMA-370 (CO) 7.3.2; APNA-370 (NOx) 7.3.2</t>
        </is>
      </c>
      <c r="F46" s="20" t="n">
        <v>2</v>
      </c>
    </row>
    <row r="47" ht="24" customHeight="1">
      <c r="A47" s="20" t="inlineStr">
        <is>
          <t>C&amp;R AP Series</t>
        </is>
      </c>
      <c r="B47" s="22" t="inlineStr">
        <is>
          <t>Touch Panel // TP3214S1F0 (AST-057 With Tape)</t>
        </is>
      </c>
      <c r="C47" s="20" t="inlineStr">
        <is>
          <t>3010040585</t>
        </is>
      </c>
      <c r="D47" s="20" t="inlineStr"/>
      <c r="E47" s="22" t="inlineStr">
        <is>
          <t>APSA-370 (SO2) 7.4.1; APOA-370 (O3) 7.3.1</t>
        </is>
      </c>
      <c r="F47" s="20" t="n">
        <v>2</v>
      </c>
    </row>
    <row r="48" ht="24" customHeight="1">
      <c r="A48" s="20" t="inlineStr">
        <is>
          <t>C&amp;R APMA-370</t>
        </is>
      </c>
      <c r="B48" s="22" t="inlineStr">
        <is>
          <t>F-Packing FPM</t>
        </is>
      </c>
      <c r="C48" s="20" t="inlineStr">
        <is>
          <t>3200044273</t>
        </is>
      </c>
      <c r="D48" s="20" t="inlineStr"/>
      <c r="E48" s="22" t="inlineStr">
        <is>
          <t>APMA-370 (CO) 4.2.2; APNA-370 (NOx) 4.1.2</t>
        </is>
      </c>
      <c r="F48" s="20" t="n">
        <v>2</v>
      </c>
    </row>
    <row r="49" ht="24" customHeight="1">
      <c r="A49" s="20" t="inlineStr">
        <is>
          <t>C&amp;R APMA-370</t>
        </is>
      </c>
      <c r="B49" s="22" t="inlineStr">
        <is>
          <t>Hexagon Nut // JISB1181(TYP1) M05 (S-ZN3) ROHS</t>
        </is>
      </c>
      <c r="C49" s="20" t="inlineStr">
        <is>
          <t>3011000121</t>
        </is>
      </c>
      <c r="D49" s="20" t="inlineStr"/>
      <c r="E49" s="22" t="inlineStr">
        <is>
          <t>APMA-370 (CO) 6.3.4</t>
        </is>
      </c>
      <c r="F49" s="20" t="n">
        <v>1</v>
      </c>
    </row>
    <row r="50" ht="24" customHeight="1">
      <c r="A50" s="20" t="inlineStr">
        <is>
          <t>C&amp;R APMA-370</t>
        </is>
      </c>
      <c r="B50" s="22" t="inlineStr">
        <is>
          <t>O-Ring JISB2401 G70</t>
        </is>
      </c>
      <c r="C50" s="20" t="inlineStr">
        <is>
          <t>3200043785</t>
        </is>
      </c>
      <c r="D50" s="20" t="inlineStr"/>
      <c r="E50" s="22" t="inlineStr">
        <is>
          <t>APMA-370 (CO) 4.2.3; APNA-370 (NOx) 4.1.3</t>
        </is>
      </c>
      <c r="F50" s="20" t="n">
        <v>2</v>
      </c>
    </row>
    <row r="51" ht="24" customHeight="1">
      <c r="A51" s="17" t="inlineStr">
        <is>
          <t>C&amp;R APMA-370</t>
        </is>
      </c>
      <c r="B51" s="18" t="inlineStr">
        <is>
          <t>Repuestos recomendados para el segundo (2°) año de operación del APMA-370</t>
        </is>
      </c>
      <c r="C51" s="17" t="inlineStr">
        <is>
          <t>APMA370-SP2A</t>
        </is>
      </c>
      <c r="D51" s="17" t="inlineStr"/>
      <c r="E51" s="18" t="inlineStr">
        <is>
          <t>Kit anual de repuestos — aplica al modelo completo, no a un ítem</t>
        </is>
      </c>
      <c r="F51" s="17" t="n">
        <v>0</v>
      </c>
    </row>
    <row r="52" ht="24" customHeight="1">
      <c r="A52" s="17" t="inlineStr">
        <is>
          <t>C&amp;R APMA-370</t>
        </is>
      </c>
      <c r="B52" s="18" t="inlineStr">
        <is>
          <t>Repuestos recomendados para el tercer (3°) año de operación del APMA-370</t>
        </is>
      </c>
      <c r="C52" s="17" t="inlineStr">
        <is>
          <t>APMA370-SP3A</t>
        </is>
      </c>
      <c r="D52" s="17" t="inlineStr"/>
      <c r="E52" s="18" t="inlineStr">
        <is>
          <t>Kit anual de repuestos — aplica al modelo completo, no a un ítem</t>
        </is>
      </c>
      <c r="F52" s="17" t="n">
        <v>0</v>
      </c>
    </row>
    <row r="53" ht="24" customHeight="1">
      <c r="A53" s="20" t="inlineStr">
        <is>
          <t>C&amp;R APMA-370</t>
        </is>
      </c>
      <c r="B53" s="22" t="inlineStr">
        <is>
          <t>Screw, Stopper //=002=M5X20 For Spring</t>
        </is>
      </c>
      <c r="C53" s="20" t="inlineStr">
        <is>
          <t>3012155051</t>
        </is>
      </c>
      <c r="D53" s="20" t="inlineStr"/>
      <c r="E53" s="22" t="inlineStr">
        <is>
          <t>APMA-370 (CO) 6.3.3</t>
        </is>
      </c>
      <c r="F53" s="20" t="n">
        <v>1</v>
      </c>
    </row>
    <row r="54" ht="24" customHeight="1">
      <c r="A54" s="20" t="inlineStr">
        <is>
          <t>C&amp;R APMA-370</t>
        </is>
      </c>
      <c r="B54" s="22" t="inlineStr">
        <is>
          <t>Spring //=001= L=64 K=0.59</t>
        </is>
      </c>
      <c r="C54" s="20" t="inlineStr">
        <is>
          <t>3012161550</t>
        </is>
      </c>
      <c r="D54" s="20" t="inlineStr"/>
      <c r="E54" s="22" t="inlineStr">
        <is>
          <t>APMA-370 (CO) 6.3.1</t>
        </is>
      </c>
      <c r="F54" s="20" t="n">
        <v>1</v>
      </c>
    </row>
    <row r="55" ht="24" customHeight="1">
      <c r="A55" s="20" t="inlineStr">
        <is>
          <t>C&amp;R APMA-370</t>
        </is>
      </c>
      <c r="B55" s="22" t="inlineStr">
        <is>
          <t>Stopper, Spring //For AIA-1X0</t>
        </is>
      </c>
      <c r="C55" s="20" t="inlineStr">
        <is>
          <t>3012165197</t>
        </is>
      </c>
      <c r="D55" s="20" t="inlineStr"/>
      <c r="E55" s="22" t="inlineStr">
        <is>
          <t>APMA-370 (CO) 6.3.2</t>
        </is>
      </c>
      <c r="F55" s="20" t="n">
        <v>1</v>
      </c>
    </row>
    <row r="56" ht="24" customHeight="1">
      <c r="A56" s="20" t="inlineStr">
        <is>
          <t>C&amp;R APNA-370</t>
        </is>
      </c>
      <c r="B56" s="22" t="inlineStr">
        <is>
          <t>Baffa Tank</t>
        </is>
      </c>
      <c r="C56" s="20" t="inlineStr">
        <is>
          <t>3012301739</t>
        </is>
      </c>
      <c r="D56" s="20" t="inlineStr"/>
      <c r="E56" s="22" t="inlineStr">
        <is>
          <t>APNA-370 (NOx) 4.3.1</t>
        </is>
      </c>
      <c r="F56" s="20" t="n">
        <v>1</v>
      </c>
    </row>
    <row r="57" ht="24" customHeight="1">
      <c r="A57" s="20" t="inlineStr">
        <is>
          <t>C&amp;R APNA-370</t>
        </is>
      </c>
      <c r="B57" s="22" t="inlineStr">
        <is>
          <t>Case, Preamplier For AIA-1X0 PRE-01</t>
        </is>
      </c>
      <c r="C57" s="20" t="inlineStr">
        <is>
          <t>3200082587</t>
        </is>
      </c>
      <c r="D57" s="20" t="inlineStr"/>
      <c r="E57" s="22" t="inlineStr">
        <is>
          <t>APNA-370 (NOx) 6.4.1</t>
        </is>
      </c>
      <c r="F57" s="20" t="n">
        <v>1</v>
      </c>
    </row>
    <row r="58" ht="24" customHeight="1">
      <c r="A58" s="20" t="inlineStr">
        <is>
          <t>C&amp;R APNA-370</t>
        </is>
      </c>
      <c r="B58" s="22" t="inlineStr">
        <is>
          <t>Catalyzer Assy APNA-350E NOX Converter</t>
        </is>
      </c>
      <c r="C58" s="20" t="inlineStr">
        <is>
          <t>3014056464</t>
        </is>
      </c>
      <c r="D58" s="20" t="inlineStr"/>
      <c r="E58" s="22" t="inlineStr">
        <is>
          <t>APNA-370 (NOx) 3.3.1; APNA-370 (NOx) 6.2.1</t>
        </is>
      </c>
      <c r="F58" s="20" t="n">
        <v>2</v>
      </c>
    </row>
    <row r="59" ht="24" customHeight="1">
      <c r="A59" s="20" t="inlineStr">
        <is>
          <t>C&amp;R APNA-370</t>
        </is>
      </c>
      <c r="B59" s="22" t="inlineStr">
        <is>
          <t>DO Unit O3 resolver</t>
        </is>
      </c>
      <c r="C59" s="20" t="inlineStr">
        <is>
          <t>3200043513</t>
        </is>
      </c>
      <c r="D59" s="20" t="inlineStr"/>
      <c r="E59" s="22" t="inlineStr">
        <is>
          <t>APNA-370 (NOx) 6.5.1</t>
        </is>
      </c>
      <c r="F59" s="20" t="n">
        <v>1</v>
      </c>
    </row>
    <row r="60" ht="24" customHeight="1">
      <c r="A60" s="20" t="inlineStr">
        <is>
          <t>C&amp;R APNA-370</t>
        </is>
      </c>
      <c r="B60" s="22" t="inlineStr">
        <is>
          <t>Detector</t>
        </is>
      </c>
      <c r="C60" s="20" t="inlineStr">
        <is>
          <t>3014060117</t>
        </is>
      </c>
      <c r="D60" s="20" t="inlineStr">
        <is>
          <t>3014060117-TCA</t>
        </is>
      </c>
      <c r="E60" s="22" t="inlineStr">
        <is>
          <t>APNA-370 (NOx) 6.4.1</t>
        </is>
      </c>
      <c r="F60" s="20" t="n">
        <v>1</v>
      </c>
    </row>
    <row r="61" ht="24" customHeight="1">
      <c r="A61" s="20" t="inlineStr">
        <is>
          <t>C&amp;R APNA-370</t>
        </is>
      </c>
      <c r="B61" s="22" t="inlineStr">
        <is>
          <t>Diaphragm Assy GS, Gdseries EPDM</t>
        </is>
      </c>
      <c r="C61" s="20" t="inlineStr">
        <is>
          <t>3200602390</t>
        </is>
      </c>
      <c r="D61" s="20" t="inlineStr"/>
      <c r="E61" s="22" t="inlineStr">
        <is>
          <t>APMA-370 (CO) 5.2.2; APSA-370 (SO2) 5.1.3; APNA-370 (NOx) 5.1.2</t>
        </is>
      </c>
      <c r="F61" s="20" t="n">
        <v>3</v>
      </c>
    </row>
    <row r="62" ht="24" customHeight="1">
      <c r="A62" s="20" t="inlineStr">
        <is>
          <t>C&amp;R APNA-370</t>
        </is>
      </c>
      <c r="B62" s="22" t="inlineStr">
        <is>
          <t>F-Packing FPM</t>
        </is>
      </c>
      <c r="C62" s="20" t="inlineStr">
        <is>
          <t>3012129804</t>
        </is>
      </c>
      <c r="D62" s="20" t="inlineStr"/>
      <c r="E62" s="22" t="inlineStr">
        <is>
          <t>APNA-370 (NOx) 4.1.2</t>
        </is>
      </c>
      <c r="F62" s="20" t="n">
        <v>1</v>
      </c>
    </row>
    <row r="63" ht="24" customHeight="1">
      <c r="A63" s="20" t="inlineStr">
        <is>
          <t>C&amp;R APNA-370</t>
        </is>
      </c>
      <c r="B63" s="22" t="inlineStr">
        <is>
          <t>MOSFET LGS LV</t>
        </is>
      </c>
      <c r="C63" s="20" t="inlineStr">
        <is>
          <t>511-STD35P6LLF6</t>
        </is>
      </c>
      <c r="D63" s="20" t="inlineStr"/>
      <c r="E63" s="22" t="inlineStr">
        <is>
          <t>APNA-370 (NOx) 6.3.1</t>
        </is>
      </c>
      <c r="F63" s="20" t="n">
        <v>1</v>
      </c>
    </row>
    <row r="64" ht="24" customHeight="1">
      <c r="A64" s="20" t="inlineStr">
        <is>
          <t>C&amp;R APNA-370</t>
        </is>
      </c>
      <c r="B64" s="22" t="inlineStr">
        <is>
          <t>O-Ring JISB2401 G 70 (FPM)</t>
        </is>
      </c>
      <c r="C64" s="20" t="inlineStr">
        <is>
          <t>3030049099</t>
        </is>
      </c>
      <c r="D64" s="20" t="inlineStr"/>
      <c r="E64" s="22" t="inlineStr">
        <is>
          <t>APNA-370 (NOx) 4.1.3</t>
        </is>
      </c>
      <c r="F64" s="20" t="n">
        <v>1</v>
      </c>
    </row>
    <row r="65" ht="24" customHeight="1">
      <c r="A65" s="20" t="inlineStr">
        <is>
          <t>C&amp;R APNA-370</t>
        </is>
      </c>
      <c r="B65" s="22" t="inlineStr">
        <is>
          <t>O-Ring, W</t>
        </is>
      </c>
      <c r="C65" s="20" t="inlineStr">
        <is>
          <t>3014059379</t>
        </is>
      </c>
      <c r="D65" s="20" t="inlineStr"/>
      <c r="E65" s="22" t="inlineStr">
        <is>
          <t>APNA-370 (NOx) 6.1.1</t>
        </is>
      </c>
      <c r="F65" s="20" t="n">
        <v>1</v>
      </c>
    </row>
    <row r="66" ht="24" customHeight="1">
      <c r="A66" s="20" t="inlineStr">
        <is>
          <t>C&amp;R APNA-370</t>
        </is>
      </c>
      <c r="B66" s="22" t="inlineStr">
        <is>
          <t>PPD HRB-01 APNA-370</t>
        </is>
      </c>
      <c r="C66" s="20" t="inlineStr">
        <is>
          <t>3012305517</t>
        </is>
      </c>
      <c r="D66" s="20" t="inlineStr"/>
      <c r="E66" s="22" t="inlineStr">
        <is>
          <t>APNA-370 (NOx) 4.3.2</t>
        </is>
      </c>
      <c r="F66" s="20" t="n">
        <v>1</v>
      </c>
    </row>
    <row r="67" ht="24" customHeight="1">
      <c r="A67" s="20" t="inlineStr">
        <is>
          <t>C&amp;R APNA-370</t>
        </is>
      </c>
      <c r="B67" s="22" t="inlineStr">
        <is>
          <t>Printed Board Unit</t>
        </is>
      </c>
      <c r="C67" s="20" t="inlineStr">
        <is>
          <t>3200092495</t>
        </is>
      </c>
      <c r="D67" s="20" t="inlineStr">
        <is>
          <t>3200092495-TCA</t>
        </is>
      </c>
      <c r="E67" s="22" t="inlineStr">
        <is>
          <t>APNA-370 (NOx) 6.4.1</t>
        </is>
      </c>
      <c r="F67" s="20" t="n">
        <v>1</v>
      </c>
    </row>
    <row r="68" ht="24" customHeight="1">
      <c r="A68" s="20" t="inlineStr">
        <is>
          <t>C&amp;R APNA-370</t>
        </is>
      </c>
      <c r="B68" s="22" t="inlineStr">
        <is>
          <t>Printed Board Unit AP-UVP-03 + 1JV024-028A</t>
        </is>
      </c>
      <c r="C68" s="20" t="inlineStr">
        <is>
          <t>3200088405</t>
        </is>
      </c>
      <c r="D68" s="20" t="inlineStr">
        <is>
          <t>3200088405-TCA</t>
        </is>
      </c>
      <c r="E68" s="22" t="inlineStr">
        <is>
          <t>APNA-370 (NOx) 6.3.1</t>
        </is>
      </c>
      <c r="F68" s="20" t="n">
        <v>1</v>
      </c>
    </row>
    <row r="69" ht="24" customHeight="1">
      <c r="A69" s="20" t="inlineStr">
        <is>
          <t>C&amp;R APNA-370</t>
        </is>
      </c>
      <c r="B69" s="22" t="inlineStr">
        <is>
          <t>Reactor</t>
        </is>
      </c>
      <c r="C69" s="20" t="inlineStr">
        <is>
          <t>3014059166</t>
        </is>
      </c>
      <c r="D69" s="20" t="inlineStr"/>
      <c r="E69" s="22" t="inlineStr">
        <is>
          <t>APNA-370 (NOx) 6.1.1</t>
        </is>
      </c>
      <c r="F69" s="20" t="n">
        <v>1</v>
      </c>
    </row>
    <row r="70" ht="24" customHeight="1">
      <c r="A70" s="20" t="inlineStr">
        <is>
          <t>C&amp;R APNA-370</t>
        </is>
      </c>
      <c r="B70" s="22" t="inlineStr">
        <is>
          <t>Regulator</t>
        </is>
      </c>
      <c r="C70" s="20" t="inlineStr">
        <is>
          <t>3011017009</t>
        </is>
      </c>
      <c r="D70" s="20" t="inlineStr"/>
      <c r="E70" s="22" t="inlineStr">
        <is>
          <t>APNA-370 (NOx) 5.5.1; APNA-370 (NOx) 5.5.2; APNA-370 (NOx) 5.5.3</t>
        </is>
      </c>
      <c r="F70" s="20" t="n">
        <v>3</v>
      </c>
    </row>
    <row r="71" ht="24" customHeight="1">
      <c r="A71" s="17" t="inlineStr">
        <is>
          <t>C&amp;R APNA-370</t>
        </is>
      </c>
      <c r="B71" s="18" t="inlineStr">
        <is>
          <t>Repuestos recomendados para el segundo (2°) año de operación del APNA-370</t>
        </is>
      </c>
      <c r="C71" s="17" t="inlineStr">
        <is>
          <t>APNA370-SP2A</t>
        </is>
      </c>
      <c r="D71" s="17" t="inlineStr"/>
      <c r="E71" s="18" t="inlineStr">
        <is>
          <t>Kit anual de repuestos — aplica al modelo completo, no a un ítem</t>
        </is>
      </c>
      <c r="F71" s="17" t="n">
        <v>0</v>
      </c>
    </row>
    <row r="72" ht="24" customHeight="1">
      <c r="A72" s="17" t="inlineStr">
        <is>
          <t>C&amp;R APNA-370</t>
        </is>
      </c>
      <c r="B72" s="18" t="inlineStr">
        <is>
          <t>Repuestos recomendados para el tercer (3°) año de operación del APNA-370</t>
        </is>
      </c>
      <c r="C72" s="17" t="inlineStr">
        <is>
          <t>APNA370-SP3A</t>
        </is>
      </c>
      <c r="D72" s="17" t="inlineStr"/>
      <c r="E72" s="18" t="inlineStr">
        <is>
          <t>Kit anual de repuestos — aplica al modelo completo, no a un ítem</t>
        </is>
      </c>
      <c r="F72" s="17" t="n">
        <v>0</v>
      </c>
    </row>
    <row r="73" ht="24" customHeight="1">
      <c r="A73" s="20" t="inlineStr">
        <is>
          <t>C&amp;R APNA-370</t>
        </is>
      </c>
      <c r="B73" s="22" t="inlineStr">
        <is>
          <t>Stay SBB-314(E) L=14 M3 Male/Female</t>
        </is>
      </c>
      <c r="C73" s="20" t="inlineStr">
        <is>
          <t>3030021477</t>
        </is>
      </c>
      <c r="D73" s="20" t="inlineStr"/>
      <c r="E73" s="22" t="inlineStr">
        <is>
          <t>APNA-370 (NOx) 6.4.1</t>
        </is>
      </c>
      <c r="F73" s="20" t="n">
        <v>1</v>
      </c>
    </row>
    <row r="74" ht="24" customHeight="1">
      <c r="A74" s="20" t="inlineStr">
        <is>
          <t>C&amp;R APNA-370</t>
        </is>
      </c>
      <c r="B74" s="22" t="inlineStr">
        <is>
          <t>Stay for Preamprifie for APNA-360</t>
        </is>
      </c>
      <c r="C74" s="20" t="inlineStr">
        <is>
          <t>3012223360</t>
        </is>
      </c>
      <c r="D74" s="20" t="inlineStr"/>
      <c r="E74" s="22" t="inlineStr">
        <is>
          <t>APNA-370 (NOx) 6.4.1</t>
        </is>
      </c>
      <c r="F74" s="20" t="n">
        <v>1</v>
      </c>
    </row>
    <row r="75" ht="24" customHeight="1">
      <c r="A75" s="20" t="inlineStr">
        <is>
          <t>C&amp;R APNA-370</t>
        </is>
      </c>
      <c r="B75" s="22" t="inlineStr">
        <is>
          <t>UV Lamp Unit Ozonata unit</t>
        </is>
      </c>
      <c r="C75" s="20" t="inlineStr">
        <is>
          <t>3014038054</t>
        </is>
      </c>
      <c r="D75" s="20" t="inlineStr">
        <is>
          <t>3014038054-TCA</t>
        </is>
      </c>
      <c r="E75" s="22" t="inlineStr">
        <is>
          <t>APNA-370 (NOx) 1.1.2; APNA-370 (NOx) 6.3.1</t>
        </is>
      </c>
      <c r="F75" s="20" t="n">
        <v>2</v>
      </c>
    </row>
    <row r="76" ht="24" customHeight="1">
      <c r="A76" s="20" t="inlineStr">
        <is>
          <t>C&amp;R APNA-370</t>
        </is>
      </c>
      <c r="B76" s="22" t="inlineStr">
        <is>
          <t>UV Liner 263*145*0.8t (PTFE)</t>
        </is>
      </c>
      <c r="C76" s="20" t="inlineStr">
        <is>
          <t>3200044415</t>
        </is>
      </c>
      <c r="D76" s="20" t="inlineStr">
        <is>
          <t>3200044415-TCA</t>
        </is>
      </c>
      <c r="E76" s="22" t="inlineStr">
        <is>
          <t>APNA-370 (NOx) 6.3.2</t>
        </is>
      </c>
      <c r="F76" s="20" t="n">
        <v>1</v>
      </c>
    </row>
    <row r="77" ht="24" customHeight="1">
      <c r="A77" s="20" t="inlineStr">
        <is>
          <t>C&amp;R APOA-370</t>
        </is>
      </c>
      <c r="B77" s="22" t="inlineStr">
        <is>
          <t>DO Pipe 160 °C 12H vacuum processing gas</t>
        </is>
      </c>
      <c r="C77" s="20" t="inlineStr">
        <is>
          <t>3014061445</t>
        </is>
      </c>
      <c r="D77" s="20" t="inlineStr"/>
      <c r="E77" s="22" t="inlineStr">
        <is>
          <t>APOA-370 (O3) 6.3.1; APOA-370 (O3) 8.2.2</t>
        </is>
      </c>
      <c r="F77" s="20" t="n">
        <v>2</v>
      </c>
    </row>
    <row r="78" ht="36" customHeight="1">
      <c r="A78" s="17" t="inlineStr">
        <is>
          <t>C&amp;R APOA-370</t>
        </is>
      </c>
      <c r="B78" s="18" t="inlineStr">
        <is>
          <t>Filter, P8 =006=108884(P8,EPDM) No SUS-NET</t>
        </is>
      </c>
      <c r="C78" s="17" t="inlineStr">
        <is>
          <t>3012167290</t>
        </is>
      </c>
      <c r="D78" s="17" t="inlineStr"/>
      <c r="E78" s="18" t="inlineStr">
        <is>
          <t>Filter, P8 (EPDM) — no se pudo determinar el punto del circuito al que pertenece</t>
        </is>
      </c>
      <c r="F78" s="17" t="n">
        <v>0</v>
      </c>
    </row>
    <row r="79" ht="24" customHeight="1">
      <c r="A79" s="20" t="inlineStr">
        <is>
          <t>C&amp;R APOA-370</t>
        </is>
      </c>
      <c r="B79" s="22" t="inlineStr">
        <is>
          <t>Orifice APSA-36X D=0.40 T=0.2 Etching (Select)</t>
        </is>
      </c>
      <c r="C79" s="20" t="inlineStr">
        <is>
          <t>3012293266</t>
        </is>
      </c>
      <c r="D79" s="20" t="inlineStr"/>
      <c r="E79" s="22" t="inlineStr">
        <is>
          <t>APOA-370 (O3) 5.3.3</t>
        </is>
      </c>
      <c r="F79" s="20" t="n">
        <v>1</v>
      </c>
    </row>
    <row r="80" ht="24" customHeight="1">
      <c r="A80" s="20" t="inlineStr">
        <is>
          <t>C&amp;R APOA-370</t>
        </is>
      </c>
      <c r="B80" s="22" t="inlineStr">
        <is>
          <t>Orifice Holder APXX-360E</t>
        </is>
      </c>
      <c r="C80" s="20" t="inlineStr">
        <is>
          <t>3012299100</t>
        </is>
      </c>
      <c r="D80" s="20" t="inlineStr"/>
      <c r="E80" s="22" t="inlineStr">
        <is>
          <t>APOA-370 (O3) 5.3.3</t>
        </is>
      </c>
      <c r="F80" s="20" t="n">
        <v>1</v>
      </c>
    </row>
    <row r="81" ht="24" customHeight="1">
      <c r="A81" s="20" t="inlineStr">
        <is>
          <t>C&amp;R APOA-370</t>
        </is>
      </c>
      <c r="B81" s="22" t="inlineStr">
        <is>
          <t>Orifice Holder APXX-360E</t>
        </is>
      </c>
      <c r="C81" s="20" t="inlineStr">
        <is>
          <t>3012299101</t>
        </is>
      </c>
      <c r="D81" s="20" t="inlineStr"/>
      <c r="E81" s="22" t="inlineStr">
        <is>
          <t>APOA-370 (O3) 5.3.3</t>
        </is>
      </c>
      <c r="F81" s="20" t="n">
        <v>1</v>
      </c>
    </row>
    <row r="82" ht="24" customHeight="1">
      <c r="A82" s="20" t="inlineStr">
        <is>
          <t>C&amp;R APOA-370</t>
        </is>
      </c>
      <c r="B82" s="22" t="inlineStr">
        <is>
          <t>Photo Diode</t>
        </is>
      </c>
      <c r="C82" s="20" t="inlineStr">
        <is>
          <t>3030051996</t>
        </is>
      </c>
      <c r="D82" s="20" t="inlineStr"/>
      <c r="E82" s="22" t="inlineStr">
        <is>
          <t>APOA-370 (O3) 6.4.1</t>
        </is>
      </c>
      <c r="F82" s="20" t="n">
        <v>1</v>
      </c>
    </row>
    <row r="83" ht="24" customHeight="1">
      <c r="A83" s="20" t="inlineStr">
        <is>
          <t>C&amp;R APOA-370</t>
        </is>
      </c>
      <c r="B83" s="22" t="inlineStr">
        <is>
          <t>Printed Board Assy</t>
        </is>
      </c>
      <c r="C83" s="20" t="inlineStr">
        <is>
          <t>3014036688</t>
        </is>
      </c>
      <c r="D83" s="20" t="inlineStr"/>
      <c r="E83" s="22" t="inlineStr">
        <is>
          <t>APOA-370 (O3) 6.4.2</t>
        </is>
      </c>
      <c r="F83" s="20" t="n">
        <v>1</v>
      </c>
    </row>
    <row r="84" ht="24" customHeight="1">
      <c r="A84" s="20" t="inlineStr">
        <is>
          <t>C&amp;R APOA-370</t>
        </is>
      </c>
      <c r="B84" s="22" t="inlineStr">
        <is>
          <t>Printed Board Unit // AP-PRE-12 (APOA)</t>
        </is>
      </c>
      <c r="C84" s="20" t="inlineStr">
        <is>
          <t>3200092494</t>
        </is>
      </c>
      <c r="D84" s="20" t="inlineStr"/>
      <c r="E84" s="22" t="inlineStr">
        <is>
          <t>APOA-370 (O3) 6.4.2</t>
        </is>
      </c>
      <c r="F84" s="20" t="n">
        <v>1</v>
      </c>
    </row>
    <row r="85" ht="24" customHeight="1">
      <c r="A85" s="20" t="inlineStr">
        <is>
          <t>C&amp;R APOA-370</t>
        </is>
      </c>
      <c r="B85" s="22" t="inlineStr">
        <is>
          <t>Pump GS-6EH-100 (100～120V) APOA</t>
        </is>
      </c>
      <c r="C85" s="20" t="inlineStr">
        <is>
          <t>3014059159</t>
        </is>
      </c>
      <c r="D85" s="20" t="inlineStr"/>
      <c r="E85" s="22" t="inlineStr">
        <is>
          <t>APOA-370 (O3) 5.1.1; APOA-370 (O3) 5.1.3; APOA-370 (O3) 8.2.4</t>
        </is>
      </c>
      <c r="F85" s="20" t="n">
        <v>3</v>
      </c>
    </row>
    <row r="86" ht="24" customHeight="1">
      <c r="A86" s="17" t="inlineStr">
        <is>
          <t>C&amp;R APOA-370</t>
        </is>
      </c>
      <c r="B86" s="18" t="inlineStr">
        <is>
          <t>Repuestos recomendados para el segundo (2°) año de operación del APOA-370</t>
        </is>
      </c>
      <c r="C86" s="17" t="inlineStr">
        <is>
          <t>APOA370-SP2A</t>
        </is>
      </c>
      <c r="D86" s="17" t="inlineStr"/>
      <c r="E86" s="18" t="inlineStr">
        <is>
          <t>Kit anual de repuestos — aplica al modelo completo, no a un ítem</t>
        </is>
      </c>
      <c r="F86" s="17" t="n">
        <v>0</v>
      </c>
    </row>
    <row r="87" ht="24" customHeight="1">
      <c r="A87" s="17" t="inlineStr">
        <is>
          <t>C&amp;R APOA-370</t>
        </is>
      </c>
      <c r="B87" s="18" t="inlineStr">
        <is>
          <t>Repuestos recomendados para el tercer (3°) año de operación del APOA-370</t>
        </is>
      </c>
      <c r="C87" s="17" t="inlineStr">
        <is>
          <t>APOA370-SP3A</t>
        </is>
      </c>
      <c r="D87" s="17" t="inlineStr"/>
      <c r="E87" s="18" t="inlineStr">
        <is>
          <t>Kit anual de repuestos — aplica al modelo completo, no a un ítem</t>
        </is>
      </c>
      <c r="F87" s="17" t="n">
        <v>0</v>
      </c>
    </row>
    <row r="88" ht="36" customHeight="1">
      <c r="A88" s="20" t="inlineStr">
        <is>
          <t>C&amp;R APOA-370</t>
        </is>
      </c>
      <c r="B88" s="22" t="inlineStr">
        <is>
          <t>UV Lamp APOA-370</t>
        </is>
      </c>
      <c r="C88" s="20" t="inlineStr">
        <is>
          <t>3014036635</t>
        </is>
      </c>
      <c r="D88" s="20" t="inlineStr">
        <is>
          <t>1000063664</t>
        </is>
      </c>
      <c r="E88" s="22" t="inlineStr">
        <is>
          <t>APOA-370 (O3) 1.2.2; APOA-370 (O3) 6.1.1; APOA-370 (O3) 6.2.3; APOA-370 (O3) 8.2.3</t>
        </is>
      </c>
      <c r="F88" s="20" t="n">
        <v>4</v>
      </c>
    </row>
    <row r="89" ht="24" customHeight="1">
      <c r="A89" s="20" t="inlineStr">
        <is>
          <t>C&amp;R APSA-370</t>
        </is>
      </c>
      <c r="B89" s="22" t="inlineStr">
        <is>
          <t>Color Filter Glass 21.5 HOYA HA-50</t>
        </is>
      </c>
      <c r="C89" s="20" t="inlineStr">
        <is>
          <t>3012305464</t>
        </is>
      </c>
      <c r="D89" s="20" t="inlineStr"/>
      <c r="E89" s="22" t="inlineStr">
        <is>
          <t>APSA-370 (SO2) 6.2.2</t>
        </is>
      </c>
      <c r="F89" s="20" t="n">
        <v>1</v>
      </c>
    </row>
    <row r="90" ht="24" customHeight="1">
      <c r="A90" s="20" t="inlineStr">
        <is>
          <t>C&amp;R APSA-370</t>
        </is>
      </c>
      <c r="B90" s="22" t="inlineStr">
        <is>
          <t>Color Glass Filter HOYA U-330 D=24 For APSA-360</t>
        </is>
      </c>
      <c r="C90" s="20" t="inlineStr">
        <is>
          <t>3014062371</t>
        </is>
      </c>
      <c r="D90" s="20" t="inlineStr"/>
      <c r="E90" s="22" t="inlineStr">
        <is>
          <t>APSA-370 (SO2) 6.2.3</t>
        </is>
      </c>
      <c r="F90" s="20" t="n">
        <v>1</v>
      </c>
    </row>
    <row r="91" ht="36" customHeight="1">
      <c r="A91" s="20" t="inlineStr">
        <is>
          <t>C&amp;R APSA-370</t>
        </is>
      </c>
      <c r="B91" s="22" t="inlineStr">
        <is>
          <t>Diaphragm Assy GS,Gdseries EPDM</t>
        </is>
      </c>
      <c r="C91" s="20" t="inlineStr">
        <is>
          <t>3011026485</t>
        </is>
      </c>
      <c r="D91" s="20" t="inlineStr"/>
      <c r="E91" s="22" t="inlineStr">
        <is>
          <t>APSA-370 (SO2) 5.1.2; APSA-370 (SO2) 5.1.3; APSA-370 (SO2) 5.1.4; APSA-370 (SO2) 8.1.4</t>
        </is>
      </c>
      <c r="F91" s="20" t="n">
        <v>4</v>
      </c>
    </row>
    <row r="92" ht="24" customHeight="1">
      <c r="A92" s="20" t="inlineStr">
        <is>
          <t>C&amp;R APSA-370</t>
        </is>
      </c>
      <c r="B92" s="22" t="inlineStr">
        <is>
          <t>HC Cutter</t>
        </is>
      </c>
      <c r="C92" s="20" t="inlineStr">
        <is>
          <t>3014059458</t>
        </is>
      </c>
      <c r="D92" s="20" t="inlineStr"/>
      <c r="E92" s="22" t="inlineStr">
        <is>
          <t>APSA-370 (SO2) 5.2.1; APSA-370 (SO2) 6.3.1; APSA-370 (SO2) 8.1.3</t>
        </is>
      </c>
      <c r="F92" s="20" t="n">
        <v>3</v>
      </c>
    </row>
    <row r="93" ht="24" customHeight="1">
      <c r="A93" s="20" t="inlineStr">
        <is>
          <t>C&amp;R APSA-370</t>
        </is>
      </c>
      <c r="B93" s="22" t="inlineStr">
        <is>
          <t>Lens 160C 12 Vaccum H0544442003</t>
        </is>
      </c>
      <c r="C93" s="20" t="inlineStr">
        <is>
          <t>3014038776</t>
        </is>
      </c>
      <c r="D93" s="20" t="inlineStr"/>
      <c r="E93" s="22" t="inlineStr">
        <is>
          <t>APSA-370 (SO2) 6.2.4</t>
        </is>
      </c>
      <c r="F93" s="20" t="n">
        <v>1</v>
      </c>
    </row>
    <row r="94" ht="24" customHeight="1">
      <c r="A94" s="20" t="inlineStr">
        <is>
          <t>C&amp;R APSA-370</t>
        </is>
      </c>
      <c r="B94" s="22" t="inlineStr">
        <is>
          <t>Mirror Adhesion Unit. APSA-370</t>
        </is>
      </c>
      <c r="C94" s="20" t="inlineStr">
        <is>
          <t>3014038766</t>
        </is>
      </c>
      <c r="D94" s="20" t="inlineStr"/>
      <c r="E94" s="22" t="inlineStr">
        <is>
          <t>APSA-370 (SO2) 6.2.1</t>
        </is>
      </c>
      <c r="F94" s="20" t="n">
        <v>1</v>
      </c>
    </row>
    <row r="95" ht="24" customHeight="1">
      <c r="A95" s="20" t="inlineStr">
        <is>
          <t>C&amp;R APSA-370</t>
        </is>
      </c>
      <c r="B95" s="22" t="inlineStr">
        <is>
          <t>O-Ring P20</t>
        </is>
      </c>
      <c r="C95" s="20" t="inlineStr">
        <is>
          <t>3030053401</t>
        </is>
      </c>
      <c r="D95" s="20" t="inlineStr"/>
      <c r="E95" s="22" t="inlineStr">
        <is>
          <t>APSA-370 (SO2) 6.2.5</t>
        </is>
      </c>
      <c r="F95" s="20" t="n">
        <v>1</v>
      </c>
    </row>
    <row r="96" ht="24" customHeight="1">
      <c r="A96" s="20" t="inlineStr">
        <is>
          <t>C&amp;R APSA-370</t>
        </is>
      </c>
      <c r="B96" s="22" t="inlineStr">
        <is>
          <t>Printed Board Assy AP-PMP-01</t>
        </is>
      </c>
      <c r="C96" s="20" t="inlineStr">
        <is>
          <t>3014038441</t>
        </is>
      </c>
      <c r="D96" s="20" t="inlineStr"/>
      <c r="E96" s="22" t="inlineStr">
        <is>
          <t>APSA-370 (SO2) 7.1.2</t>
        </is>
      </c>
      <c r="F96" s="20" t="n">
        <v>1</v>
      </c>
    </row>
    <row r="97" ht="24" customHeight="1">
      <c r="A97" s="20" t="inlineStr">
        <is>
          <t>C&amp;R APSA-370</t>
        </is>
      </c>
      <c r="B97" s="22" t="inlineStr">
        <is>
          <t>Printed Board Assy AP-PRE-13</t>
        </is>
      </c>
      <c r="C97" s="20" t="inlineStr">
        <is>
          <t>3014038440</t>
        </is>
      </c>
      <c r="D97" s="20" t="inlineStr"/>
      <c r="E97" s="22" t="inlineStr">
        <is>
          <t>APSA-370 (SO2) 7.1.1</t>
        </is>
      </c>
      <c r="F97" s="20" t="n">
        <v>1</v>
      </c>
    </row>
    <row r="98" ht="24" customHeight="1">
      <c r="A98" s="20" t="inlineStr">
        <is>
          <t>C&amp;R APSA-370</t>
        </is>
      </c>
      <c r="B98" s="22" t="inlineStr">
        <is>
          <t>Printed Board Unit AP-XEP-02</t>
        </is>
      </c>
      <c r="C98" s="20" t="inlineStr">
        <is>
          <t>3200092499</t>
        </is>
      </c>
      <c r="D98" s="20" t="inlineStr"/>
      <c r="E98" s="22" t="inlineStr">
        <is>
          <t>APSA-370 (SO2) 6.1.3</t>
        </is>
      </c>
      <c r="F98" s="20" t="n">
        <v>1</v>
      </c>
    </row>
    <row r="99" ht="24" customHeight="1">
      <c r="A99" s="17" t="inlineStr">
        <is>
          <t>C&amp;R APSA-370</t>
        </is>
      </c>
      <c r="B99" s="18" t="inlineStr">
        <is>
          <t>Repuestos recomendados para el segundo (2°) año de operación del APSA-370</t>
        </is>
      </c>
      <c r="C99" s="17" t="inlineStr">
        <is>
          <t>APSA370-SP2A</t>
        </is>
      </c>
      <c r="D99" s="17" t="inlineStr"/>
      <c r="E99" s="18" t="inlineStr">
        <is>
          <t>Kit anual de repuestos — aplica al modelo completo, no a un ítem</t>
        </is>
      </c>
      <c r="F99" s="17" t="n">
        <v>0</v>
      </c>
    </row>
    <row r="100" ht="24" customHeight="1">
      <c r="A100" s="17" t="inlineStr">
        <is>
          <t>C&amp;R APSA-370</t>
        </is>
      </c>
      <c r="B100" s="18" t="inlineStr">
        <is>
          <t>Repuestos recomendados para el tercer (3°) año de operación del APSA-370</t>
        </is>
      </c>
      <c r="C100" s="17" t="inlineStr">
        <is>
          <t>APSA370-SP3A</t>
        </is>
      </c>
      <c r="D100" s="17" t="inlineStr"/>
      <c r="E100" s="18" t="inlineStr">
        <is>
          <t>Kit anual de repuestos — aplica al modelo completo, no a un ítem</t>
        </is>
      </c>
      <c r="F100" s="17" t="n">
        <v>0</v>
      </c>
    </row>
    <row r="101" ht="24" customHeight="1">
      <c r="A101" s="20" t="inlineStr">
        <is>
          <t>C&amp;R APSA-370</t>
        </is>
      </c>
      <c r="B101" s="22" t="inlineStr">
        <is>
          <t>Scrubber ESU-050A</t>
        </is>
      </c>
      <c r="C101" s="20" t="inlineStr">
        <is>
          <t>3014059487</t>
        </is>
      </c>
      <c r="D101" s="20" t="inlineStr"/>
      <c r="E101" s="22" t="inlineStr">
        <is>
          <t>APSA-370 (SO2) 6.3.2; APSA-370 (SO2) 8.1.2</t>
        </is>
      </c>
      <c r="F101" s="20" t="n">
        <v>2</v>
      </c>
    </row>
    <row r="102" ht="36" customHeight="1">
      <c r="A102" s="20" t="inlineStr">
        <is>
          <t>C&amp;R APSA-370</t>
        </is>
      </c>
      <c r="B102" s="22" t="inlineStr">
        <is>
          <t>Xenon Lamp L4646</t>
        </is>
      </c>
      <c r="C102" s="20" t="inlineStr">
        <is>
          <t>3030020915</t>
        </is>
      </c>
      <c r="D102" s="20" t="inlineStr">
        <is>
          <t>3030020915-TCA</t>
        </is>
      </c>
      <c r="E102" s="22" t="inlineStr">
        <is>
          <t>APSA-370 (SO2) 6.1.1; APSA-370 (SO2) 6.1.2; APSA-370 (SO2) 6.1.4; APSA-370 (SO2) 8.1.5</t>
        </is>
      </c>
      <c r="F102" s="20" t="n">
        <v>4</v>
      </c>
    </row>
    <row r="104">
      <c r="A104" s="2" t="inlineStr">
        <is>
          <t>Las filas en amarillo son artículos del catálogo que no quedaron asociados a ningún ítem de inspección: los ocho kits anuales (aplican al modelo completo) y cuatro artículos cuya descripción en Zoho no permite ubicarlos con certeza.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1" customWidth="1" min="3" max="3"/>
    <col width="13" customWidth="1" min="4" max="4"/>
    <col width="20" customWidth="1" min="5" max="5"/>
    <col width="13" customWidth="1" min="6" max="6"/>
    <col width="13" customWidth="1" min="7" max="7"/>
    <col width="15" customWidth="1" min="8" max="8"/>
    <col width="24" customWidth="1" min="9" max="9"/>
  </cols>
  <sheetData>
    <row r="1">
      <c r="A1" s="19" t="inlineStr">
        <is>
          <t>RESUMEN DE CONFORMIDAD POR NIVEL MACRO</t>
        </is>
      </c>
    </row>
    <row r="2">
      <c r="A2" s="2" t="inlineStr">
        <is>
          <t>Calculado automáticamente sobre las hojas de inspección de cada modelo.</t>
        </is>
      </c>
    </row>
    <row r="4">
      <c r="A4" s="3" t="inlineStr">
        <is>
          <t>APMA-370 (CO) — Analizador de monóxido de carbono HORIBA APMA-370</t>
        </is>
      </c>
    </row>
    <row r="5" ht="30" customHeight="1">
      <c r="A5" s="9" t="inlineStr">
        <is>
          <t>Nivel macro (N1)</t>
        </is>
      </c>
      <c r="B5" s="9" t="inlineStr">
        <is>
          <t>Ítems</t>
        </is>
      </c>
      <c r="C5" s="9" t="inlineStr">
        <is>
          <t>Conforme</t>
        </is>
      </c>
      <c r="D5" s="9" t="inlineStr">
        <is>
          <t>No conforme</t>
        </is>
      </c>
      <c r="E5" s="9" t="inlineStr">
        <is>
          <t>Requiere reemplazo</t>
        </is>
      </c>
      <c r="F5" s="9" t="inlineStr">
        <is>
          <t>No aplica</t>
        </is>
      </c>
      <c r="G5" s="9" t="inlineStr">
        <is>
          <t>Pendiente</t>
        </is>
      </c>
      <c r="H5" s="9" t="inlineStr">
        <is>
          <t>% conformidad</t>
        </is>
      </c>
      <c r="I5" s="9" t="inlineStr">
        <is>
          <t>Fuera de rango</t>
        </is>
      </c>
    </row>
    <row r="6">
      <c r="A6" s="27" t="inlineStr">
        <is>
          <t>1. Verificación funcional inicial</t>
        </is>
      </c>
      <c r="B6" s="27">
        <f>COUNTIF('APMA-370 (CO)'!$B$9:$B$88,$A6)</f>
        <v/>
      </c>
      <c r="C6" s="27">
        <f>COUNTIFS('APMA-370 (CO)'!$B$9:$B$88,$A6,'APMA-370 (CO)'!$U$9:$U$88,"Conforme")</f>
        <v/>
      </c>
      <c r="D6" s="27">
        <f>COUNTIFS('APMA-370 (CO)'!$B$9:$B$88,$A6,'APMA-370 (CO)'!$U$9:$U$88,"No conforme")</f>
        <v/>
      </c>
      <c r="E6" s="27">
        <f>COUNTIFS('APMA-370 (CO)'!$B$9:$B$88,$A6,'APMA-370 (CO)'!$U$9:$U$88,"Requiere reemplazo")</f>
        <v/>
      </c>
      <c r="F6" s="27">
        <f>COUNTIFS('APMA-370 (CO)'!$B$9:$B$88,$A6,'APMA-370 (CO)'!$U$9:$U$88,"No aplica")</f>
        <v/>
      </c>
      <c r="G6" s="27">
        <f>COUNTIFS('APMA-370 (CO)'!$B$9:$B$88,$A6,'APMA-370 (CO)'!$U$9:$U$88,"Pendiente")</f>
        <v/>
      </c>
      <c r="H6" s="28">
        <f>IFERROR($C6/($B6-$F6-$G6),"")</f>
        <v/>
      </c>
      <c r="I6" s="27">
        <f>COUNTIFS('APMA-370 (CO)'!$B$9:$B$88,$A6,'APMA-370 (CO)'!$W$9:$W$88,"Fuera de rango")</f>
        <v/>
      </c>
    </row>
    <row r="7">
      <c r="A7" s="27" t="inlineStr">
        <is>
          <t>2. Identificación y trazabilidad</t>
        </is>
      </c>
      <c r="B7" s="27">
        <f>COUNTIF('APMA-370 (CO)'!$B$9:$B$88,$A7)</f>
        <v/>
      </c>
      <c r="C7" s="27">
        <f>COUNTIFS('APMA-370 (CO)'!$B$9:$B$88,$A7,'APMA-370 (CO)'!$U$9:$U$88,"Conforme")</f>
        <v/>
      </c>
      <c r="D7" s="27">
        <f>COUNTIFS('APMA-370 (CO)'!$B$9:$B$88,$A7,'APMA-370 (CO)'!$U$9:$U$88,"No conforme")</f>
        <v/>
      </c>
      <c r="E7" s="27">
        <f>COUNTIFS('APMA-370 (CO)'!$B$9:$B$88,$A7,'APMA-370 (CO)'!$U$9:$U$88,"Requiere reemplazo")</f>
        <v/>
      </c>
      <c r="F7" s="27">
        <f>COUNTIFS('APMA-370 (CO)'!$B$9:$B$88,$A7,'APMA-370 (CO)'!$U$9:$U$88,"No aplica")</f>
        <v/>
      </c>
      <c r="G7" s="27">
        <f>COUNTIFS('APMA-370 (CO)'!$B$9:$B$88,$A7,'APMA-370 (CO)'!$U$9:$U$88,"Pendiente")</f>
        <v/>
      </c>
      <c r="H7" s="28">
        <f>IFERROR($C7/($B7-$F7-$G7),"")</f>
        <v/>
      </c>
      <c r="I7" s="27">
        <f>COUNTIFS('APMA-370 (CO)'!$B$9:$B$88,$A7,'APMA-370 (CO)'!$W$9:$W$88,"Fuera de rango")</f>
        <v/>
      </c>
    </row>
    <row r="8">
      <c r="A8" s="27" t="inlineStr">
        <is>
          <t>3. Estado de calibración</t>
        </is>
      </c>
      <c r="B8" s="27">
        <f>COUNTIF('APMA-370 (CO)'!$B$9:$B$88,$A8)</f>
        <v/>
      </c>
      <c r="C8" s="27">
        <f>COUNTIFS('APMA-370 (CO)'!$B$9:$B$88,$A8,'APMA-370 (CO)'!$U$9:$U$88,"Conforme")</f>
        <v/>
      </c>
      <c r="D8" s="27">
        <f>COUNTIFS('APMA-370 (CO)'!$B$9:$B$88,$A8,'APMA-370 (CO)'!$U$9:$U$88,"No conforme")</f>
        <v/>
      </c>
      <c r="E8" s="27">
        <f>COUNTIFS('APMA-370 (CO)'!$B$9:$B$88,$A8,'APMA-370 (CO)'!$U$9:$U$88,"Requiere reemplazo")</f>
        <v/>
      </c>
      <c r="F8" s="27">
        <f>COUNTIFS('APMA-370 (CO)'!$B$9:$B$88,$A8,'APMA-370 (CO)'!$U$9:$U$88,"No aplica")</f>
        <v/>
      </c>
      <c r="G8" s="27">
        <f>COUNTIFS('APMA-370 (CO)'!$B$9:$B$88,$A8,'APMA-370 (CO)'!$U$9:$U$88,"Pendiente")</f>
        <v/>
      </c>
      <c r="H8" s="28">
        <f>IFERROR($C8/($B8-$F8-$G8),"")</f>
        <v/>
      </c>
      <c r="I8" s="27">
        <f>COUNTIFS('APMA-370 (CO)'!$B$9:$B$88,$A8,'APMA-370 (CO)'!$W$9:$W$88,"Fuera de rango")</f>
        <v/>
      </c>
    </row>
    <row r="9">
      <c r="A9" s="27" t="inlineStr">
        <is>
          <t>4. Línea de muestreo y acondicionamiento</t>
        </is>
      </c>
      <c r="B9" s="27">
        <f>COUNTIF('APMA-370 (CO)'!$B$9:$B$88,$A9)</f>
        <v/>
      </c>
      <c r="C9" s="27">
        <f>COUNTIFS('APMA-370 (CO)'!$B$9:$B$88,$A9,'APMA-370 (CO)'!$U$9:$U$88,"Conforme")</f>
        <v/>
      </c>
      <c r="D9" s="27">
        <f>COUNTIFS('APMA-370 (CO)'!$B$9:$B$88,$A9,'APMA-370 (CO)'!$U$9:$U$88,"No conforme")</f>
        <v/>
      </c>
      <c r="E9" s="27">
        <f>COUNTIFS('APMA-370 (CO)'!$B$9:$B$88,$A9,'APMA-370 (CO)'!$U$9:$U$88,"Requiere reemplazo")</f>
        <v/>
      </c>
      <c r="F9" s="27">
        <f>COUNTIFS('APMA-370 (CO)'!$B$9:$B$88,$A9,'APMA-370 (CO)'!$U$9:$U$88,"No aplica")</f>
        <v/>
      </c>
      <c r="G9" s="27">
        <f>COUNTIFS('APMA-370 (CO)'!$B$9:$B$88,$A9,'APMA-370 (CO)'!$U$9:$U$88,"Pendiente")</f>
        <v/>
      </c>
      <c r="H9" s="28">
        <f>IFERROR($C9/($B9-$F9-$G9),"")</f>
        <v/>
      </c>
      <c r="I9" s="27">
        <f>COUNTIFS('APMA-370 (CO)'!$B$9:$B$88,$A9,'APMA-370 (CO)'!$W$9:$W$88,"Fuera de rango")</f>
        <v/>
      </c>
    </row>
    <row r="10">
      <c r="A10" s="27" t="inlineStr">
        <is>
          <t>5. Sistema neumático</t>
        </is>
      </c>
      <c r="B10" s="27">
        <f>COUNTIF('APMA-370 (CO)'!$B$9:$B$88,$A10)</f>
        <v/>
      </c>
      <c r="C10" s="27">
        <f>COUNTIFS('APMA-370 (CO)'!$B$9:$B$88,$A10,'APMA-370 (CO)'!$U$9:$U$88,"Conforme")</f>
        <v/>
      </c>
      <c r="D10" s="27">
        <f>COUNTIFS('APMA-370 (CO)'!$B$9:$B$88,$A10,'APMA-370 (CO)'!$U$9:$U$88,"No conforme")</f>
        <v/>
      </c>
      <c r="E10" s="27">
        <f>COUNTIFS('APMA-370 (CO)'!$B$9:$B$88,$A10,'APMA-370 (CO)'!$U$9:$U$88,"Requiere reemplazo")</f>
        <v/>
      </c>
      <c r="F10" s="27">
        <f>COUNTIFS('APMA-370 (CO)'!$B$9:$B$88,$A10,'APMA-370 (CO)'!$U$9:$U$88,"No aplica")</f>
        <v/>
      </c>
      <c r="G10" s="27">
        <f>COUNTIFS('APMA-370 (CO)'!$B$9:$B$88,$A10,'APMA-370 (CO)'!$U$9:$U$88,"Pendiente")</f>
        <v/>
      </c>
      <c r="H10" s="28">
        <f>IFERROR($C10/($B10-$F10-$G10),"")</f>
        <v/>
      </c>
      <c r="I10" s="27">
        <f>COUNTIFS('APMA-370 (CO)'!$B$9:$B$88,$A10,'APMA-370 (CO)'!$W$9:$W$88,"Fuera de rango")</f>
        <v/>
      </c>
    </row>
    <row r="11">
      <c r="A11" s="27" t="inlineStr">
        <is>
          <t>6. Banco de medición y óptica</t>
        </is>
      </c>
      <c r="B11" s="27">
        <f>COUNTIF('APMA-370 (CO)'!$B$9:$B$88,$A11)</f>
        <v/>
      </c>
      <c r="C11" s="27">
        <f>COUNTIFS('APMA-370 (CO)'!$B$9:$B$88,$A11,'APMA-370 (CO)'!$U$9:$U$88,"Conforme")</f>
        <v/>
      </c>
      <c r="D11" s="27">
        <f>COUNTIFS('APMA-370 (CO)'!$B$9:$B$88,$A11,'APMA-370 (CO)'!$U$9:$U$88,"No conforme")</f>
        <v/>
      </c>
      <c r="E11" s="27">
        <f>COUNTIFS('APMA-370 (CO)'!$B$9:$B$88,$A11,'APMA-370 (CO)'!$U$9:$U$88,"Requiere reemplazo")</f>
        <v/>
      </c>
      <c r="F11" s="27">
        <f>COUNTIFS('APMA-370 (CO)'!$B$9:$B$88,$A11,'APMA-370 (CO)'!$U$9:$U$88,"No aplica")</f>
        <v/>
      </c>
      <c r="G11" s="27">
        <f>COUNTIFS('APMA-370 (CO)'!$B$9:$B$88,$A11,'APMA-370 (CO)'!$U$9:$U$88,"Pendiente")</f>
        <v/>
      </c>
      <c r="H11" s="28">
        <f>IFERROR($C11/($B11-$F11-$G11),"")</f>
        <v/>
      </c>
      <c r="I11" s="27">
        <f>COUNTIFS('APMA-370 (CO)'!$B$9:$B$88,$A11,'APMA-370 (CO)'!$W$9:$W$88,"Fuera de rango")</f>
        <v/>
      </c>
    </row>
    <row r="12">
      <c r="A12" s="27" t="inlineStr">
        <is>
          <t>7. Electrónica y control</t>
        </is>
      </c>
      <c r="B12" s="27">
        <f>COUNTIF('APMA-370 (CO)'!$B$9:$B$88,$A12)</f>
        <v/>
      </c>
      <c r="C12" s="27">
        <f>COUNTIFS('APMA-370 (CO)'!$B$9:$B$88,$A12,'APMA-370 (CO)'!$U$9:$U$88,"Conforme")</f>
        <v/>
      </c>
      <c r="D12" s="27">
        <f>COUNTIFS('APMA-370 (CO)'!$B$9:$B$88,$A12,'APMA-370 (CO)'!$U$9:$U$88,"No conforme")</f>
        <v/>
      </c>
      <c r="E12" s="27">
        <f>COUNTIFS('APMA-370 (CO)'!$B$9:$B$88,$A12,'APMA-370 (CO)'!$U$9:$U$88,"Requiere reemplazo")</f>
        <v/>
      </c>
      <c r="F12" s="27">
        <f>COUNTIFS('APMA-370 (CO)'!$B$9:$B$88,$A12,'APMA-370 (CO)'!$U$9:$U$88,"No aplica")</f>
        <v/>
      </c>
      <c r="G12" s="27">
        <f>COUNTIFS('APMA-370 (CO)'!$B$9:$B$88,$A12,'APMA-370 (CO)'!$U$9:$U$88,"Pendiente")</f>
        <v/>
      </c>
      <c r="H12" s="28">
        <f>IFERROR($C12/($B12-$F12-$G12),"")</f>
        <v/>
      </c>
      <c r="I12" s="27">
        <f>COUNTIFS('APMA-370 (CO)'!$B$9:$B$88,$A12,'APMA-370 (CO)'!$W$9:$W$88,"Fuera de rango")</f>
        <v/>
      </c>
    </row>
    <row r="13">
      <c r="A13" s="27" t="inlineStr">
        <is>
          <t>8. Filtros y consumibles</t>
        </is>
      </c>
      <c r="B13" s="27">
        <f>COUNTIF('APMA-370 (CO)'!$B$9:$B$88,$A13)</f>
        <v/>
      </c>
      <c r="C13" s="27">
        <f>COUNTIFS('APMA-370 (CO)'!$B$9:$B$88,$A13,'APMA-370 (CO)'!$U$9:$U$88,"Conforme")</f>
        <v/>
      </c>
      <c r="D13" s="27">
        <f>COUNTIFS('APMA-370 (CO)'!$B$9:$B$88,$A13,'APMA-370 (CO)'!$U$9:$U$88,"No conforme")</f>
        <v/>
      </c>
      <c r="E13" s="27">
        <f>COUNTIFS('APMA-370 (CO)'!$B$9:$B$88,$A13,'APMA-370 (CO)'!$U$9:$U$88,"Requiere reemplazo")</f>
        <v/>
      </c>
      <c r="F13" s="27">
        <f>COUNTIFS('APMA-370 (CO)'!$B$9:$B$88,$A13,'APMA-370 (CO)'!$U$9:$U$88,"No aplica")</f>
        <v/>
      </c>
      <c r="G13" s="27">
        <f>COUNTIFS('APMA-370 (CO)'!$B$9:$B$88,$A13,'APMA-370 (CO)'!$U$9:$U$88,"Pendiente")</f>
        <v/>
      </c>
      <c r="H13" s="28">
        <f>IFERROR($C13/($B13-$F13-$G13),"")</f>
        <v/>
      </c>
      <c r="I13" s="27">
        <f>COUNTIFS('APMA-370 (CO)'!$B$9:$B$88,$A13,'APMA-370 (CO)'!$W$9:$W$88,"Fuera de rango")</f>
        <v/>
      </c>
    </row>
    <row r="14">
      <c r="A14" s="27" t="inlineStr">
        <is>
          <t>9. Sensores auxiliares</t>
        </is>
      </c>
      <c r="B14" s="27">
        <f>COUNTIF('APMA-370 (CO)'!$B$9:$B$88,$A14)</f>
        <v/>
      </c>
      <c r="C14" s="27">
        <f>COUNTIFS('APMA-370 (CO)'!$B$9:$B$88,$A14,'APMA-370 (CO)'!$U$9:$U$88,"Conforme")</f>
        <v/>
      </c>
      <c r="D14" s="27">
        <f>COUNTIFS('APMA-370 (CO)'!$B$9:$B$88,$A14,'APMA-370 (CO)'!$U$9:$U$88,"No conforme")</f>
        <v/>
      </c>
      <c r="E14" s="27">
        <f>COUNTIFS('APMA-370 (CO)'!$B$9:$B$88,$A14,'APMA-370 (CO)'!$U$9:$U$88,"Requiere reemplazo")</f>
        <v/>
      </c>
      <c r="F14" s="27">
        <f>COUNTIFS('APMA-370 (CO)'!$B$9:$B$88,$A14,'APMA-370 (CO)'!$U$9:$U$88,"No aplica")</f>
        <v/>
      </c>
      <c r="G14" s="27">
        <f>COUNTIFS('APMA-370 (CO)'!$B$9:$B$88,$A14,'APMA-370 (CO)'!$U$9:$U$88,"Pendiente")</f>
        <v/>
      </c>
      <c r="H14" s="28">
        <f>IFERROR($C14/($B14-$F14-$G14),"")</f>
        <v/>
      </c>
      <c r="I14" s="27">
        <f>COUNTIFS('APMA-370 (CO)'!$B$9:$B$88,$A14,'APMA-370 (CO)'!$W$9:$W$88,"Fuera de rango")</f>
        <v/>
      </c>
    </row>
    <row r="15">
      <c r="A15" s="27" t="inlineStr">
        <is>
          <t>10. Gabinete, montaje e instalación</t>
        </is>
      </c>
      <c r="B15" s="27">
        <f>COUNTIF('APMA-370 (CO)'!$B$9:$B$88,$A15)</f>
        <v/>
      </c>
      <c r="C15" s="27">
        <f>COUNTIFS('APMA-370 (CO)'!$B$9:$B$88,$A15,'APMA-370 (CO)'!$U$9:$U$88,"Conforme")</f>
        <v/>
      </c>
      <c r="D15" s="27">
        <f>COUNTIFS('APMA-370 (CO)'!$B$9:$B$88,$A15,'APMA-370 (CO)'!$U$9:$U$88,"No conforme")</f>
        <v/>
      </c>
      <c r="E15" s="27">
        <f>COUNTIFS('APMA-370 (CO)'!$B$9:$B$88,$A15,'APMA-370 (CO)'!$U$9:$U$88,"Requiere reemplazo")</f>
        <v/>
      </c>
      <c r="F15" s="27">
        <f>COUNTIFS('APMA-370 (CO)'!$B$9:$B$88,$A15,'APMA-370 (CO)'!$U$9:$U$88,"No aplica")</f>
        <v/>
      </c>
      <c r="G15" s="27">
        <f>COUNTIFS('APMA-370 (CO)'!$B$9:$B$88,$A15,'APMA-370 (CO)'!$U$9:$U$88,"Pendiente")</f>
        <v/>
      </c>
      <c r="H15" s="28">
        <f>IFERROR($C15/($B15-$F15-$G15),"")</f>
        <v/>
      </c>
      <c r="I15" s="27">
        <f>COUNTIFS('APMA-370 (CO)'!$B$9:$B$88,$A15,'APMA-370 (CO)'!$W$9:$W$88,"Fuera de rango")</f>
        <v/>
      </c>
    </row>
    <row r="16">
      <c r="A16" s="27" t="inlineStr">
        <is>
          <t>TOTAL</t>
        </is>
      </c>
      <c r="B16" s="27">
        <f>SUM(B6:B15)</f>
        <v/>
      </c>
      <c r="C16" s="27">
        <f>SUM(C6:C15)</f>
        <v/>
      </c>
      <c r="D16" s="27">
        <f>SUM(D6:D15)</f>
        <v/>
      </c>
      <c r="E16" s="27">
        <f>SUM(E6:E15)</f>
        <v/>
      </c>
      <c r="F16" s="27">
        <f>SUM(F6:F15)</f>
        <v/>
      </c>
      <c r="G16" s="27">
        <f>SUM(G6:G15)</f>
        <v/>
      </c>
      <c r="H16" s="28">
        <f>IFERROR($C16/($B16-$F16-$G16),"")</f>
        <v/>
      </c>
      <c r="I16" s="27">
        <f>SUM(I6:I15)</f>
        <v/>
      </c>
    </row>
    <row r="19">
      <c r="A19" s="3" t="inlineStr">
        <is>
          <t>APSA-370 (SO2) — Analizador de dióxido de azufre HORIBA APSA-370</t>
        </is>
      </c>
    </row>
    <row r="20" ht="30" customHeight="1">
      <c r="A20" s="9" t="inlineStr">
        <is>
          <t>Nivel macro (N1)</t>
        </is>
      </c>
      <c r="B20" s="9" t="inlineStr">
        <is>
          <t>Ítems</t>
        </is>
      </c>
      <c r="C20" s="9" t="inlineStr">
        <is>
          <t>Conforme</t>
        </is>
      </c>
      <c r="D20" s="9" t="inlineStr">
        <is>
          <t>No conforme</t>
        </is>
      </c>
      <c r="E20" s="9" t="inlineStr">
        <is>
          <t>Requiere reemplazo</t>
        </is>
      </c>
      <c r="F20" s="9" t="inlineStr">
        <is>
          <t>No aplica</t>
        </is>
      </c>
      <c r="G20" s="9" t="inlineStr">
        <is>
          <t>Pendiente</t>
        </is>
      </c>
      <c r="H20" s="9" t="inlineStr">
        <is>
          <t>% conformidad</t>
        </is>
      </c>
      <c r="I20" s="9" t="inlineStr">
        <is>
          <t>Fuera de rango</t>
        </is>
      </c>
    </row>
    <row r="21">
      <c r="A21" s="27" t="inlineStr">
        <is>
          <t>1. Verificación funcional inicial</t>
        </is>
      </c>
      <c r="B21" s="27">
        <f>COUNTIF('APSA-370 (SO2)'!$B$9:$B$104,$A21)</f>
        <v/>
      </c>
      <c r="C21" s="27">
        <f>COUNTIFS('APSA-370 (SO2)'!$B$9:$B$104,$A21,'APSA-370 (SO2)'!$U$9:$U$104,"Conforme")</f>
        <v/>
      </c>
      <c r="D21" s="27">
        <f>COUNTIFS('APSA-370 (SO2)'!$B$9:$B$104,$A21,'APSA-370 (SO2)'!$U$9:$U$104,"No conforme")</f>
        <v/>
      </c>
      <c r="E21" s="27">
        <f>COUNTIFS('APSA-370 (SO2)'!$B$9:$B$104,$A21,'APSA-370 (SO2)'!$U$9:$U$104,"Requiere reemplazo")</f>
        <v/>
      </c>
      <c r="F21" s="27">
        <f>COUNTIFS('APSA-370 (SO2)'!$B$9:$B$104,$A21,'APSA-370 (SO2)'!$U$9:$U$104,"No aplica")</f>
        <v/>
      </c>
      <c r="G21" s="27">
        <f>COUNTIFS('APSA-370 (SO2)'!$B$9:$B$104,$A21,'APSA-370 (SO2)'!$U$9:$U$104,"Pendiente")</f>
        <v/>
      </c>
      <c r="H21" s="28">
        <f>IFERROR($C21/($B21-$F21-$G21),"")</f>
        <v/>
      </c>
      <c r="I21" s="27">
        <f>COUNTIFS('APSA-370 (SO2)'!$B$9:$B$104,$A21,'APSA-370 (SO2)'!$W$9:$W$104,"Fuera de rango")</f>
        <v/>
      </c>
    </row>
    <row r="22">
      <c r="A22" s="27" t="inlineStr">
        <is>
          <t>2. Identificación y trazabilidad</t>
        </is>
      </c>
      <c r="B22" s="27">
        <f>COUNTIF('APSA-370 (SO2)'!$B$9:$B$104,$A22)</f>
        <v/>
      </c>
      <c r="C22" s="27">
        <f>COUNTIFS('APSA-370 (SO2)'!$B$9:$B$104,$A22,'APSA-370 (SO2)'!$U$9:$U$104,"Conforme")</f>
        <v/>
      </c>
      <c r="D22" s="27">
        <f>COUNTIFS('APSA-370 (SO2)'!$B$9:$B$104,$A22,'APSA-370 (SO2)'!$U$9:$U$104,"No conforme")</f>
        <v/>
      </c>
      <c r="E22" s="27">
        <f>COUNTIFS('APSA-370 (SO2)'!$B$9:$B$104,$A22,'APSA-370 (SO2)'!$U$9:$U$104,"Requiere reemplazo")</f>
        <v/>
      </c>
      <c r="F22" s="27">
        <f>COUNTIFS('APSA-370 (SO2)'!$B$9:$B$104,$A22,'APSA-370 (SO2)'!$U$9:$U$104,"No aplica")</f>
        <v/>
      </c>
      <c r="G22" s="27">
        <f>COUNTIFS('APSA-370 (SO2)'!$B$9:$B$104,$A22,'APSA-370 (SO2)'!$U$9:$U$104,"Pendiente")</f>
        <v/>
      </c>
      <c r="H22" s="28">
        <f>IFERROR($C22/($B22-$F22-$G22),"")</f>
        <v/>
      </c>
      <c r="I22" s="27">
        <f>COUNTIFS('APSA-370 (SO2)'!$B$9:$B$104,$A22,'APSA-370 (SO2)'!$W$9:$W$104,"Fuera de rango")</f>
        <v/>
      </c>
    </row>
    <row r="23">
      <c r="A23" s="27" t="inlineStr">
        <is>
          <t>3. Estado de calibración</t>
        </is>
      </c>
      <c r="B23" s="27">
        <f>COUNTIF('APSA-370 (SO2)'!$B$9:$B$104,$A23)</f>
        <v/>
      </c>
      <c r="C23" s="27">
        <f>COUNTIFS('APSA-370 (SO2)'!$B$9:$B$104,$A23,'APSA-370 (SO2)'!$U$9:$U$104,"Conforme")</f>
        <v/>
      </c>
      <c r="D23" s="27">
        <f>COUNTIFS('APSA-370 (SO2)'!$B$9:$B$104,$A23,'APSA-370 (SO2)'!$U$9:$U$104,"No conforme")</f>
        <v/>
      </c>
      <c r="E23" s="27">
        <f>COUNTIFS('APSA-370 (SO2)'!$B$9:$B$104,$A23,'APSA-370 (SO2)'!$U$9:$U$104,"Requiere reemplazo")</f>
        <v/>
      </c>
      <c r="F23" s="27">
        <f>COUNTIFS('APSA-370 (SO2)'!$B$9:$B$104,$A23,'APSA-370 (SO2)'!$U$9:$U$104,"No aplica")</f>
        <v/>
      </c>
      <c r="G23" s="27">
        <f>COUNTIFS('APSA-370 (SO2)'!$B$9:$B$104,$A23,'APSA-370 (SO2)'!$U$9:$U$104,"Pendiente")</f>
        <v/>
      </c>
      <c r="H23" s="28">
        <f>IFERROR($C23/($B23-$F23-$G23),"")</f>
        <v/>
      </c>
      <c r="I23" s="27">
        <f>COUNTIFS('APSA-370 (SO2)'!$B$9:$B$104,$A23,'APSA-370 (SO2)'!$W$9:$W$104,"Fuera de rango")</f>
        <v/>
      </c>
    </row>
    <row r="24">
      <c r="A24" s="27" t="inlineStr">
        <is>
          <t>4. Línea de muestreo y acondicionamiento</t>
        </is>
      </c>
      <c r="B24" s="27">
        <f>COUNTIF('APSA-370 (SO2)'!$B$9:$B$104,$A24)</f>
        <v/>
      </c>
      <c r="C24" s="27">
        <f>COUNTIFS('APSA-370 (SO2)'!$B$9:$B$104,$A24,'APSA-370 (SO2)'!$U$9:$U$104,"Conforme")</f>
        <v/>
      </c>
      <c r="D24" s="27">
        <f>COUNTIFS('APSA-370 (SO2)'!$B$9:$B$104,$A24,'APSA-370 (SO2)'!$U$9:$U$104,"No conforme")</f>
        <v/>
      </c>
      <c r="E24" s="27">
        <f>COUNTIFS('APSA-370 (SO2)'!$B$9:$B$104,$A24,'APSA-370 (SO2)'!$U$9:$U$104,"Requiere reemplazo")</f>
        <v/>
      </c>
      <c r="F24" s="27">
        <f>COUNTIFS('APSA-370 (SO2)'!$B$9:$B$104,$A24,'APSA-370 (SO2)'!$U$9:$U$104,"No aplica")</f>
        <v/>
      </c>
      <c r="G24" s="27">
        <f>COUNTIFS('APSA-370 (SO2)'!$B$9:$B$104,$A24,'APSA-370 (SO2)'!$U$9:$U$104,"Pendiente")</f>
        <v/>
      </c>
      <c r="H24" s="28">
        <f>IFERROR($C24/($B24-$F24-$G24),"")</f>
        <v/>
      </c>
      <c r="I24" s="27">
        <f>COUNTIFS('APSA-370 (SO2)'!$B$9:$B$104,$A24,'APSA-370 (SO2)'!$W$9:$W$104,"Fuera de rango")</f>
        <v/>
      </c>
    </row>
    <row r="25">
      <c r="A25" s="27" t="inlineStr">
        <is>
          <t>5. Sistema neumático</t>
        </is>
      </c>
      <c r="B25" s="27">
        <f>COUNTIF('APSA-370 (SO2)'!$B$9:$B$104,$A25)</f>
        <v/>
      </c>
      <c r="C25" s="27">
        <f>COUNTIFS('APSA-370 (SO2)'!$B$9:$B$104,$A25,'APSA-370 (SO2)'!$U$9:$U$104,"Conforme")</f>
        <v/>
      </c>
      <c r="D25" s="27">
        <f>COUNTIFS('APSA-370 (SO2)'!$B$9:$B$104,$A25,'APSA-370 (SO2)'!$U$9:$U$104,"No conforme")</f>
        <v/>
      </c>
      <c r="E25" s="27">
        <f>COUNTIFS('APSA-370 (SO2)'!$B$9:$B$104,$A25,'APSA-370 (SO2)'!$U$9:$U$104,"Requiere reemplazo")</f>
        <v/>
      </c>
      <c r="F25" s="27">
        <f>COUNTIFS('APSA-370 (SO2)'!$B$9:$B$104,$A25,'APSA-370 (SO2)'!$U$9:$U$104,"No aplica")</f>
        <v/>
      </c>
      <c r="G25" s="27">
        <f>COUNTIFS('APSA-370 (SO2)'!$B$9:$B$104,$A25,'APSA-370 (SO2)'!$U$9:$U$104,"Pendiente")</f>
        <v/>
      </c>
      <c r="H25" s="28">
        <f>IFERROR($C25/($B25-$F25-$G25),"")</f>
        <v/>
      </c>
      <c r="I25" s="27">
        <f>COUNTIFS('APSA-370 (SO2)'!$B$9:$B$104,$A25,'APSA-370 (SO2)'!$W$9:$W$104,"Fuera de rango")</f>
        <v/>
      </c>
    </row>
    <row r="26">
      <c r="A26" s="27" t="inlineStr">
        <is>
          <t>6. Banco de medición y óptica</t>
        </is>
      </c>
      <c r="B26" s="27">
        <f>COUNTIF('APSA-370 (SO2)'!$B$9:$B$104,$A26)</f>
        <v/>
      </c>
      <c r="C26" s="27">
        <f>COUNTIFS('APSA-370 (SO2)'!$B$9:$B$104,$A26,'APSA-370 (SO2)'!$U$9:$U$104,"Conforme")</f>
        <v/>
      </c>
      <c r="D26" s="27">
        <f>COUNTIFS('APSA-370 (SO2)'!$B$9:$B$104,$A26,'APSA-370 (SO2)'!$U$9:$U$104,"No conforme")</f>
        <v/>
      </c>
      <c r="E26" s="27">
        <f>COUNTIFS('APSA-370 (SO2)'!$B$9:$B$104,$A26,'APSA-370 (SO2)'!$U$9:$U$104,"Requiere reemplazo")</f>
        <v/>
      </c>
      <c r="F26" s="27">
        <f>COUNTIFS('APSA-370 (SO2)'!$B$9:$B$104,$A26,'APSA-370 (SO2)'!$U$9:$U$104,"No aplica")</f>
        <v/>
      </c>
      <c r="G26" s="27">
        <f>COUNTIFS('APSA-370 (SO2)'!$B$9:$B$104,$A26,'APSA-370 (SO2)'!$U$9:$U$104,"Pendiente")</f>
        <v/>
      </c>
      <c r="H26" s="28">
        <f>IFERROR($C26/($B26-$F26-$G26),"")</f>
        <v/>
      </c>
      <c r="I26" s="27">
        <f>COUNTIFS('APSA-370 (SO2)'!$B$9:$B$104,$A26,'APSA-370 (SO2)'!$W$9:$W$104,"Fuera de rango")</f>
        <v/>
      </c>
    </row>
    <row r="27">
      <c r="A27" s="27" t="inlineStr">
        <is>
          <t>7. Electrónica y control</t>
        </is>
      </c>
      <c r="B27" s="27">
        <f>COUNTIF('APSA-370 (SO2)'!$B$9:$B$104,$A27)</f>
        <v/>
      </c>
      <c r="C27" s="27">
        <f>COUNTIFS('APSA-370 (SO2)'!$B$9:$B$104,$A27,'APSA-370 (SO2)'!$U$9:$U$104,"Conforme")</f>
        <v/>
      </c>
      <c r="D27" s="27">
        <f>COUNTIFS('APSA-370 (SO2)'!$B$9:$B$104,$A27,'APSA-370 (SO2)'!$U$9:$U$104,"No conforme")</f>
        <v/>
      </c>
      <c r="E27" s="27">
        <f>COUNTIFS('APSA-370 (SO2)'!$B$9:$B$104,$A27,'APSA-370 (SO2)'!$U$9:$U$104,"Requiere reemplazo")</f>
        <v/>
      </c>
      <c r="F27" s="27">
        <f>COUNTIFS('APSA-370 (SO2)'!$B$9:$B$104,$A27,'APSA-370 (SO2)'!$U$9:$U$104,"No aplica")</f>
        <v/>
      </c>
      <c r="G27" s="27">
        <f>COUNTIFS('APSA-370 (SO2)'!$B$9:$B$104,$A27,'APSA-370 (SO2)'!$U$9:$U$104,"Pendiente")</f>
        <v/>
      </c>
      <c r="H27" s="28">
        <f>IFERROR($C27/($B27-$F27-$G27),"")</f>
        <v/>
      </c>
      <c r="I27" s="27">
        <f>COUNTIFS('APSA-370 (SO2)'!$B$9:$B$104,$A27,'APSA-370 (SO2)'!$W$9:$W$104,"Fuera de rango")</f>
        <v/>
      </c>
    </row>
    <row r="28">
      <c r="A28" s="27" t="inlineStr">
        <is>
          <t>8. Filtros y consumibles</t>
        </is>
      </c>
      <c r="B28" s="27">
        <f>COUNTIF('APSA-370 (SO2)'!$B$9:$B$104,$A28)</f>
        <v/>
      </c>
      <c r="C28" s="27">
        <f>COUNTIFS('APSA-370 (SO2)'!$B$9:$B$104,$A28,'APSA-370 (SO2)'!$U$9:$U$104,"Conforme")</f>
        <v/>
      </c>
      <c r="D28" s="27">
        <f>COUNTIFS('APSA-370 (SO2)'!$B$9:$B$104,$A28,'APSA-370 (SO2)'!$U$9:$U$104,"No conforme")</f>
        <v/>
      </c>
      <c r="E28" s="27">
        <f>COUNTIFS('APSA-370 (SO2)'!$B$9:$B$104,$A28,'APSA-370 (SO2)'!$U$9:$U$104,"Requiere reemplazo")</f>
        <v/>
      </c>
      <c r="F28" s="27">
        <f>COUNTIFS('APSA-370 (SO2)'!$B$9:$B$104,$A28,'APSA-370 (SO2)'!$U$9:$U$104,"No aplica")</f>
        <v/>
      </c>
      <c r="G28" s="27">
        <f>COUNTIFS('APSA-370 (SO2)'!$B$9:$B$104,$A28,'APSA-370 (SO2)'!$U$9:$U$104,"Pendiente")</f>
        <v/>
      </c>
      <c r="H28" s="28">
        <f>IFERROR($C28/($B28-$F28-$G28),"")</f>
        <v/>
      </c>
      <c r="I28" s="27">
        <f>COUNTIFS('APSA-370 (SO2)'!$B$9:$B$104,$A28,'APSA-370 (SO2)'!$W$9:$W$104,"Fuera de rango")</f>
        <v/>
      </c>
    </row>
    <row r="29">
      <c r="A29" s="27" t="inlineStr">
        <is>
          <t>9. Sensores auxiliares</t>
        </is>
      </c>
      <c r="B29" s="27">
        <f>COUNTIF('APSA-370 (SO2)'!$B$9:$B$104,$A29)</f>
        <v/>
      </c>
      <c r="C29" s="27">
        <f>COUNTIFS('APSA-370 (SO2)'!$B$9:$B$104,$A29,'APSA-370 (SO2)'!$U$9:$U$104,"Conforme")</f>
        <v/>
      </c>
      <c r="D29" s="27">
        <f>COUNTIFS('APSA-370 (SO2)'!$B$9:$B$104,$A29,'APSA-370 (SO2)'!$U$9:$U$104,"No conforme")</f>
        <v/>
      </c>
      <c r="E29" s="27">
        <f>COUNTIFS('APSA-370 (SO2)'!$B$9:$B$104,$A29,'APSA-370 (SO2)'!$U$9:$U$104,"Requiere reemplazo")</f>
        <v/>
      </c>
      <c r="F29" s="27">
        <f>COUNTIFS('APSA-370 (SO2)'!$B$9:$B$104,$A29,'APSA-370 (SO2)'!$U$9:$U$104,"No aplica")</f>
        <v/>
      </c>
      <c r="G29" s="27">
        <f>COUNTIFS('APSA-370 (SO2)'!$B$9:$B$104,$A29,'APSA-370 (SO2)'!$U$9:$U$104,"Pendiente")</f>
        <v/>
      </c>
      <c r="H29" s="28">
        <f>IFERROR($C29/($B29-$F29-$G29),"")</f>
        <v/>
      </c>
      <c r="I29" s="27">
        <f>COUNTIFS('APSA-370 (SO2)'!$B$9:$B$104,$A29,'APSA-370 (SO2)'!$W$9:$W$104,"Fuera de rango")</f>
        <v/>
      </c>
    </row>
    <row r="30">
      <c r="A30" s="27" t="inlineStr">
        <is>
          <t>10. Gabinete, montaje e instalación</t>
        </is>
      </c>
      <c r="B30" s="27">
        <f>COUNTIF('APSA-370 (SO2)'!$B$9:$B$104,$A30)</f>
        <v/>
      </c>
      <c r="C30" s="27">
        <f>COUNTIFS('APSA-370 (SO2)'!$B$9:$B$104,$A30,'APSA-370 (SO2)'!$U$9:$U$104,"Conforme")</f>
        <v/>
      </c>
      <c r="D30" s="27">
        <f>COUNTIFS('APSA-370 (SO2)'!$B$9:$B$104,$A30,'APSA-370 (SO2)'!$U$9:$U$104,"No conforme")</f>
        <v/>
      </c>
      <c r="E30" s="27">
        <f>COUNTIFS('APSA-370 (SO2)'!$B$9:$B$104,$A30,'APSA-370 (SO2)'!$U$9:$U$104,"Requiere reemplazo")</f>
        <v/>
      </c>
      <c r="F30" s="27">
        <f>COUNTIFS('APSA-370 (SO2)'!$B$9:$B$104,$A30,'APSA-370 (SO2)'!$U$9:$U$104,"No aplica")</f>
        <v/>
      </c>
      <c r="G30" s="27">
        <f>COUNTIFS('APSA-370 (SO2)'!$B$9:$B$104,$A30,'APSA-370 (SO2)'!$U$9:$U$104,"Pendiente")</f>
        <v/>
      </c>
      <c r="H30" s="28">
        <f>IFERROR($C30/($B30-$F30-$G30),"")</f>
        <v/>
      </c>
      <c r="I30" s="27">
        <f>COUNTIFS('APSA-370 (SO2)'!$B$9:$B$104,$A30,'APSA-370 (SO2)'!$W$9:$W$104,"Fuera de rango")</f>
        <v/>
      </c>
    </row>
    <row r="31">
      <c r="A31" s="27" t="inlineStr">
        <is>
          <t>TOTAL</t>
        </is>
      </c>
      <c r="B31" s="27">
        <f>SUM(B21:B30)</f>
        <v/>
      </c>
      <c r="C31" s="27">
        <f>SUM(C21:C30)</f>
        <v/>
      </c>
      <c r="D31" s="27">
        <f>SUM(D21:D30)</f>
        <v/>
      </c>
      <c r="E31" s="27">
        <f>SUM(E21:E30)</f>
        <v/>
      </c>
      <c r="F31" s="27">
        <f>SUM(F21:F30)</f>
        <v/>
      </c>
      <c r="G31" s="27">
        <f>SUM(G21:G30)</f>
        <v/>
      </c>
      <c r="H31" s="28">
        <f>IFERROR($C31/($B31-$F31-$G31),"")</f>
        <v/>
      </c>
      <c r="I31" s="27">
        <f>SUM(I21:I30)</f>
        <v/>
      </c>
    </row>
    <row r="34">
      <c r="A34" s="3" t="inlineStr">
        <is>
          <t>APOA-370 (O3) — Analizador de ozono HORIBA APOA-370</t>
        </is>
      </c>
    </row>
    <row r="35" ht="30" customHeight="1">
      <c r="A35" s="9" t="inlineStr">
        <is>
          <t>Nivel macro (N1)</t>
        </is>
      </c>
      <c r="B35" s="9" t="inlineStr">
        <is>
          <t>Ítems</t>
        </is>
      </c>
      <c r="C35" s="9" t="inlineStr">
        <is>
          <t>Conforme</t>
        </is>
      </c>
      <c r="D35" s="9" t="inlineStr">
        <is>
          <t>No conforme</t>
        </is>
      </c>
      <c r="E35" s="9" t="inlineStr">
        <is>
          <t>Requiere reemplazo</t>
        </is>
      </c>
      <c r="F35" s="9" t="inlineStr">
        <is>
          <t>No aplica</t>
        </is>
      </c>
      <c r="G35" s="9" t="inlineStr">
        <is>
          <t>Pendiente</t>
        </is>
      </c>
      <c r="H35" s="9" t="inlineStr">
        <is>
          <t>% conformidad</t>
        </is>
      </c>
      <c r="I35" s="9" t="inlineStr">
        <is>
          <t>Fuera de rango</t>
        </is>
      </c>
    </row>
    <row r="36">
      <c r="A36" s="27" t="inlineStr">
        <is>
          <t>1. Verificación funcional inicial</t>
        </is>
      </c>
      <c r="B36" s="27">
        <f>COUNTIF('APOA-370 (O3)'!$B$9:$B$88,$A36)</f>
        <v/>
      </c>
      <c r="C36" s="27">
        <f>COUNTIFS('APOA-370 (O3)'!$B$9:$B$88,$A36,'APOA-370 (O3)'!$U$9:$U$88,"Conforme")</f>
        <v/>
      </c>
      <c r="D36" s="27">
        <f>COUNTIFS('APOA-370 (O3)'!$B$9:$B$88,$A36,'APOA-370 (O3)'!$U$9:$U$88,"No conforme")</f>
        <v/>
      </c>
      <c r="E36" s="27">
        <f>COUNTIFS('APOA-370 (O3)'!$B$9:$B$88,$A36,'APOA-370 (O3)'!$U$9:$U$88,"Requiere reemplazo")</f>
        <v/>
      </c>
      <c r="F36" s="27">
        <f>COUNTIFS('APOA-370 (O3)'!$B$9:$B$88,$A36,'APOA-370 (O3)'!$U$9:$U$88,"No aplica")</f>
        <v/>
      </c>
      <c r="G36" s="27">
        <f>COUNTIFS('APOA-370 (O3)'!$B$9:$B$88,$A36,'APOA-370 (O3)'!$U$9:$U$88,"Pendiente")</f>
        <v/>
      </c>
      <c r="H36" s="28">
        <f>IFERROR($C36/($B36-$F36-$G36),"")</f>
        <v/>
      </c>
      <c r="I36" s="27">
        <f>COUNTIFS('APOA-370 (O3)'!$B$9:$B$88,$A36,'APOA-370 (O3)'!$W$9:$W$88,"Fuera de rango")</f>
        <v/>
      </c>
    </row>
    <row r="37">
      <c r="A37" s="27" t="inlineStr">
        <is>
          <t>2. Identificación y trazabilidad</t>
        </is>
      </c>
      <c r="B37" s="27">
        <f>COUNTIF('APOA-370 (O3)'!$B$9:$B$88,$A37)</f>
        <v/>
      </c>
      <c r="C37" s="27">
        <f>COUNTIFS('APOA-370 (O3)'!$B$9:$B$88,$A37,'APOA-370 (O3)'!$U$9:$U$88,"Conforme")</f>
        <v/>
      </c>
      <c r="D37" s="27">
        <f>COUNTIFS('APOA-370 (O3)'!$B$9:$B$88,$A37,'APOA-370 (O3)'!$U$9:$U$88,"No conforme")</f>
        <v/>
      </c>
      <c r="E37" s="27">
        <f>COUNTIFS('APOA-370 (O3)'!$B$9:$B$88,$A37,'APOA-370 (O3)'!$U$9:$U$88,"Requiere reemplazo")</f>
        <v/>
      </c>
      <c r="F37" s="27">
        <f>COUNTIFS('APOA-370 (O3)'!$B$9:$B$88,$A37,'APOA-370 (O3)'!$U$9:$U$88,"No aplica")</f>
        <v/>
      </c>
      <c r="G37" s="27">
        <f>COUNTIFS('APOA-370 (O3)'!$B$9:$B$88,$A37,'APOA-370 (O3)'!$U$9:$U$88,"Pendiente")</f>
        <v/>
      </c>
      <c r="H37" s="28">
        <f>IFERROR($C37/($B37-$F37-$G37),"")</f>
        <v/>
      </c>
      <c r="I37" s="27">
        <f>COUNTIFS('APOA-370 (O3)'!$B$9:$B$88,$A37,'APOA-370 (O3)'!$W$9:$W$88,"Fuera de rango")</f>
        <v/>
      </c>
    </row>
    <row r="38">
      <c r="A38" s="27" t="inlineStr">
        <is>
          <t>3. Estado de calibración</t>
        </is>
      </c>
      <c r="B38" s="27">
        <f>COUNTIF('APOA-370 (O3)'!$B$9:$B$88,$A38)</f>
        <v/>
      </c>
      <c r="C38" s="27">
        <f>COUNTIFS('APOA-370 (O3)'!$B$9:$B$88,$A38,'APOA-370 (O3)'!$U$9:$U$88,"Conforme")</f>
        <v/>
      </c>
      <c r="D38" s="27">
        <f>COUNTIFS('APOA-370 (O3)'!$B$9:$B$88,$A38,'APOA-370 (O3)'!$U$9:$U$88,"No conforme")</f>
        <v/>
      </c>
      <c r="E38" s="27">
        <f>COUNTIFS('APOA-370 (O3)'!$B$9:$B$88,$A38,'APOA-370 (O3)'!$U$9:$U$88,"Requiere reemplazo")</f>
        <v/>
      </c>
      <c r="F38" s="27">
        <f>COUNTIFS('APOA-370 (O3)'!$B$9:$B$88,$A38,'APOA-370 (O3)'!$U$9:$U$88,"No aplica")</f>
        <v/>
      </c>
      <c r="G38" s="27">
        <f>COUNTIFS('APOA-370 (O3)'!$B$9:$B$88,$A38,'APOA-370 (O3)'!$U$9:$U$88,"Pendiente")</f>
        <v/>
      </c>
      <c r="H38" s="28">
        <f>IFERROR($C38/($B38-$F38-$G38),"")</f>
        <v/>
      </c>
      <c r="I38" s="27">
        <f>COUNTIFS('APOA-370 (O3)'!$B$9:$B$88,$A38,'APOA-370 (O3)'!$W$9:$W$88,"Fuera de rango")</f>
        <v/>
      </c>
    </row>
    <row r="39">
      <c r="A39" s="27" t="inlineStr">
        <is>
          <t>4. Línea de muestreo y acondicionamiento</t>
        </is>
      </c>
      <c r="B39" s="27">
        <f>COUNTIF('APOA-370 (O3)'!$B$9:$B$88,$A39)</f>
        <v/>
      </c>
      <c r="C39" s="27">
        <f>COUNTIFS('APOA-370 (O3)'!$B$9:$B$88,$A39,'APOA-370 (O3)'!$U$9:$U$88,"Conforme")</f>
        <v/>
      </c>
      <c r="D39" s="27">
        <f>COUNTIFS('APOA-370 (O3)'!$B$9:$B$88,$A39,'APOA-370 (O3)'!$U$9:$U$88,"No conforme")</f>
        <v/>
      </c>
      <c r="E39" s="27">
        <f>COUNTIFS('APOA-370 (O3)'!$B$9:$B$88,$A39,'APOA-370 (O3)'!$U$9:$U$88,"Requiere reemplazo")</f>
        <v/>
      </c>
      <c r="F39" s="27">
        <f>COUNTIFS('APOA-370 (O3)'!$B$9:$B$88,$A39,'APOA-370 (O3)'!$U$9:$U$88,"No aplica")</f>
        <v/>
      </c>
      <c r="G39" s="27">
        <f>COUNTIFS('APOA-370 (O3)'!$B$9:$B$88,$A39,'APOA-370 (O3)'!$U$9:$U$88,"Pendiente")</f>
        <v/>
      </c>
      <c r="H39" s="28">
        <f>IFERROR($C39/($B39-$F39-$G39),"")</f>
        <v/>
      </c>
      <c r="I39" s="27">
        <f>COUNTIFS('APOA-370 (O3)'!$B$9:$B$88,$A39,'APOA-370 (O3)'!$W$9:$W$88,"Fuera de rango")</f>
        <v/>
      </c>
    </row>
    <row r="40">
      <c r="A40" s="27" t="inlineStr">
        <is>
          <t>5. Sistema neumático</t>
        </is>
      </c>
      <c r="B40" s="27">
        <f>COUNTIF('APOA-370 (O3)'!$B$9:$B$88,$A40)</f>
        <v/>
      </c>
      <c r="C40" s="27">
        <f>COUNTIFS('APOA-370 (O3)'!$B$9:$B$88,$A40,'APOA-370 (O3)'!$U$9:$U$88,"Conforme")</f>
        <v/>
      </c>
      <c r="D40" s="27">
        <f>COUNTIFS('APOA-370 (O3)'!$B$9:$B$88,$A40,'APOA-370 (O3)'!$U$9:$U$88,"No conforme")</f>
        <v/>
      </c>
      <c r="E40" s="27">
        <f>COUNTIFS('APOA-370 (O3)'!$B$9:$B$88,$A40,'APOA-370 (O3)'!$U$9:$U$88,"Requiere reemplazo")</f>
        <v/>
      </c>
      <c r="F40" s="27">
        <f>COUNTIFS('APOA-370 (O3)'!$B$9:$B$88,$A40,'APOA-370 (O3)'!$U$9:$U$88,"No aplica")</f>
        <v/>
      </c>
      <c r="G40" s="27">
        <f>COUNTIFS('APOA-370 (O3)'!$B$9:$B$88,$A40,'APOA-370 (O3)'!$U$9:$U$88,"Pendiente")</f>
        <v/>
      </c>
      <c r="H40" s="28">
        <f>IFERROR($C40/($B40-$F40-$G40),"")</f>
        <v/>
      </c>
      <c r="I40" s="27">
        <f>COUNTIFS('APOA-370 (O3)'!$B$9:$B$88,$A40,'APOA-370 (O3)'!$W$9:$W$88,"Fuera de rango")</f>
        <v/>
      </c>
    </row>
    <row r="41">
      <c r="A41" s="27" t="inlineStr">
        <is>
          <t>6. Banco de medición y óptica</t>
        </is>
      </c>
      <c r="B41" s="27">
        <f>COUNTIF('APOA-370 (O3)'!$B$9:$B$88,$A41)</f>
        <v/>
      </c>
      <c r="C41" s="27">
        <f>COUNTIFS('APOA-370 (O3)'!$B$9:$B$88,$A41,'APOA-370 (O3)'!$U$9:$U$88,"Conforme")</f>
        <v/>
      </c>
      <c r="D41" s="27">
        <f>COUNTIFS('APOA-370 (O3)'!$B$9:$B$88,$A41,'APOA-370 (O3)'!$U$9:$U$88,"No conforme")</f>
        <v/>
      </c>
      <c r="E41" s="27">
        <f>COUNTIFS('APOA-370 (O3)'!$B$9:$B$88,$A41,'APOA-370 (O3)'!$U$9:$U$88,"Requiere reemplazo")</f>
        <v/>
      </c>
      <c r="F41" s="27">
        <f>COUNTIFS('APOA-370 (O3)'!$B$9:$B$88,$A41,'APOA-370 (O3)'!$U$9:$U$88,"No aplica")</f>
        <v/>
      </c>
      <c r="G41" s="27">
        <f>COUNTIFS('APOA-370 (O3)'!$B$9:$B$88,$A41,'APOA-370 (O3)'!$U$9:$U$88,"Pendiente")</f>
        <v/>
      </c>
      <c r="H41" s="28">
        <f>IFERROR($C41/($B41-$F41-$G41),"")</f>
        <v/>
      </c>
      <c r="I41" s="27">
        <f>COUNTIFS('APOA-370 (O3)'!$B$9:$B$88,$A41,'APOA-370 (O3)'!$W$9:$W$88,"Fuera de rango")</f>
        <v/>
      </c>
    </row>
    <row r="42">
      <c r="A42" s="27" t="inlineStr">
        <is>
          <t>7. Electrónica y control</t>
        </is>
      </c>
      <c r="B42" s="27">
        <f>COUNTIF('APOA-370 (O3)'!$B$9:$B$88,$A42)</f>
        <v/>
      </c>
      <c r="C42" s="27">
        <f>COUNTIFS('APOA-370 (O3)'!$B$9:$B$88,$A42,'APOA-370 (O3)'!$U$9:$U$88,"Conforme")</f>
        <v/>
      </c>
      <c r="D42" s="27">
        <f>COUNTIFS('APOA-370 (O3)'!$B$9:$B$88,$A42,'APOA-370 (O3)'!$U$9:$U$88,"No conforme")</f>
        <v/>
      </c>
      <c r="E42" s="27">
        <f>COUNTIFS('APOA-370 (O3)'!$B$9:$B$88,$A42,'APOA-370 (O3)'!$U$9:$U$88,"Requiere reemplazo")</f>
        <v/>
      </c>
      <c r="F42" s="27">
        <f>COUNTIFS('APOA-370 (O3)'!$B$9:$B$88,$A42,'APOA-370 (O3)'!$U$9:$U$88,"No aplica")</f>
        <v/>
      </c>
      <c r="G42" s="27">
        <f>COUNTIFS('APOA-370 (O3)'!$B$9:$B$88,$A42,'APOA-370 (O3)'!$U$9:$U$88,"Pendiente")</f>
        <v/>
      </c>
      <c r="H42" s="28">
        <f>IFERROR($C42/($B42-$F42-$G42),"")</f>
        <v/>
      </c>
      <c r="I42" s="27">
        <f>COUNTIFS('APOA-370 (O3)'!$B$9:$B$88,$A42,'APOA-370 (O3)'!$W$9:$W$88,"Fuera de rango")</f>
        <v/>
      </c>
    </row>
    <row r="43">
      <c r="A43" s="27" t="inlineStr">
        <is>
          <t>8. Filtros y consumibles</t>
        </is>
      </c>
      <c r="B43" s="27">
        <f>COUNTIF('APOA-370 (O3)'!$B$9:$B$88,$A43)</f>
        <v/>
      </c>
      <c r="C43" s="27">
        <f>COUNTIFS('APOA-370 (O3)'!$B$9:$B$88,$A43,'APOA-370 (O3)'!$U$9:$U$88,"Conforme")</f>
        <v/>
      </c>
      <c r="D43" s="27">
        <f>COUNTIFS('APOA-370 (O3)'!$B$9:$B$88,$A43,'APOA-370 (O3)'!$U$9:$U$88,"No conforme")</f>
        <v/>
      </c>
      <c r="E43" s="27">
        <f>COUNTIFS('APOA-370 (O3)'!$B$9:$B$88,$A43,'APOA-370 (O3)'!$U$9:$U$88,"Requiere reemplazo")</f>
        <v/>
      </c>
      <c r="F43" s="27">
        <f>COUNTIFS('APOA-370 (O3)'!$B$9:$B$88,$A43,'APOA-370 (O3)'!$U$9:$U$88,"No aplica")</f>
        <v/>
      </c>
      <c r="G43" s="27">
        <f>COUNTIFS('APOA-370 (O3)'!$B$9:$B$88,$A43,'APOA-370 (O3)'!$U$9:$U$88,"Pendiente")</f>
        <v/>
      </c>
      <c r="H43" s="28">
        <f>IFERROR($C43/($B43-$F43-$G43),"")</f>
        <v/>
      </c>
      <c r="I43" s="27">
        <f>COUNTIFS('APOA-370 (O3)'!$B$9:$B$88,$A43,'APOA-370 (O3)'!$W$9:$W$88,"Fuera de rango")</f>
        <v/>
      </c>
    </row>
    <row r="44">
      <c r="A44" s="27" t="inlineStr">
        <is>
          <t>9. Sensores auxiliares</t>
        </is>
      </c>
      <c r="B44" s="27">
        <f>COUNTIF('APOA-370 (O3)'!$B$9:$B$88,$A44)</f>
        <v/>
      </c>
      <c r="C44" s="27">
        <f>COUNTIFS('APOA-370 (O3)'!$B$9:$B$88,$A44,'APOA-370 (O3)'!$U$9:$U$88,"Conforme")</f>
        <v/>
      </c>
      <c r="D44" s="27">
        <f>COUNTIFS('APOA-370 (O3)'!$B$9:$B$88,$A44,'APOA-370 (O3)'!$U$9:$U$88,"No conforme")</f>
        <v/>
      </c>
      <c r="E44" s="27">
        <f>COUNTIFS('APOA-370 (O3)'!$B$9:$B$88,$A44,'APOA-370 (O3)'!$U$9:$U$88,"Requiere reemplazo")</f>
        <v/>
      </c>
      <c r="F44" s="27">
        <f>COUNTIFS('APOA-370 (O3)'!$B$9:$B$88,$A44,'APOA-370 (O3)'!$U$9:$U$88,"No aplica")</f>
        <v/>
      </c>
      <c r="G44" s="27">
        <f>COUNTIFS('APOA-370 (O3)'!$B$9:$B$88,$A44,'APOA-370 (O3)'!$U$9:$U$88,"Pendiente")</f>
        <v/>
      </c>
      <c r="H44" s="28">
        <f>IFERROR($C44/($B44-$F44-$G44),"")</f>
        <v/>
      </c>
      <c r="I44" s="27">
        <f>COUNTIFS('APOA-370 (O3)'!$B$9:$B$88,$A44,'APOA-370 (O3)'!$W$9:$W$88,"Fuera de rango")</f>
        <v/>
      </c>
    </row>
    <row r="45">
      <c r="A45" s="27" t="inlineStr">
        <is>
          <t>10. Gabinete, montaje e instalación</t>
        </is>
      </c>
      <c r="B45" s="27">
        <f>COUNTIF('APOA-370 (O3)'!$B$9:$B$88,$A45)</f>
        <v/>
      </c>
      <c r="C45" s="27">
        <f>COUNTIFS('APOA-370 (O3)'!$B$9:$B$88,$A45,'APOA-370 (O3)'!$U$9:$U$88,"Conforme")</f>
        <v/>
      </c>
      <c r="D45" s="27">
        <f>COUNTIFS('APOA-370 (O3)'!$B$9:$B$88,$A45,'APOA-370 (O3)'!$U$9:$U$88,"No conforme")</f>
        <v/>
      </c>
      <c r="E45" s="27">
        <f>COUNTIFS('APOA-370 (O3)'!$B$9:$B$88,$A45,'APOA-370 (O3)'!$U$9:$U$88,"Requiere reemplazo")</f>
        <v/>
      </c>
      <c r="F45" s="27">
        <f>COUNTIFS('APOA-370 (O3)'!$B$9:$B$88,$A45,'APOA-370 (O3)'!$U$9:$U$88,"No aplica")</f>
        <v/>
      </c>
      <c r="G45" s="27">
        <f>COUNTIFS('APOA-370 (O3)'!$B$9:$B$88,$A45,'APOA-370 (O3)'!$U$9:$U$88,"Pendiente")</f>
        <v/>
      </c>
      <c r="H45" s="28">
        <f>IFERROR($C45/($B45-$F45-$G45),"")</f>
        <v/>
      </c>
      <c r="I45" s="27">
        <f>COUNTIFS('APOA-370 (O3)'!$B$9:$B$88,$A45,'APOA-370 (O3)'!$W$9:$W$88,"Fuera de rango")</f>
        <v/>
      </c>
    </row>
    <row r="46">
      <c r="A46" s="27" t="inlineStr">
        <is>
          <t>TOTAL</t>
        </is>
      </c>
      <c r="B46" s="27">
        <f>SUM(B36:B45)</f>
        <v/>
      </c>
      <c r="C46" s="27">
        <f>SUM(C36:C45)</f>
        <v/>
      </c>
      <c r="D46" s="27">
        <f>SUM(D36:D45)</f>
        <v/>
      </c>
      <c r="E46" s="27">
        <f>SUM(E36:E45)</f>
        <v/>
      </c>
      <c r="F46" s="27">
        <f>SUM(F36:F45)</f>
        <v/>
      </c>
      <c r="G46" s="27">
        <f>SUM(G36:G45)</f>
        <v/>
      </c>
      <c r="H46" s="28">
        <f>IFERROR($C46/($B46-$F46-$G46),"")</f>
        <v/>
      </c>
      <c r="I46" s="27">
        <f>SUM(I36:I45)</f>
        <v/>
      </c>
    </row>
    <row r="49">
      <c r="A49" s="3" t="inlineStr">
        <is>
          <t>APNA-370 (NOx) — Analizador de óxidos de nitrógeno HORIBA APNA-370</t>
        </is>
      </c>
    </row>
    <row r="50" ht="30" customHeight="1">
      <c r="A50" s="9" t="inlineStr">
        <is>
          <t>Nivel macro (N1)</t>
        </is>
      </c>
      <c r="B50" s="9" t="inlineStr">
        <is>
          <t>Ítems</t>
        </is>
      </c>
      <c r="C50" s="9" t="inlineStr">
        <is>
          <t>Conforme</t>
        </is>
      </c>
      <c r="D50" s="9" t="inlineStr">
        <is>
          <t>No conforme</t>
        </is>
      </c>
      <c r="E50" s="9" t="inlineStr">
        <is>
          <t>Requiere reemplazo</t>
        </is>
      </c>
      <c r="F50" s="9" t="inlineStr">
        <is>
          <t>No aplica</t>
        </is>
      </c>
      <c r="G50" s="9" t="inlineStr">
        <is>
          <t>Pendiente</t>
        </is>
      </c>
      <c r="H50" s="9" t="inlineStr">
        <is>
          <t>% conformidad</t>
        </is>
      </c>
      <c r="I50" s="9" t="inlineStr">
        <is>
          <t>Fuera de rango</t>
        </is>
      </c>
    </row>
    <row r="51">
      <c r="A51" s="27" t="inlineStr">
        <is>
          <t>1. Verificación funcional inicial</t>
        </is>
      </c>
      <c r="B51" s="27">
        <f>COUNTIF('APNA-370 (NOx)'!$B$9:$B$84,$A51)</f>
        <v/>
      </c>
      <c r="C51" s="27">
        <f>COUNTIFS('APNA-370 (NOx)'!$B$9:$B$84,$A51,'APNA-370 (NOx)'!$U$9:$U$84,"Conforme")</f>
        <v/>
      </c>
      <c r="D51" s="27">
        <f>COUNTIFS('APNA-370 (NOx)'!$B$9:$B$84,$A51,'APNA-370 (NOx)'!$U$9:$U$84,"No conforme")</f>
        <v/>
      </c>
      <c r="E51" s="27">
        <f>COUNTIFS('APNA-370 (NOx)'!$B$9:$B$84,$A51,'APNA-370 (NOx)'!$U$9:$U$84,"Requiere reemplazo")</f>
        <v/>
      </c>
      <c r="F51" s="27">
        <f>COUNTIFS('APNA-370 (NOx)'!$B$9:$B$84,$A51,'APNA-370 (NOx)'!$U$9:$U$84,"No aplica")</f>
        <v/>
      </c>
      <c r="G51" s="27">
        <f>COUNTIFS('APNA-370 (NOx)'!$B$9:$B$84,$A51,'APNA-370 (NOx)'!$U$9:$U$84,"Pendiente")</f>
        <v/>
      </c>
      <c r="H51" s="28">
        <f>IFERROR($C51/($B51-$F51-$G51),"")</f>
        <v/>
      </c>
      <c r="I51" s="27">
        <f>COUNTIFS('APNA-370 (NOx)'!$B$9:$B$84,$A51,'APNA-370 (NOx)'!$W$9:$W$84,"Fuera de rango")</f>
        <v/>
      </c>
    </row>
    <row r="52">
      <c r="A52" s="27" t="inlineStr">
        <is>
          <t>2. Identificación y trazabilidad</t>
        </is>
      </c>
      <c r="B52" s="27">
        <f>COUNTIF('APNA-370 (NOx)'!$B$9:$B$84,$A52)</f>
        <v/>
      </c>
      <c r="C52" s="27">
        <f>COUNTIFS('APNA-370 (NOx)'!$B$9:$B$84,$A52,'APNA-370 (NOx)'!$U$9:$U$84,"Conforme")</f>
        <v/>
      </c>
      <c r="D52" s="27">
        <f>COUNTIFS('APNA-370 (NOx)'!$B$9:$B$84,$A52,'APNA-370 (NOx)'!$U$9:$U$84,"No conforme")</f>
        <v/>
      </c>
      <c r="E52" s="27">
        <f>COUNTIFS('APNA-370 (NOx)'!$B$9:$B$84,$A52,'APNA-370 (NOx)'!$U$9:$U$84,"Requiere reemplazo")</f>
        <v/>
      </c>
      <c r="F52" s="27">
        <f>COUNTIFS('APNA-370 (NOx)'!$B$9:$B$84,$A52,'APNA-370 (NOx)'!$U$9:$U$84,"No aplica")</f>
        <v/>
      </c>
      <c r="G52" s="27">
        <f>COUNTIFS('APNA-370 (NOx)'!$B$9:$B$84,$A52,'APNA-370 (NOx)'!$U$9:$U$84,"Pendiente")</f>
        <v/>
      </c>
      <c r="H52" s="28">
        <f>IFERROR($C52/($B52-$F52-$G52),"")</f>
        <v/>
      </c>
      <c r="I52" s="27">
        <f>COUNTIFS('APNA-370 (NOx)'!$B$9:$B$84,$A52,'APNA-370 (NOx)'!$W$9:$W$84,"Fuera de rango")</f>
        <v/>
      </c>
    </row>
    <row r="53">
      <c r="A53" s="27" t="inlineStr">
        <is>
          <t>3. Estado de calibración</t>
        </is>
      </c>
      <c r="B53" s="27">
        <f>COUNTIF('APNA-370 (NOx)'!$B$9:$B$84,$A53)</f>
        <v/>
      </c>
      <c r="C53" s="27">
        <f>COUNTIFS('APNA-370 (NOx)'!$B$9:$B$84,$A53,'APNA-370 (NOx)'!$U$9:$U$84,"Conforme")</f>
        <v/>
      </c>
      <c r="D53" s="27">
        <f>COUNTIFS('APNA-370 (NOx)'!$B$9:$B$84,$A53,'APNA-370 (NOx)'!$U$9:$U$84,"No conforme")</f>
        <v/>
      </c>
      <c r="E53" s="27">
        <f>COUNTIFS('APNA-370 (NOx)'!$B$9:$B$84,$A53,'APNA-370 (NOx)'!$U$9:$U$84,"Requiere reemplazo")</f>
        <v/>
      </c>
      <c r="F53" s="27">
        <f>COUNTIFS('APNA-370 (NOx)'!$B$9:$B$84,$A53,'APNA-370 (NOx)'!$U$9:$U$84,"No aplica")</f>
        <v/>
      </c>
      <c r="G53" s="27">
        <f>COUNTIFS('APNA-370 (NOx)'!$B$9:$B$84,$A53,'APNA-370 (NOx)'!$U$9:$U$84,"Pendiente")</f>
        <v/>
      </c>
      <c r="H53" s="28">
        <f>IFERROR($C53/($B53-$F53-$G53),"")</f>
        <v/>
      </c>
      <c r="I53" s="27">
        <f>COUNTIFS('APNA-370 (NOx)'!$B$9:$B$84,$A53,'APNA-370 (NOx)'!$W$9:$W$84,"Fuera de rango")</f>
        <v/>
      </c>
    </row>
    <row r="54">
      <c r="A54" s="27" t="inlineStr">
        <is>
          <t>4. Línea de muestreo y acondicionamiento</t>
        </is>
      </c>
      <c r="B54" s="27">
        <f>COUNTIF('APNA-370 (NOx)'!$B$9:$B$84,$A54)</f>
        <v/>
      </c>
      <c r="C54" s="27">
        <f>COUNTIFS('APNA-370 (NOx)'!$B$9:$B$84,$A54,'APNA-370 (NOx)'!$U$9:$U$84,"Conforme")</f>
        <v/>
      </c>
      <c r="D54" s="27">
        <f>COUNTIFS('APNA-370 (NOx)'!$B$9:$B$84,$A54,'APNA-370 (NOx)'!$U$9:$U$84,"No conforme")</f>
        <v/>
      </c>
      <c r="E54" s="27">
        <f>COUNTIFS('APNA-370 (NOx)'!$B$9:$B$84,$A54,'APNA-370 (NOx)'!$U$9:$U$84,"Requiere reemplazo")</f>
        <v/>
      </c>
      <c r="F54" s="27">
        <f>COUNTIFS('APNA-370 (NOx)'!$B$9:$B$84,$A54,'APNA-370 (NOx)'!$U$9:$U$84,"No aplica")</f>
        <v/>
      </c>
      <c r="G54" s="27">
        <f>COUNTIFS('APNA-370 (NOx)'!$B$9:$B$84,$A54,'APNA-370 (NOx)'!$U$9:$U$84,"Pendiente")</f>
        <v/>
      </c>
      <c r="H54" s="28">
        <f>IFERROR($C54/($B54-$F54-$G54),"")</f>
        <v/>
      </c>
      <c r="I54" s="27">
        <f>COUNTIFS('APNA-370 (NOx)'!$B$9:$B$84,$A54,'APNA-370 (NOx)'!$W$9:$W$84,"Fuera de rango")</f>
        <v/>
      </c>
    </row>
    <row r="55">
      <c r="A55" s="27" t="inlineStr">
        <is>
          <t>5. Sistema neumático</t>
        </is>
      </c>
      <c r="B55" s="27">
        <f>COUNTIF('APNA-370 (NOx)'!$B$9:$B$84,$A55)</f>
        <v/>
      </c>
      <c r="C55" s="27">
        <f>COUNTIFS('APNA-370 (NOx)'!$B$9:$B$84,$A55,'APNA-370 (NOx)'!$U$9:$U$84,"Conforme")</f>
        <v/>
      </c>
      <c r="D55" s="27">
        <f>COUNTIFS('APNA-370 (NOx)'!$B$9:$B$84,$A55,'APNA-370 (NOx)'!$U$9:$U$84,"No conforme")</f>
        <v/>
      </c>
      <c r="E55" s="27">
        <f>COUNTIFS('APNA-370 (NOx)'!$B$9:$B$84,$A55,'APNA-370 (NOx)'!$U$9:$U$84,"Requiere reemplazo")</f>
        <v/>
      </c>
      <c r="F55" s="27">
        <f>COUNTIFS('APNA-370 (NOx)'!$B$9:$B$84,$A55,'APNA-370 (NOx)'!$U$9:$U$84,"No aplica")</f>
        <v/>
      </c>
      <c r="G55" s="27">
        <f>COUNTIFS('APNA-370 (NOx)'!$B$9:$B$84,$A55,'APNA-370 (NOx)'!$U$9:$U$84,"Pendiente")</f>
        <v/>
      </c>
      <c r="H55" s="28">
        <f>IFERROR($C55/($B55-$F55-$G55),"")</f>
        <v/>
      </c>
      <c r="I55" s="27">
        <f>COUNTIFS('APNA-370 (NOx)'!$B$9:$B$84,$A55,'APNA-370 (NOx)'!$W$9:$W$84,"Fuera de rango")</f>
        <v/>
      </c>
    </row>
    <row r="56">
      <c r="A56" s="27" t="inlineStr">
        <is>
          <t>6. Banco de medición y óptica</t>
        </is>
      </c>
      <c r="B56" s="27">
        <f>COUNTIF('APNA-370 (NOx)'!$B$9:$B$84,$A56)</f>
        <v/>
      </c>
      <c r="C56" s="27">
        <f>COUNTIFS('APNA-370 (NOx)'!$B$9:$B$84,$A56,'APNA-370 (NOx)'!$U$9:$U$84,"Conforme")</f>
        <v/>
      </c>
      <c r="D56" s="27">
        <f>COUNTIFS('APNA-370 (NOx)'!$B$9:$B$84,$A56,'APNA-370 (NOx)'!$U$9:$U$84,"No conforme")</f>
        <v/>
      </c>
      <c r="E56" s="27">
        <f>COUNTIFS('APNA-370 (NOx)'!$B$9:$B$84,$A56,'APNA-370 (NOx)'!$U$9:$U$84,"Requiere reemplazo")</f>
        <v/>
      </c>
      <c r="F56" s="27">
        <f>COUNTIFS('APNA-370 (NOx)'!$B$9:$B$84,$A56,'APNA-370 (NOx)'!$U$9:$U$84,"No aplica")</f>
        <v/>
      </c>
      <c r="G56" s="27">
        <f>COUNTIFS('APNA-370 (NOx)'!$B$9:$B$84,$A56,'APNA-370 (NOx)'!$U$9:$U$84,"Pendiente")</f>
        <v/>
      </c>
      <c r="H56" s="28">
        <f>IFERROR($C56/($B56-$F56-$G56),"")</f>
        <v/>
      </c>
      <c r="I56" s="27">
        <f>COUNTIFS('APNA-370 (NOx)'!$B$9:$B$84,$A56,'APNA-370 (NOx)'!$W$9:$W$84,"Fuera de rango")</f>
        <v/>
      </c>
    </row>
    <row r="57">
      <c r="A57" s="27" t="inlineStr">
        <is>
          <t>7. Electrónica y control</t>
        </is>
      </c>
      <c r="B57" s="27">
        <f>COUNTIF('APNA-370 (NOx)'!$B$9:$B$84,$A57)</f>
        <v/>
      </c>
      <c r="C57" s="27">
        <f>COUNTIFS('APNA-370 (NOx)'!$B$9:$B$84,$A57,'APNA-370 (NOx)'!$U$9:$U$84,"Conforme")</f>
        <v/>
      </c>
      <c r="D57" s="27">
        <f>COUNTIFS('APNA-370 (NOx)'!$B$9:$B$84,$A57,'APNA-370 (NOx)'!$U$9:$U$84,"No conforme")</f>
        <v/>
      </c>
      <c r="E57" s="27">
        <f>COUNTIFS('APNA-370 (NOx)'!$B$9:$B$84,$A57,'APNA-370 (NOx)'!$U$9:$U$84,"Requiere reemplazo")</f>
        <v/>
      </c>
      <c r="F57" s="27">
        <f>COUNTIFS('APNA-370 (NOx)'!$B$9:$B$84,$A57,'APNA-370 (NOx)'!$U$9:$U$84,"No aplica")</f>
        <v/>
      </c>
      <c r="G57" s="27">
        <f>COUNTIFS('APNA-370 (NOx)'!$B$9:$B$84,$A57,'APNA-370 (NOx)'!$U$9:$U$84,"Pendiente")</f>
        <v/>
      </c>
      <c r="H57" s="28">
        <f>IFERROR($C57/($B57-$F57-$G57),"")</f>
        <v/>
      </c>
      <c r="I57" s="27">
        <f>COUNTIFS('APNA-370 (NOx)'!$B$9:$B$84,$A57,'APNA-370 (NOx)'!$W$9:$W$84,"Fuera de rango")</f>
        <v/>
      </c>
    </row>
    <row r="58">
      <c r="A58" s="27" t="inlineStr">
        <is>
          <t>8. Filtros y consumibles</t>
        </is>
      </c>
      <c r="B58" s="27">
        <f>COUNTIF('APNA-370 (NOx)'!$B$9:$B$84,$A58)</f>
        <v/>
      </c>
      <c r="C58" s="27">
        <f>COUNTIFS('APNA-370 (NOx)'!$B$9:$B$84,$A58,'APNA-370 (NOx)'!$U$9:$U$84,"Conforme")</f>
        <v/>
      </c>
      <c r="D58" s="27">
        <f>COUNTIFS('APNA-370 (NOx)'!$B$9:$B$84,$A58,'APNA-370 (NOx)'!$U$9:$U$84,"No conforme")</f>
        <v/>
      </c>
      <c r="E58" s="27">
        <f>COUNTIFS('APNA-370 (NOx)'!$B$9:$B$84,$A58,'APNA-370 (NOx)'!$U$9:$U$84,"Requiere reemplazo")</f>
        <v/>
      </c>
      <c r="F58" s="27">
        <f>COUNTIFS('APNA-370 (NOx)'!$B$9:$B$84,$A58,'APNA-370 (NOx)'!$U$9:$U$84,"No aplica")</f>
        <v/>
      </c>
      <c r="G58" s="27">
        <f>COUNTIFS('APNA-370 (NOx)'!$B$9:$B$84,$A58,'APNA-370 (NOx)'!$U$9:$U$84,"Pendiente")</f>
        <v/>
      </c>
      <c r="H58" s="28">
        <f>IFERROR($C58/($B58-$F58-$G58),"")</f>
        <v/>
      </c>
      <c r="I58" s="27">
        <f>COUNTIFS('APNA-370 (NOx)'!$B$9:$B$84,$A58,'APNA-370 (NOx)'!$W$9:$W$84,"Fuera de rango")</f>
        <v/>
      </c>
    </row>
    <row r="59">
      <c r="A59" s="27" t="inlineStr">
        <is>
          <t>9. Sensores auxiliares</t>
        </is>
      </c>
      <c r="B59" s="27">
        <f>COUNTIF('APNA-370 (NOx)'!$B$9:$B$84,$A59)</f>
        <v/>
      </c>
      <c r="C59" s="27">
        <f>COUNTIFS('APNA-370 (NOx)'!$B$9:$B$84,$A59,'APNA-370 (NOx)'!$U$9:$U$84,"Conforme")</f>
        <v/>
      </c>
      <c r="D59" s="27">
        <f>COUNTIFS('APNA-370 (NOx)'!$B$9:$B$84,$A59,'APNA-370 (NOx)'!$U$9:$U$84,"No conforme")</f>
        <v/>
      </c>
      <c r="E59" s="27">
        <f>COUNTIFS('APNA-370 (NOx)'!$B$9:$B$84,$A59,'APNA-370 (NOx)'!$U$9:$U$84,"Requiere reemplazo")</f>
        <v/>
      </c>
      <c r="F59" s="27">
        <f>COUNTIFS('APNA-370 (NOx)'!$B$9:$B$84,$A59,'APNA-370 (NOx)'!$U$9:$U$84,"No aplica")</f>
        <v/>
      </c>
      <c r="G59" s="27">
        <f>COUNTIFS('APNA-370 (NOx)'!$B$9:$B$84,$A59,'APNA-370 (NOx)'!$U$9:$U$84,"Pendiente")</f>
        <v/>
      </c>
      <c r="H59" s="28">
        <f>IFERROR($C59/($B59-$F59-$G59),"")</f>
        <v/>
      </c>
      <c r="I59" s="27">
        <f>COUNTIFS('APNA-370 (NOx)'!$B$9:$B$84,$A59,'APNA-370 (NOx)'!$W$9:$W$84,"Fuera de rango")</f>
        <v/>
      </c>
    </row>
    <row r="60">
      <c r="A60" s="27" t="inlineStr">
        <is>
          <t>10. Gabinete, montaje e instalación</t>
        </is>
      </c>
      <c r="B60" s="27">
        <f>COUNTIF('APNA-370 (NOx)'!$B$9:$B$84,$A60)</f>
        <v/>
      </c>
      <c r="C60" s="27">
        <f>COUNTIFS('APNA-370 (NOx)'!$B$9:$B$84,$A60,'APNA-370 (NOx)'!$U$9:$U$84,"Conforme")</f>
        <v/>
      </c>
      <c r="D60" s="27">
        <f>COUNTIFS('APNA-370 (NOx)'!$B$9:$B$84,$A60,'APNA-370 (NOx)'!$U$9:$U$84,"No conforme")</f>
        <v/>
      </c>
      <c r="E60" s="27">
        <f>COUNTIFS('APNA-370 (NOx)'!$B$9:$B$84,$A60,'APNA-370 (NOx)'!$U$9:$U$84,"Requiere reemplazo")</f>
        <v/>
      </c>
      <c r="F60" s="27">
        <f>COUNTIFS('APNA-370 (NOx)'!$B$9:$B$84,$A60,'APNA-370 (NOx)'!$U$9:$U$84,"No aplica")</f>
        <v/>
      </c>
      <c r="G60" s="27">
        <f>COUNTIFS('APNA-370 (NOx)'!$B$9:$B$84,$A60,'APNA-370 (NOx)'!$U$9:$U$84,"Pendiente")</f>
        <v/>
      </c>
      <c r="H60" s="28">
        <f>IFERROR($C60/($B60-$F60-$G60),"")</f>
        <v/>
      </c>
      <c r="I60" s="27">
        <f>COUNTIFS('APNA-370 (NOx)'!$B$9:$B$84,$A60,'APNA-370 (NOx)'!$W$9:$W$84,"Fuera de rango")</f>
        <v/>
      </c>
    </row>
    <row r="61">
      <c r="A61" s="27" t="inlineStr">
        <is>
          <t>TOTAL</t>
        </is>
      </c>
      <c r="B61" s="27">
        <f>SUM(B51:B60)</f>
        <v/>
      </c>
      <c r="C61" s="27">
        <f>SUM(C51:C60)</f>
        <v/>
      </c>
      <c r="D61" s="27">
        <f>SUM(D51:D60)</f>
        <v/>
      </c>
      <c r="E61" s="27">
        <f>SUM(E51:E60)</f>
        <v/>
      </c>
      <c r="F61" s="27">
        <f>SUM(F51:F60)</f>
        <v/>
      </c>
      <c r="G61" s="27">
        <f>SUM(G51:G60)</f>
        <v/>
      </c>
      <c r="H61" s="28">
        <f>IFERROR($C61/($B61-$F61-$G61),"")</f>
        <v/>
      </c>
      <c r="I61" s="27">
        <f>SUM(I51:I60)</f>
        <v/>
      </c>
    </row>
    <row r="64">
      <c r="A64" s="3" t="inlineStr">
        <is>
          <t>COMPARATIVO ENTRE MODELOS</t>
        </is>
      </c>
    </row>
    <row r="65" ht="30" customHeight="1">
      <c r="A65" s="9" t="inlineStr">
        <is>
          <t>Modelo</t>
        </is>
      </c>
      <c r="B65" s="9" t="inlineStr">
        <is>
          <t>Ítems</t>
        </is>
      </c>
      <c r="C65" s="9" t="inlineStr">
        <is>
          <t>Conforme</t>
        </is>
      </c>
      <c r="D65" s="9" t="inlineStr">
        <is>
          <t>No conforme</t>
        </is>
      </c>
      <c r="E65" s="9" t="inlineStr">
        <is>
          <t>Requiere reemplazo</t>
        </is>
      </c>
      <c r="F65" s="9" t="inlineStr">
        <is>
          <t>No aplica</t>
        </is>
      </c>
      <c r="G65" s="9" t="inlineStr">
        <is>
          <t>Pendiente</t>
        </is>
      </c>
      <c r="H65" s="9" t="inlineStr">
        <is>
          <t>% conformidad</t>
        </is>
      </c>
      <c r="I65" s="9" t="inlineStr">
        <is>
          <t>Fuera de rango</t>
        </is>
      </c>
    </row>
    <row r="66">
      <c r="A66" s="29" t="inlineStr">
        <is>
          <t>APMA-370 (CO)</t>
        </is>
      </c>
      <c r="B66" s="29">
        <f>B16</f>
        <v/>
      </c>
      <c r="C66" s="29">
        <f>C16</f>
        <v/>
      </c>
      <c r="D66" s="29">
        <f>D16</f>
        <v/>
      </c>
      <c r="E66" s="29">
        <f>E16</f>
        <v/>
      </c>
      <c r="F66" s="29">
        <f>F16</f>
        <v/>
      </c>
      <c r="G66" s="29">
        <f>G16</f>
        <v/>
      </c>
      <c r="H66" s="30">
        <f>H16</f>
        <v/>
      </c>
      <c r="I66" s="29">
        <f>I16</f>
        <v/>
      </c>
    </row>
    <row r="67">
      <c r="A67" s="29" t="inlineStr">
        <is>
          <t>APSA-370 (SO2)</t>
        </is>
      </c>
      <c r="B67" s="29">
        <f>B31</f>
        <v/>
      </c>
      <c r="C67" s="29">
        <f>C31</f>
        <v/>
      </c>
      <c r="D67" s="29">
        <f>D31</f>
        <v/>
      </c>
      <c r="E67" s="29">
        <f>E31</f>
        <v/>
      </c>
      <c r="F67" s="29">
        <f>F31</f>
        <v/>
      </c>
      <c r="G67" s="29">
        <f>G31</f>
        <v/>
      </c>
      <c r="H67" s="30">
        <f>H31</f>
        <v/>
      </c>
      <c r="I67" s="29">
        <f>I31</f>
        <v/>
      </c>
    </row>
    <row r="68">
      <c r="A68" s="29" t="inlineStr">
        <is>
          <t>APOA-370 (O3)</t>
        </is>
      </c>
      <c r="B68" s="29">
        <f>B46</f>
        <v/>
      </c>
      <c r="C68" s="29">
        <f>C46</f>
        <v/>
      </c>
      <c r="D68" s="29">
        <f>D46</f>
        <v/>
      </c>
      <c r="E68" s="29">
        <f>E46</f>
        <v/>
      </c>
      <c r="F68" s="29">
        <f>F46</f>
        <v/>
      </c>
      <c r="G68" s="29">
        <f>G46</f>
        <v/>
      </c>
      <c r="H68" s="30">
        <f>H46</f>
        <v/>
      </c>
      <c r="I68" s="29">
        <f>I46</f>
        <v/>
      </c>
    </row>
    <row r="69">
      <c r="A69" s="29" t="inlineStr">
        <is>
          <t>APNA-370 (NOx)</t>
        </is>
      </c>
      <c r="B69" s="29">
        <f>B61</f>
        <v/>
      </c>
      <c r="C69" s="29">
        <f>C61</f>
        <v/>
      </c>
      <c r="D69" s="29">
        <f>D61</f>
        <v/>
      </c>
      <c r="E69" s="29">
        <f>E61</f>
        <v/>
      </c>
      <c r="F69" s="29">
        <f>F61</f>
        <v/>
      </c>
      <c r="G69" s="29">
        <f>G61</f>
        <v/>
      </c>
      <c r="H69" s="30">
        <f>H61</f>
        <v/>
      </c>
      <c r="I69" s="29">
        <f>I61</f>
        <v/>
      </c>
    </row>
    <row r="71">
      <c r="A71" s="3" t="inlineStr">
        <is>
          <t>HALLAZGOS POR CRITERIO DE FALLA</t>
        </is>
      </c>
    </row>
    <row r="72">
      <c r="A72" s="2" t="inlineStr">
        <is>
          <t>Un hallazgo es un ítem marcado «No conforme» o «Requiere reemplazo». El equipo no se libera mientras haya bloqueantes con hallazgo.</t>
        </is>
      </c>
    </row>
    <row r="73" ht="30" customHeight="1">
      <c r="A73" s="9" t="inlineStr">
        <is>
          <t>Modelo</t>
        </is>
      </c>
      <c r="B73" s="9" t="inlineStr">
        <is>
          <t>Criterio de falla</t>
        </is>
      </c>
      <c r="C73" s="9" t="inlineStr">
        <is>
          <t>Ítems</t>
        </is>
      </c>
      <c r="D73" s="9" t="inlineStr">
        <is>
          <t>No conforme</t>
        </is>
      </c>
      <c r="E73" s="9" t="inlineStr">
        <is>
          <t>Requiere reemplazo</t>
        </is>
      </c>
      <c r="F73" s="9" t="inlineStr">
        <is>
          <t>Hallazgos</t>
        </is>
      </c>
      <c r="G73" s="9" t="inlineStr">
        <is>
          <t>Pendientes</t>
        </is>
      </c>
      <c r="H73" s="9" t="inlineStr">
        <is>
          <t>Fuera de rango</t>
        </is>
      </c>
      <c r="I73" s="9" t="inlineStr">
        <is>
          <t>% del ítem inspeccionado</t>
        </is>
      </c>
    </row>
    <row r="74">
      <c r="A74" s="27" t="inlineStr">
        <is>
          <t>APMA-370 (CO)</t>
        </is>
      </c>
      <c r="B74" s="31" t="inlineStr">
        <is>
          <t>Alerta</t>
        </is>
      </c>
      <c r="C74" s="27">
        <f>COUNTIF('APMA-370 (CO)'!$J$9:$J$88,$B74)</f>
        <v/>
      </c>
      <c r="D74" s="27">
        <f>COUNTIFS('APMA-370 (CO)'!$J$9:$J$88,$B74,'APMA-370 (CO)'!$U$9:$U$88,"No conforme")</f>
        <v/>
      </c>
      <c r="E74" s="27">
        <f>COUNTIFS('APMA-370 (CO)'!$J$9:$J$88,$B74,'APMA-370 (CO)'!$U$9:$U$88,"Requiere reemplazo")</f>
        <v/>
      </c>
      <c r="F74" s="27">
        <f>$D74+$E74</f>
        <v/>
      </c>
      <c r="G74" s="27">
        <f>COUNTIFS('APMA-370 (CO)'!$J$9:$J$88,$B74,'APMA-370 (CO)'!$U$9:$U$88,"Pendiente")</f>
        <v/>
      </c>
      <c r="H74" s="27">
        <f>COUNTIFS('APMA-370 (CO)'!$J$9:$J$88,$B74,'APMA-370 (CO)'!$W$9:$W$88,"Fuera de rango")</f>
        <v/>
      </c>
      <c r="I74" s="28">
        <f>IFERROR(($C74-$G74)/$C74,"")</f>
        <v/>
      </c>
    </row>
    <row r="75">
      <c r="A75" s="27" t="inlineStr">
        <is>
          <t>APMA-370 (CO)</t>
        </is>
      </c>
      <c r="B75" s="32" t="inlineStr">
        <is>
          <t>Cobrable</t>
        </is>
      </c>
      <c r="C75" s="27">
        <f>COUNTIF('APMA-370 (CO)'!$J$9:$J$88,$B75)</f>
        <v/>
      </c>
      <c r="D75" s="27">
        <f>COUNTIFS('APMA-370 (CO)'!$J$9:$J$88,$B75,'APMA-370 (CO)'!$U$9:$U$88,"No conforme")</f>
        <v/>
      </c>
      <c r="E75" s="27">
        <f>COUNTIFS('APMA-370 (CO)'!$J$9:$J$88,$B75,'APMA-370 (CO)'!$U$9:$U$88,"Requiere reemplazo")</f>
        <v/>
      </c>
      <c r="F75" s="27">
        <f>$D75+$E75</f>
        <v/>
      </c>
      <c r="G75" s="27">
        <f>COUNTIFS('APMA-370 (CO)'!$J$9:$J$88,$B75,'APMA-370 (CO)'!$U$9:$U$88,"Pendiente")</f>
        <v/>
      </c>
      <c r="H75" s="27">
        <f>COUNTIFS('APMA-370 (CO)'!$J$9:$J$88,$B75,'APMA-370 (CO)'!$W$9:$W$88,"Fuera de rango")</f>
        <v/>
      </c>
      <c r="I75" s="28">
        <f>IFERROR(($C75-$G75)/$C75,"")</f>
        <v/>
      </c>
    </row>
    <row r="76">
      <c r="A76" s="27" t="inlineStr">
        <is>
          <t>APMA-370 (CO)</t>
        </is>
      </c>
      <c r="B76" s="33" t="inlineStr">
        <is>
          <t>Bloqueante</t>
        </is>
      </c>
      <c r="C76" s="27">
        <f>COUNTIF('APMA-370 (CO)'!$J$9:$J$88,$B76)</f>
        <v/>
      </c>
      <c r="D76" s="27">
        <f>COUNTIFS('APMA-370 (CO)'!$J$9:$J$88,$B76,'APMA-370 (CO)'!$U$9:$U$88,"No conforme")</f>
        <v/>
      </c>
      <c r="E76" s="27">
        <f>COUNTIFS('APMA-370 (CO)'!$J$9:$J$88,$B76,'APMA-370 (CO)'!$U$9:$U$88,"Requiere reemplazo")</f>
        <v/>
      </c>
      <c r="F76" s="27">
        <f>$D76+$E76</f>
        <v/>
      </c>
      <c r="G76" s="27">
        <f>COUNTIFS('APMA-370 (CO)'!$J$9:$J$88,$B76,'APMA-370 (CO)'!$U$9:$U$88,"Pendiente")</f>
        <v/>
      </c>
      <c r="H76" s="27">
        <f>COUNTIFS('APMA-370 (CO)'!$J$9:$J$88,$B76,'APMA-370 (CO)'!$W$9:$W$88,"Fuera de rango")</f>
        <v/>
      </c>
      <c r="I76" s="28">
        <f>IFERROR(($C76-$G76)/$C76,"")</f>
        <v/>
      </c>
    </row>
    <row r="77">
      <c r="A77" s="27" t="inlineStr">
        <is>
          <t>APSA-370 (SO2)</t>
        </is>
      </c>
      <c r="B77" s="31" t="inlineStr">
        <is>
          <t>Alerta</t>
        </is>
      </c>
      <c r="C77" s="27">
        <f>COUNTIF('APSA-370 (SO2)'!$J$9:$J$104,$B77)</f>
        <v/>
      </c>
      <c r="D77" s="27">
        <f>COUNTIFS('APSA-370 (SO2)'!$J$9:$J$104,$B77,'APSA-370 (SO2)'!$U$9:$U$104,"No conforme")</f>
        <v/>
      </c>
      <c r="E77" s="27">
        <f>COUNTIFS('APSA-370 (SO2)'!$J$9:$J$104,$B77,'APSA-370 (SO2)'!$U$9:$U$104,"Requiere reemplazo")</f>
        <v/>
      </c>
      <c r="F77" s="27">
        <f>$D77+$E77</f>
        <v/>
      </c>
      <c r="G77" s="27">
        <f>COUNTIFS('APSA-370 (SO2)'!$J$9:$J$104,$B77,'APSA-370 (SO2)'!$U$9:$U$104,"Pendiente")</f>
        <v/>
      </c>
      <c r="H77" s="27">
        <f>COUNTIFS('APSA-370 (SO2)'!$J$9:$J$104,$B77,'APSA-370 (SO2)'!$W$9:$W$104,"Fuera de rango")</f>
        <v/>
      </c>
      <c r="I77" s="28">
        <f>IFERROR(($C77-$G77)/$C77,"")</f>
        <v/>
      </c>
    </row>
    <row r="78">
      <c r="A78" s="27" t="inlineStr">
        <is>
          <t>APSA-370 (SO2)</t>
        </is>
      </c>
      <c r="B78" s="32" t="inlineStr">
        <is>
          <t>Cobrable</t>
        </is>
      </c>
      <c r="C78" s="27">
        <f>COUNTIF('APSA-370 (SO2)'!$J$9:$J$104,$B78)</f>
        <v/>
      </c>
      <c r="D78" s="27">
        <f>COUNTIFS('APSA-370 (SO2)'!$J$9:$J$104,$B78,'APSA-370 (SO2)'!$U$9:$U$104,"No conforme")</f>
        <v/>
      </c>
      <c r="E78" s="27">
        <f>COUNTIFS('APSA-370 (SO2)'!$J$9:$J$104,$B78,'APSA-370 (SO2)'!$U$9:$U$104,"Requiere reemplazo")</f>
        <v/>
      </c>
      <c r="F78" s="27">
        <f>$D78+$E78</f>
        <v/>
      </c>
      <c r="G78" s="27">
        <f>COUNTIFS('APSA-370 (SO2)'!$J$9:$J$104,$B78,'APSA-370 (SO2)'!$U$9:$U$104,"Pendiente")</f>
        <v/>
      </c>
      <c r="H78" s="27">
        <f>COUNTIFS('APSA-370 (SO2)'!$J$9:$J$104,$B78,'APSA-370 (SO2)'!$W$9:$W$104,"Fuera de rango")</f>
        <v/>
      </c>
      <c r="I78" s="28">
        <f>IFERROR(($C78-$G78)/$C78,"")</f>
        <v/>
      </c>
    </row>
    <row r="79">
      <c r="A79" s="27" t="inlineStr">
        <is>
          <t>APSA-370 (SO2)</t>
        </is>
      </c>
      <c r="B79" s="33" t="inlineStr">
        <is>
          <t>Bloqueante</t>
        </is>
      </c>
      <c r="C79" s="27">
        <f>COUNTIF('APSA-370 (SO2)'!$J$9:$J$104,$B79)</f>
        <v/>
      </c>
      <c r="D79" s="27">
        <f>COUNTIFS('APSA-370 (SO2)'!$J$9:$J$104,$B79,'APSA-370 (SO2)'!$U$9:$U$104,"No conforme")</f>
        <v/>
      </c>
      <c r="E79" s="27">
        <f>COUNTIFS('APSA-370 (SO2)'!$J$9:$J$104,$B79,'APSA-370 (SO2)'!$U$9:$U$104,"Requiere reemplazo")</f>
        <v/>
      </c>
      <c r="F79" s="27">
        <f>$D79+$E79</f>
        <v/>
      </c>
      <c r="G79" s="27">
        <f>COUNTIFS('APSA-370 (SO2)'!$J$9:$J$104,$B79,'APSA-370 (SO2)'!$U$9:$U$104,"Pendiente")</f>
        <v/>
      </c>
      <c r="H79" s="27">
        <f>COUNTIFS('APSA-370 (SO2)'!$J$9:$J$104,$B79,'APSA-370 (SO2)'!$W$9:$W$104,"Fuera de rango")</f>
        <v/>
      </c>
      <c r="I79" s="28">
        <f>IFERROR(($C79-$G79)/$C79,"")</f>
        <v/>
      </c>
    </row>
    <row r="80">
      <c r="A80" s="27" t="inlineStr">
        <is>
          <t>APOA-370 (O3)</t>
        </is>
      </c>
      <c r="B80" s="31" t="inlineStr">
        <is>
          <t>Alerta</t>
        </is>
      </c>
      <c r="C80" s="27">
        <f>COUNTIF('APOA-370 (O3)'!$J$9:$J$88,$B80)</f>
        <v/>
      </c>
      <c r="D80" s="27">
        <f>COUNTIFS('APOA-370 (O3)'!$J$9:$J$88,$B80,'APOA-370 (O3)'!$U$9:$U$88,"No conforme")</f>
        <v/>
      </c>
      <c r="E80" s="27">
        <f>COUNTIFS('APOA-370 (O3)'!$J$9:$J$88,$B80,'APOA-370 (O3)'!$U$9:$U$88,"Requiere reemplazo")</f>
        <v/>
      </c>
      <c r="F80" s="27">
        <f>$D80+$E80</f>
        <v/>
      </c>
      <c r="G80" s="27">
        <f>COUNTIFS('APOA-370 (O3)'!$J$9:$J$88,$B80,'APOA-370 (O3)'!$U$9:$U$88,"Pendiente")</f>
        <v/>
      </c>
      <c r="H80" s="27">
        <f>COUNTIFS('APOA-370 (O3)'!$J$9:$J$88,$B80,'APOA-370 (O3)'!$W$9:$W$88,"Fuera de rango")</f>
        <v/>
      </c>
      <c r="I80" s="28">
        <f>IFERROR(($C80-$G80)/$C80,"")</f>
        <v/>
      </c>
    </row>
    <row r="81">
      <c r="A81" s="27" t="inlineStr">
        <is>
          <t>APOA-370 (O3)</t>
        </is>
      </c>
      <c r="B81" s="32" t="inlineStr">
        <is>
          <t>Cobrable</t>
        </is>
      </c>
      <c r="C81" s="27">
        <f>COUNTIF('APOA-370 (O3)'!$J$9:$J$88,$B81)</f>
        <v/>
      </c>
      <c r="D81" s="27">
        <f>COUNTIFS('APOA-370 (O3)'!$J$9:$J$88,$B81,'APOA-370 (O3)'!$U$9:$U$88,"No conforme")</f>
        <v/>
      </c>
      <c r="E81" s="27">
        <f>COUNTIFS('APOA-370 (O3)'!$J$9:$J$88,$B81,'APOA-370 (O3)'!$U$9:$U$88,"Requiere reemplazo")</f>
        <v/>
      </c>
      <c r="F81" s="27">
        <f>$D81+$E81</f>
        <v/>
      </c>
      <c r="G81" s="27">
        <f>COUNTIFS('APOA-370 (O3)'!$J$9:$J$88,$B81,'APOA-370 (O3)'!$U$9:$U$88,"Pendiente")</f>
        <v/>
      </c>
      <c r="H81" s="27">
        <f>COUNTIFS('APOA-370 (O3)'!$J$9:$J$88,$B81,'APOA-370 (O3)'!$W$9:$W$88,"Fuera de rango")</f>
        <v/>
      </c>
      <c r="I81" s="28">
        <f>IFERROR(($C81-$G81)/$C81,"")</f>
        <v/>
      </c>
    </row>
    <row r="82">
      <c r="A82" s="27" t="inlineStr">
        <is>
          <t>APOA-370 (O3)</t>
        </is>
      </c>
      <c r="B82" s="33" t="inlineStr">
        <is>
          <t>Bloqueante</t>
        </is>
      </c>
      <c r="C82" s="27">
        <f>COUNTIF('APOA-370 (O3)'!$J$9:$J$88,$B82)</f>
        <v/>
      </c>
      <c r="D82" s="27">
        <f>COUNTIFS('APOA-370 (O3)'!$J$9:$J$88,$B82,'APOA-370 (O3)'!$U$9:$U$88,"No conforme")</f>
        <v/>
      </c>
      <c r="E82" s="27">
        <f>COUNTIFS('APOA-370 (O3)'!$J$9:$J$88,$B82,'APOA-370 (O3)'!$U$9:$U$88,"Requiere reemplazo")</f>
        <v/>
      </c>
      <c r="F82" s="27">
        <f>$D82+$E82</f>
        <v/>
      </c>
      <c r="G82" s="27">
        <f>COUNTIFS('APOA-370 (O3)'!$J$9:$J$88,$B82,'APOA-370 (O3)'!$U$9:$U$88,"Pendiente")</f>
        <v/>
      </c>
      <c r="H82" s="27">
        <f>COUNTIFS('APOA-370 (O3)'!$J$9:$J$88,$B82,'APOA-370 (O3)'!$W$9:$W$88,"Fuera de rango")</f>
        <v/>
      </c>
      <c r="I82" s="28">
        <f>IFERROR(($C82-$G82)/$C82,"")</f>
        <v/>
      </c>
    </row>
    <row r="83">
      <c r="A83" s="27" t="inlineStr">
        <is>
          <t>APNA-370 (NOx)</t>
        </is>
      </c>
      <c r="B83" s="31" t="inlineStr">
        <is>
          <t>Alerta</t>
        </is>
      </c>
      <c r="C83" s="27">
        <f>COUNTIF('APNA-370 (NOx)'!$J$9:$J$84,$B83)</f>
        <v/>
      </c>
      <c r="D83" s="27">
        <f>COUNTIFS('APNA-370 (NOx)'!$J$9:$J$84,$B83,'APNA-370 (NOx)'!$U$9:$U$84,"No conforme")</f>
        <v/>
      </c>
      <c r="E83" s="27">
        <f>COUNTIFS('APNA-370 (NOx)'!$J$9:$J$84,$B83,'APNA-370 (NOx)'!$U$9:$U$84,"Requiere reemplazo")</f>
        <v/>
      </c>
      <c r="F83" s="27">
        <f>$D83+$E83</f>
        <v/>
      </c>
      <c r="G83" s="27">
        <f>COUNTIFS('APNA-370 (NOx)'!$J$9:$J$84,$B83,'APNA-370 (NOx)'!$U$9:$U$84,"Pendiente")</f>
        <v/>
      </c>
      <c r="H83" s="27">
        <f>COUNTIFS('APNA-370 (NOx)'!$J$9:$J$84,$B83,'APNA-370 (NOx)'!$W$9:$W$84,"Fuera de rango")</f>
        <v/>
      </c>
      <c r="I83" s="28">
        <f>IFERROR(($C83-$G83)/$C83,"")</f>
        <v/>
      </c>
    </row>
    <row r="84">
      <c r="A84" s="27" t="inlineStr">
        <is>
          <t>APNA-370 (NOx)</t>
        </is>
      </c>
      <c r="B84" s="32" t="inlineStr">
        <is>
          <t>Cobrable</t>
        </is>
      </c>
      <c r="C84" s="27">
        <f>COUNTIF('APNA-370 (NOx)'!$J$9:$J$84,$B84)</f>
        <v/>
      </c>
      <c r="D84" s="27">
        <f>COUNTIFS('APNA-370 (NOx)'!$J$9:$J$84,$B84,'APNA-370 (NOx)'!$U$9:$U$84,"No conforme")</f>
        <v/>
      </c>
      <c r="E84" s="27">
        <f>COUNTIFS('APNA-370 (NOx)'!$J$9:$J$84,$B84,'APNA-370 (NOx)'!$U$9:$U$84,"Requiere reemplazo")</f>
        <v/>
      </c>
      <c r="F84" s="27">
        <f>$D84+$E84</f>
        <v/>
      </c>
      <c r="G84" s="27">
        <f>COUNTIFS('APNA-370 (NOx)'!$J$9:$J$84,$B84,'APNA-370 (NOx)'!$U$9:$U$84,"Pendiente")</f>
        <v/>
      </c>
      <c r="H84" s="27">
        <f>COUNTIFS('APNA-370 (NOx)'!$J$9:$J$84,$B84,'APNA-370 (NOx)'!$W$9:$W$84,"Fuera de rango")</f>
        <v/>
      </c>
      <c r="I84" s="28">
        <f>IFERROR(($C84-$G84)/$C84,"")</f>
        <v/>
      </c>
    </row>
    <row r="85">
      <c r="A85" s="27" t="inlineStr">
        <is>
          <t>APNA-370 (NOx)</t>
        </is>
      </c>
      <c r="B85" s="33" t="inlineStr">
        <is>
          <t>Bloqueante</t>
        </is>
      </c>
      <c r="C85" s="27">
        <f>COUNTIF('APNA-370 (NOx)'!$J$9:$J$84,$B85)</f>
        <v/>
      </c>
      <c r="D85" s="27">
        <f>COUNTIFS('APNA-370 (NOx)'!$J$9:$J$84,$B85,'APNA-370 (NOx)'!$U$9:$U$84,"No conforme")</f>
        <v/>
      </c>
      <c r="E85" s="27">
        <f>COUNTIFS('APNA-370 (NOx)'!$J$9:$J$84,$B85,'APNA-370 (NOx)'!$U$9:$U$84,"Requiere reemplazo")</f>
        <v/>
      </c>
      <c r="F85" s="27">
        <f>$D85+$E85</f>
        <v/>
      </c>
      <c r="G85" s="27">
        <f>COUNTIFS('APNA-370 (NOx)'!$J$9:$J$84,$B85,'APNA-370 (NOx)'!$U$9:$U$84,"Pendiente")</f>
        <v/>
      </c>
      <c r="H85" s="27">
        <f>COUNTIFS('APNA-370 (NOx)'!$J$9:$J$84,$B85,'APNA-370 (NOx)'!$W$9:$W$84,"Fuera de rango")</f>
        <v/>
      </c>
      <c r="I85" s="28">
        <f>IFERROR(($C85-$G85)/$C85,"")</f>
        <v/>
      </c>
    </row>
    <row r="88">
      <c r="A88" s="3" t="inlineStr">
        <is>
          <t>ESTADO DE LIBERACIÓN DEL EQUIPO</t>
        </is>
      </c>
    </row>
    <row r="89" ht="30" customHeight="1">
      <c r="A89" s="9" t="inlineStr">
        <is>
          <t>Modelo</t>
        </is>
      </c>
      <c r="B89" s="9" t="inlineStr">
        <is>
          <t>Bloqueantes con hallazgo</t>
        </is>
      </c>
      <c r="C89" s="9" t="inlineStr">
        <is>
          <t>Bloqueantes sin inspeccionar</t>
        </is>
      </c>
      <c r="D89" s="9" t="inlineStr">
        <is>
          <t>Cobrables con hallazgo</t>
        </is>
      </c>
      <c r="E89" s="9" t="inlineStr">
        <is>
          <t>Veredicto</t>
        </is>
      </c>
    </row>
    <row r="90">
      <c r="A90" s="27" t="inlineStr">
        <is>
          <t>APMA-370 (CO)</t>
        </is>
      </c>
      <c r="B90" s="27">
        <f>$F76</f>
        <v/>
      </c>
      <c r="C90" s="27">
        <f>$G76</f>
        <v/>
      </c>
      <c r="D90" s="27">
        <f>$F75</f>
        <v/>
      </c>
      <c r="E90" s="27">
        <f>IF($B90&gt;0,"NO LIBERAR — resolver bloqueantes",IF($C90&gt;0,"Inspección incompleta — faltan bloqueantes por verificar",IF($D90&gt;0,"Liberable — con cotización pendiente","Liberable")))</f>
        <v/>
      </c>
    </row>
    <row r="91">
      <c r="A91" s="27" t="inlineStr">
        <is>
          <t>APSA-370 (SO2)</t>
        </is>
      </c>
      <c r="B91" s="27">
        <f>$F79</f>
        <v/>
      </c>
      <c r="C91" s="27">
        <f>$G79</f>
        <v/>
      </c>
      <c r="D91" s="27">
        <f>$F78</f>
        <v/>
      </c>
      <c r="E91" s="27">
        <f>IF($B91&gt;0,"NO LIBERAR — resolver bloqueantes",IF($C91&gt;0,"Inspección incompleta — faltan bloqueantes por verificar",IF($D91&gt;0,"Liberable — con cotización pendiente","Liberable")))</f>
        <v/>
      </c>
    </row>
    <row r="92">
      <c r="A92" s="27" t="inlineStr">
        <is>
          <t>APOA-370 (O3)</t>
        </is>
      </c>
      <c r="B92" s="27">
        <f>$F82</f>
        <v/>
      </c>
      <c r="C92" s="27">
        <f>$G82</f>
        <v/>
      </c>
      <c r="D92" s="27">
        <f>$F81</f>
        <v/>
      </c>
      <c r="E92" s="27">
        <f>IF($B92&gt;0,"NO LIBERAR — resolver bloqueantes",IF($C92&gt;0,"Inspección incompleta — faltan bloqueantes por verificar",IF($D92&gt;0,"Liberable — con cotización pendiente","Liberable")))</f>
        <v/>
      </c>
    </row>
    <row r="93">
      <c r="A93" s="27" t="inlineStr">
        <is>
          <t>APNA-370 (NOx)</t>
        </is>
      </c>
      <c r="B93" s="27">
        <f>$F85</f>
        <v/>
      </c>
      <c r="C93" s="27">
        <f>$G85</f>
        <v/>
      </c>
      <c r="D93" s="27">
        <f>$F84</f>
        <v/>
      </c>
      <c r="E93" s="27">
        <f>IF($B93&gt;0,"NO LIBERAR — resolver bloqueantes",IF($C93&gt;0,"Inspección incompleta — faltan bloqueantes por verificar",IF($D93&gt;0,"Liberable — con cotización pendiente","Liberable")))</f>
        <v/>
      </c>
    </row>
    <row r="95">
      <c r="A95" s="2" t="inlineStr">
        <is>
          <t>% conformidad = Conforme / (Ítems − No aplica − Pendiente).</t>
        </is>
      </c>
    </row>
    <row r="96">
      <c r="A96" s="2" t="inlineStr">
        <is>
          <t>Con el libro recién abierto todos los ítems están en «Pendiente», por lo que el % queda vacío hasta diligenciar.</t>
        </is>
      </c>
    </row>
  </sheetData>
  <conditionalFormatting sqref="E90:E93">
    <cfRule type="cellIs" priority="1" operator="equal" dxfId="5">
      <formula>"NO LIBERAR — resolver bloqueantes"</formula>
    </cfRule>
    <cfRule type="cellIs" priority="2" operator="equal" dxfId="6">
      <formula>"Liberable"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Resultado</t>
        </is>
      </c>
      <c r="B1" s="6" t="inlineStr">
        <is>
          <t>Foto adjunta</t>
        </is>
      </c>
      <c r="C1" s="6" t="inlineStr">
        <is>
          <t>Obligatorio</t>
        </is>
      </c>
      <c r="D1" s="6" t="inlineStr">
        <is>
          <t>Criterio de falla</t>
        </is>
      </c>
    </row>
    <row r="2">
      <c r="A2" s="8" t="inlineStr">
        <is>
          <t>Conforme</t>
        </is>
      </c>
      <c r="B2" s="8" t="inlineStr">
        <is>
          <t>Sí</t>
        </is>
      </c>
      <c r="C2" s="8" t="inlineStr">
        <is>
          <t>Sí</t>
        </is>
      </c>
      <c r="D2" s="8" t="inlineStr">
        <is>
          <t>Alerta</t>
        </is>
      </c>
    </row>
    <row r="3">
      <c r="A3" s="8" t="inlineStr">
        <is>
          <t>No conforme</t>
        </is>
      </c>
      <c r="B3" s="8" t="inlineStr">
        <is>
          <t>No</t>
        </is>
      </c>
      <c r="C3" s="8" t="inlineStr">
        <is>
          <t>No</t>
        </is>
      </c>
      <c r="D3" s="8" t="inlineStr">
        <is>
          <t>Cobrable</t>
        </is>
      </c>
    </row>
    <row r="4">
      <c r="A4" s="8" t="inlineStr">
        <is>
          <t>Requiere reemplazo</t>
        </is>
      </c>
      <c r="B4" s="8" t="inlineStr">
        <is>
          <t>No aplica</t>
        </is>
      </c>
      <c r="D4" s="8" t="inlineStr">
        <is>
          <t>Bloqueante</t>
        </is>
      </c>
    </row>
    <row r="5">
      <c r="A5" s="8" t="inlineStr">
        <is>
          <t>No aplica</t>
        </is>
      </c>
    </row>
    <row r="6">
      <c r="A6" s="8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2026-09-03T22:20:29Z</dcterms:created>
  <dcterms:modified xmlns:dcterms="http://purl.org/dc/terms/" xmlns:xsi="http://www.w3.org/2001/XMLSchema-instance" xsi:type="dcterms:W3CDTF">2026-09-03T22:20:30Z</dcterms:modified>
</cp:coreProperties>
</file>